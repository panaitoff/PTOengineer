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Projects\pyqt\"/>
    </mc:Choice>
  </mc:AlternateContent>
  <xr:revisionPtr revIDLastSave="0" documentId="13_ncr:1_{B9B93B4D-E9CB-4EAB-ADB9-5C347E7AC7A7}" xr6:coauthVersionLast="45" xr6:coauthVersionMax="47" xr10:uidLastSave="{00000000-0000-0000-0000-000000000000}"/>
  <bookViews>
    <workbookView xWindow="-28920" yWindow="-120" windowWidth="29040" windowHeight="15720" tabRatio="847" xr2:uid="{00000000-000D-0000-FFFF-FFFF00000000}"/>
  </bookViews>
  <sheets>
    <sheet name="ВК ЭОМ" sheetId="52" r:id="rId1"/>
    <sheet name="АВК ЭОМ" sheetId="16" r:id="rId2"/>
    <sheet name="1024" sheetId="61" state="hidden" r:id="rId3"/>
    <sheet name="10455" sheetId="57" state="hidden" r:id="rId4"/>
    <sheet name="1035" sheetId="58" state="hidden" r:id="rId5"/>
    <sheet name="1045" sheetId="60" state="hidden" r:id="rId6"/>
    <sheet name="1036" sheetId="59" state="hidden" r:id="rId7"/>
  </sheets>
  <definedNames>
    <definedName name="_xlnm._FilterDatabase" localSheetId="0" hidden="1">'ВК ЭОМ'!$A$1:$S$135</definedName>
    <definedName name="adsa" localSheetId="2">#REF!</definedName>
    <definedName name="adsa" localSheetId="4">#REF!</definedName>
    <definedName name="adsa" localSheetId="6">#REF!</definedName>
    <definedName name="adsa" localSheetId="5">#REF!</definedName>
    <definedName name="adsa" localSheetId="3">#REF!</definedName>
    <definedName name="adsa">#REF!</definedName>
    <definedName name="ВИК" localSheetId="2">#REF!</definedName>
    <definedName name="ВИК" localSheetId="4">#REF!</definedName>
    <definedName name="ВИК" localSheetId="6">#REF!</definedName>
    <definedName name="ВИК" localSheetId="5">#REF!</definedName>
    <definedName name="ВИК" localSheetId="3">#REF!</definedName>
    <definedName name="ВИК">#REF!</definedName>
    <definedName name="Завод_изготовитель" localSheetId="2">#REF!</definedName>
    <definedName name="Завод_изготовитель" localSheetId="4">#REF!</definedName>
    <definedName name="Завод_изготовитель" localSheetId="6">#REF!</definedName>
    <definedName name="Завод_изготовитель" localSheetId="5">#REF!</definedName>
    <definedName name="Завод_изготовитель" localSheetId="3">#REF!</definedName>
    <definedName name="Завод_изготовитель" localSheetId="1">#REF!</definedName>
    <definedName name="Завод_изготовитель">#REF!</definedName>
    <definedName name="ййй" localSheetId="2">#REF!</definedName>
    <definedName name="ййй" localSheetId="4">#REF!</definedName>
    <definedName name="ййй" localSheetId="6">#REF!</definedName>
    <definedName name="ййй" localSheetId="5">#REF!</definedName>
    <definedName name="ййй" localSheetId="3">#REF!</definedName>
    <definedName name="ййй">#REF!</definedName>
    <definedName name="Наименование_МТР" localSheetId="2">#REF!</definedName>
    <definedName name="Наименование_МТР" localSheetId="4">#REF!</definedName>
    <definedName name="Наименование_МТР" localSheetId="6">#REF!</definedName>
    <definedName name="Наименование_МТР" localSheetId="5">#REF!</definedName>
    <definedName name="Наименование_МТР" localSheetId="3">#REF!</definedName>
    <definedName name="Наименование_МТР" localSheetId="1">#REF!</definedName>
    <definedName name="Наименование_МТР">#REF!</definedName>
    <definedName name="НД" localSheetId="2">#REF!</definedName>
    <definedName name="НД" localSheetId="4">#REF!</definedName>
    <definedName name="НД" localSheetId="6">#REF!</definedName>
    <definedName name="НД" localSheetId="5">#REF!</definedName>
    <definedName name="НД" localSheetId="3">#REF!</definedName>
    <definedName name="НД" localSheetId="1">#REF!</definedName>
    <definedName name="НД">#REF!</definedName>
    <definedName name="_xlnm.Print_Area" localSheetId="2">'1024'!$A$1:$GI$111</definedName>
    <definedName name="_xlnm.Print_Area" localSheetId="4">'1035'!$A$1:$GI$111</definedName>
    <definedName name="_xlnm.Print_Area" localSheetId="6">'1036'!$A$1:$GI$111</definedName>
    <definedName name="_xlnm.Print_Area" localSheetId="5">'1045'!$A$1:$GI$111</definedName>
    <definedName name="_xlnm.Print_Area" localSheetId="3">'10455'!$A$1:$GI$111</definedName>
    <definedName name="_xlnm.Print_Area" localSheetId="1">'АВК ЭОМ'!$A$1:$J$28</definedName>
    <definedName name="Объект" localSheetId="2">#REF!</definedName>
    <definedName name="Объект" localSheetId="4">#REF!</definedName>
    <definedName name="Объект" localSheetId="6">#REF!</definedName>
    <definedName name="Объект" localSheetId="5">#REF!</definedName>
    <definedName name="Объект" localSheetId="3">#REF!</definedName>
    <definedName name="Объект" localSheetId="1">#REF!</definedName>
    <definedName name="Объект">#REF!</definedName>
    <definedName name="Подобъект" localSheetId="2">#REF!</definedName>
    <definedName name="Подобъект" localSheetId="4">#REF!</definedName>
    <definedName name="Подобъект" localSheetId="6">#REF!</definedName>
    <definedName name="Подобъект" localSheetId="5">#REF!</definedName>
    <definedName name="Подобъект" localSheetId="3">#REF!</definedName>
    <definedName name="Подобъект" localSheetId="1">#REF!</definedName>
    <definedName name="Подобъект">#REF!</definedName>
    <definedName name="подрядчик_должность" localSheetId="2">#REF!</definedName>
    <definedName name="подрядчик_должность" localSheetId="4">#REF!</definedName>
    <definedName name="подрядчик_должность" localSheetId="6">#REF!</definedName>
    <definedName name="подрядчик_должность" localSheetId="5">#REF!</definedName>
    <definedName name="подрядчик_должность" localSheetId="3">#REF!</definedName>
    <definedName name="подрядчик_должность" localSheetId="1">#REF!</definedName>
    <definedName name="подрядчик_должность">#REF!</definedName>
    <definedName name="подрядчик_фамилия" localSheetId="2">#REF!</definedName>
    <definedName name="подрядчик_фамилия" localSheetId="4">#REF!</definedName>
    <definedName name="подрядчик_фамилия" localSheetId="6">#REF!</definedName>
    <definedName name="подрядчик_фамилия" localSheetId="5">#REF!</definedName>
    <definedName name="подрядчик_фамилия" localSheetId="3">#REF!</definedName>
    <definedName name="подрядчик_фамилия" localSheetId="1">#REF!</definedName>
    <definedName name="подрядчик_фамилия">#REF!</definedName>
    <definedName name="поставщик" localSheetId="2">#REF!</definedName>
    <definedName name="поставщик" localSheetId="4">#REF!</definedName>
    <definedName name="поставщик" localSheetId="6">#REF!</definedName>
    <definedName name="поставщик" localSheetId="5">#REF!</definedName>
    <definedName name="поставщик" localSheetId="3">#REF!</definedName>
    <definedName name="поставщик" localSheetId="1">#REF!</definedName>
    <definedName name="поставщик">#REF!</definedName>
    <definedName name="прпрпрпрп" localSheetId="2">#REF!</definedName>
    <definedName name="прпрпрпрп" localSheetId="4">#REF!</definedName>
    <definedName name="прпрпрпрп" localSheetId="6">#REF!</definedName>
    <definedName name="прпрпрпрп" localSheetId="5">#REF!</definedName>
    <definedName name="прпрпрпрп" localSheetId="3">#REF!</definedName>
    <definedName name="прпрпрпрп">#REF!</definedName>
    <definedName name="Склад_должность" localSheetId="2">#REF!</definedName>
    <definedName name="Склад_должность" localSheetId="4">#REF!</definedName>
    <definedName name="Склад_должность" localSheetId="6">#REF!</definedName>
    <definedName name="Склад_должность" localSheetId="5">#REF!</definedName>
    <definedName name="Склад_должность" localSheetId="3">#REF!</definedName>
    <definedName name="Склад_должность" localSheetId="1">#REF!</definedName>
    <definedName name="Склад_должность">#REF!</definedName>
    <definedName name="Склад_фамилия" localSheetId="2">#REF!</definedName>
    <definedName name="Склад_фамилия" localSheetId="4">#REF!</definedName>
    <definedName name="Склад_фамилия" localSheetId="6">#REF!</definedName>
    <definedName name="Склад_фамилия" localSheetId="5">#REF!</definedName>
    <definedName name="Склад_фамилия" localSheetId="3">#REF!</definedName>
    <definedName name="Склад_фамилия" localSheetId="1">#REF!</definedName>
    <definedName name="Склад_фамилия">#REF!</definedName>
    <definedName name="соответствие" localSheetId="2">#REF!</definedName>
    <definedName name="соответствие" localSheetId="4">#REF!</definedName>
    <definedName name="соответствие" localSheetId="6">#REF!</definedName>
    <definedName name="соответствие" localSheetId="5">#REF!</definedName>
    <definedName name="соответствие" localSheetId="3">#REF!</definedName>
    <definedName name="соответствие" localSheetId="1">#REF!</definedName>
    <definedName name="соответствие">#REF!</definedName>
    <definedName name="соответствуют" localSheetId="2">#REF!</definedName>
    <definedName name="соответствуют" localSheetId="4">#REF!</definedName>
    <definedName name="соответствуют" localSheetId="6">#REF!</definedName>
    <definedName name="соответствуют" localSheetId="5">#REF!</definedName>
    <definedName name="соответствуют" localSheetId="3">#REF!</definedName>
    <definedName name="соответствуют" localSheetId="1">#REF!</definedName>
    <definedName name="соответствуют">#REF!</definedName>
    <definedName name="технадзор_фамилия" localSheetId="2">#REF!</definedName>
    <definedName name="технадзор_фамилия" localSheetId="4">#REF!</definedName>
    <definedName name="технадзор_фамилия" localSheetId="6">#REF!</definedName>
    <definedName name="технадзор_фамилия" localSheetId="5">#REF!</definedName>
    <definedName name="технадзор_фамилия" localSheetId="3">#REF!</definedName>
    <definedName name="технадзор_фамилия" localSheetId="1">#REF!</definedName>
    <definedName name="технадзор_фамилия">#REF!</definedName>
    <definedName name="Техническое_обозначение" localSheetId="2">#REF!</definedName>
    <definedName name="Техническое_обозначение" localSheetId="4">#REF!</definedName>
    <definedName name="Техническое_обозначение" localSheetId="6">#REF!</definedName>
    <definedName name="Техническое_обозначение" localSheetId="5">#REF!</definedName>
    <definedName name="Техническое_обозначение" localSheetId="3">#REF!</definedName>
    <definedName name="Техническое_обозначение" localSheetId="1">#REF!</definedName>
    <definedName name="Техническое_обозначение">#REF!</definedName>
    <definedName name="УКС_фамилия" localSheetId="2">#REF!</definedName>
    <definedName name="УКС_фамилия" localSheetId="4">#REF!</definedName>
    <definedName name="УКС_фамилия" localSheetId="6">#REF!</definedName>
    <definedName name="УКС_фамилия" localSheetId="5">#REF!</definedName>
    <definedName name="УКС_фамилия" localSheetId="3">#REF!</definedName>
    <definedName name="УКС_фамилия" localSheetId="1">#REF!</definedName>
    <definedName name="УКС_фамилия">#REF!</definedName>
    <definedName name="Шифр_РД" localSheetId="2">#REF!</definedName>
    <definedName name="Шифр_РД" localSheetId="4">#REF!</definedName>
    <definedName name="Шифр_РД" localSheetId="6">#REF!</definedName>
    <definedName name="Шифр_РД" localSheetId="5">#REF!</definedName>
    <definedName name="Шифр_РД" localSheetId="3">#REF!</definedName>
    <definedName name="Шифр_РД" localSheetId="1">#REF!</definedName>
    <definedName name="Шифр_РД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59" i="58" l="1"/>
  <c r="C24" i="16"/>
  <c r="F23" i="16"/>
  <c r="F12" i="16"/>
  <c r="C10" i="16"/>
  <c r="H10" i="16"/>
  <c r="F11" i="16"/>
  <c r="F17" i="16"/>
  <c r="F16" i="16"/>
  <c r="F9" i="16"/>
  <c r="F8" i="16"/>
  <c r="F7" i="16"/>
  <c r="F6" i="16"/>
  <c r="H2" i="16"/>
  <c r="F5" i="16"/>
  <c r="F1" i="16"/>
  <c r="C15" i="16" l="1"/>
  <c r="AA86" i="59" l="1"/>
  <c r="DC81" i="59"/>
  <c r="AH81" i="59"/>
  <c r="H81" i="59"/>
  <c r="O59" i="59"/>
  <c r="AW55" i="59"/>
  <c r="FP54" i="59"/>
  <c r="CG50" i="59"/>
  <c r="BM50" i="59"/>
  <c r="BE50" i="59"/>
  <c r="CM37" i="59"/>
  <c r="EO31" i="59"/>
  <c r="DS34" i="59" s="1"/>
  <c r="DS36" i="59" s="1"/>
  <c r="AS31" i="59"/>
  <c r="J37" i="59" s="1"/>
  <c r="GJ29" i="59"/>
  <c r="GJ28" i="59"/>
  <c r="GJ27" i="59"/>
  <c r="GJ26" i="59"/>
  <c r="GJ25" i="59"/>
  <c r="GJ24" i="59"/>
  <c r="GJ23" i="59"/>
  <c r="GJ22" i="59"/>
  <c r="GJ21" i="59"/>
  <c r="GJ20" i="59"/>
  <c r="GJ19" i="59"/>
  <c r="GJ18" i="59"/>
  <c r="GJ30" i="59" s="1"/>
  <c r="AA86" i="60"/>
  <c r="DC81" i="60"/>
  <c r="AH81" i="60"/>
  <c r="H81" i="60"/>
  <c r="O59" i="60"/>
  <c r="AW55" i="60"/>
  <c r="FP54" i="60"/>
  <c r="CG50" i="60"/>
  <c r="BM50" i="60"/>
  <c r="BE50" i="60"/>
  <c r="CM37" i="60"/>
  <c r="DS36" i="60"/>
  <c r="DS34" i="60"/>
  <c r="EO31" i="60"/>
  <c r="AS31" i="60"/>
  <c r="GJ29" i="60"/>
  <c r="GJ28" i="60"/>
  <c r="GJ27" i="60"/>
  <c r="GJ26" i="60"/>
  <c r="GJ25" i="60"/>
  <c r="GJ24" i="60"/>
  <c r="GJ23" i="60"/>
  <c r="GJ22" i="60"/>
  <c r="GJ21" i="60"/>
  <c r="GJ20" i="60"/>
  <c r="GJ19" i="60"/>
  <c r="GJ18" i="60"/>
  <c r="GJ30" i="60" s="1"/>
  <c r="AA86" i="58"/>
  <c r="DC81" i="58"/>
  <c r="AH81" i="58"/>
  <c r="H81" i="58"/>
  <c r="AW55" i="58"/>
  <c r="FP54" i="58"/>
  <c r="CG50" i="58"/>
  <c r="BM50" i="58"/>
  <c r="BE50" i="58"/>
  <c r="CM37" i="58"/>
  <c r="EO31" i="58"/>
  <c r="DS34" i="58" s="1"/>
  <c r="DS36" i="58" s="1"/>
  <c r="AS31" i="58"/>
  <c r="GJ29" i="58"/>
  <c r="GJ28" i="58"/>
  <c r="GJ27" i="58"/>
  <c r="GJ26" i="58"/>
  <c r="GJ25" i="58"/>
  <c r="GJ24" i="58"/>
  <c r="GJ23" i="58"/>
  <c r="GJ22" i="58"/>
  <c r="GJ21" i="58"/>
  <c r="GJ20" i="58"/>
  <c r="GJ19" i="58"/>
  <c r="GJ18" i="58"/>
  <c r="AA86" i="57"/>
  <c r="DC81" i="57"/>
  <c r="AH81" i="57"/>
  <c r="H81" i="57"/>
  <c r="O59" i="57"/>
  <c r="AW55" i="57"/>
  <c r="FP54" i="57"/>
  <c r="CG50" i="57"/>
  <c r="BM50" i="57"/>
  <c r="BE50" i="57"/>
  <c r="CM37" i="57"/>
  <c r="EO31" i="57"/>
  <c r="DS34" i="57" s="1"/>
  <c r="DS36" i="57" s="1"/>
  <c r="AS31" i="57"/>
  <c r="GJ29" i="57"/>
  <c r="GJ28" i="57"/>
  <c r="GJ27" i="57"/>
  <c r="GJ26" i="57"/>
  <c r="GJ25" i="57"/>
  <c r="GJ24" i="57"/>
  <c r="GJ23" i="57"/>
  <c r="GJ22" i="57"/>
  <c r="GJ21" i="57"/>
  <c r="GJ20" i="57"/>
  <c r="GJ19" i="57"/>
  <c r="GJ18" i="57"/>
  <c r="GJ30" i="57" s="1"/>
  <c r="AA86" i="61"/>
  <c r="DC81" i="61"/>
  <c r="AH81" i="61"/>
  <c r="H81" i="61"/>
  <c r="O59" i="61"/>
  <c r="AW55" i="61"/>
  <c r="FP54" i="61"/>
  <c r="CG50" i="61"/>
  <c r="BM50" i="61"/>
  <c r="BE50" i="61"/>
  <c r="CM37" i="61"/>
  <c r="DS36" i="61"/>
  <c r="GJ29" i="61"/>
  <c r="GJ28" i="61"/>
  <c r="GJ27" i="61"/>
  <c r="GJ26" i="61"/>
  <c r="GJ25" i="61"/>
  <c r="GJ24" i="61"/>
  <c r="GJ23" i="61"/>
  <c r="GJ22" i="61"/>
  <c r="GJ21" i="61"/>
  <c r="GJ20" i="61"/>
  <c r="GJ19" i="61"/>
  <c r="GJ18" i="61"/>
  <c r="GJ30" i="61" s="1"/>
  <c r="F28" i="16"/>
  <c r="F27" i="16"/>
  <c r="F26" i="16"/>
  <c r="A26" i="16"/>
  <c r="A27" i="16" s="1"/>
  <c r="A28" i="16" s="1"/>
  <c r="V4" i="52"/>
  <c r="R4" i="52"/>
  <c r="Q4" i="52"/>
  <c r="GJ30" i="58" l="1"/>
</calcChain>
</file>

<file path=xl/sharedStrings.xml><?xml version="1.0" encoding="utf-8"?>
<sst xmlns="http://schemas.openxmlformats.org/spreadsheetml/2006/main" count="3591" uniqueCount="716">
  <si>
    <t>№ и дата накладной:</t>
  </si>
  <si>
    <t>соответствуют</t>
  </si>
  <si>
    <t>Комиссия в составе представителей:</t>
  </si>
  <si>
    <t>Приложения:</t>
  </si>
  <si>
    <t xml:space="preserve">Количество:                                    </t>
  </si>
  <si>
    <t>Сабот А.И.</t>
  </si>
  <si>
    <t xml:space="preserve">Транспортная накладная </t>
  </si>
  <si>
    <t>Акт входного контроля №</t>
  </si>
  <si>
    <t>Сердечкин М.А.</t>
  </si>
  <si>
    <t xml:space="preserve">от </t>
  </si>
  <si>
    <t>ООО «СевКомНефтегаз»</t>
  </si>
  <si>
    <t>Титов М.С.</t>
  </si>
  <si>
    <t xml:space="preserve"> </t>
  </si>
  <si>
    <t>Кучеренко Д.В.</t>
  </si>
  <si>
    <t xml:space="preserve">   В результате входного контроля комиссией установлено, что МТР  </t>
  </si>
  <si>
    <t xml:space="preserve">   технической документации заводов-изготовителей.</t>
  </si>
  <si>
    <t xml:space="preserve">   В результате входного контроля выявлены следующие несоответствия МТР НТД или чертежам:</t>
  </si>
  <si>
    <t xml:space="preserve">   Дата прихода:</t>
  </si>
  <si>
    <t xml:space="preserve">   Код КСМ:</t>
  </si>
  <si>
    <t xml:space="preserve">   № первичной заявки:</t>
  </si>
  <si>
    <t xml:space="preserve">   Объект капитального строительства:</t>
  </si>
  <si>
    <t xml:space="preserve">   Шифр РД</t>
  </si>
  <si>
    <t xml:space="preserve">   Наименование дочерней организации:</t>
  </si>
  <si>
    <t xml:space="preserve">   Наименование МТР, Техническое обозначение</t>
  </si>
  <si>
    <t xml:space="preserve">   Заводской номер или номер партии, плавки</t>
  </si>
  <si>
    <t xml:space="preserve">   Завод-изготовитель</t>
  </si>
  <si>
    <t xml:space="preserve">   Дата изготовления МТР</t>
  </si>
  <si>
    <t xml:space="preserve">   Поставщик:</t>
  </si>
  <si>
    <t xml:space="preserve">   Номера НД, чертежей, по которым проводилась проверка
   качества МТР</t>
  </si>
  <si>
    <t xml:space="preserve"> Ведущий специалист  ООКСООиИ УКС ООО «СКН»</t>
  </si>
  <si>
    <t xml:space="preserve"> Ведущий специалист ООО «РН-СтройКонтроль»</t>
  </si>
  <si>
    <t>Соколов В. С.</t>
  </si>
  <si>
    <t>Абраменко Д.Г.</t>
  </si>
  <si>
    <t>Инженер СКК ООО «СтройПроектСервис»</t>
  </si>
  <si>
    <t>-</t>
  </si>
  <si>
    <t xml:space="preserve">
</t>
  </si>
  <si>
    <t>Мордвинкин А.В.</t>
  </si>
  <si>
    <t>Номер акта</t>
  </si>
  <si>
    <t>ГОСТ, ТУ</t>
  </si>
  <si>
    <t>Шифр проекта</t>
  </si>
  <si>
    <t>дата изготовления</t>
  </si>
  <si>
    <t>транспортная накладная</t>
  </si>
  <si>
    <t>Паспорт, сертификат</t>
  </si>
  <si>
    <t>Вид упаковки</t>
  </si>
  <si>
    <t>ООО "СтройПроектСервис"</t>
  </si>
  <si>
    <t>АВК:</t>
  </si>
  <si>
    <t>Sub PrintCopiesWithNumbers()
Dim i As Integer
Application.ScreenUpdating = False
For i = 1 To 3
Range("A1").Value = "'00" &amp; i
ActiveSheet.PrintOut
Next i
Application.ScreenUpdating = True
MsgBox "Totally print" &amp; (i - 1) &amp; "copies", vbInformation, "Kutools forExcel"
End Sub</t>
  </si>
  <si>
    <t>Нечипоренко А.В.</t>
  </si>
  <si>
    <t>Типовая межотраслевая форма № 1-Т</t>
  </si>
  <si>
    <t>Утверждена Постановлением Госкомстата России</t>
  </si>
  <si>
    <t>от 28.11.97 № 78</t>
  </si>
  <si>
    <t>Коды</t>
  </si>
  <si>
    <t>Форма по ОКУД</t>
  </si>
  <si>
    <t>0345009</t>
  </si>
  <si>
    <t>ТОВАРНО-ТРАНСПОРТНАЯ НАКЛАДНАЯ</t>
  </si>
  <si>
    <t>А</t>
  </si>
  <si>
    <t>№</t>
  </si>
  <si>
    <t>(серия)</t>
  </si>
  <si>
    <t>07</t>
  </si>
  <si>
    <t>2023</t>
  </si>
  <si>
    <t>Дата составления</t>
  </si>
  <si>
    <t>Грузоотправитель</t>
  </si>
  <si>
    <t>ООО "СтройПроектСервис" 664014, г. Иркутск, ул. Леси Украинки, д. 35-101, ОГРН: 1073812008643, ИНН: 3812100526, телефон: +73952486001, , тел.: +73952486001</t>
  </si>
  <si>
    <t>по ОКПО</t>
  </si>
  <si>
    <t>(полное наименование организации, адрес, номер телефона)</t>
  </si>
  <si>
    <t>Грузополучатель</t>
  </si>
  <si>
    <t>Плательщик</t>
  </si>
  <si>
    <t>(полное наименование организации, адрес, банковские реквизиты)</t>
  </si>
  <si>
    <t>1. ТОВАРНЫЙ РАЗДЕЛ (заполняется грузоотправителем)</t>
  </si>
  <si>
    <t>Код
продукции
(номенкла-
турный
номер)</t>
  </si>
  <si>
    <t>Серийный номер</t>
  </si>
  <si>
    <t>Артикул или
номер по
прейскуранту</t>
  </si>
  <si>
    <t>Количество</t>
  </si>
  <si>
    <t>Цена,
руб. коп.</t>
  </si>
  <si>
    <t>Наименование продукции, товара (груза), ТУ, марка, размер, сорт</t>
  </si>
  <si>
    <t>Единица измерения</t>
  </si>
  <si>
    <t>Сумма,
руб. коп.</t>
  </si>
  <si>
    <t>Порядковый номер
записи по склад-
ской картотеке
(грузоотправителю,
грузополучателю)</t>
  </si>
  <si>
    <t>1</t>
  </si>
  <si>
    <t>273х7-09Г2С-14 ТС-623.000-006</t>
  </si>
  <si>
    <t>шт.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</si>
  <si>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</si>
  <si>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</si>
  <si>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</si>
  <si>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</si>
  <si>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</si>
  <si>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</si>
  <si>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</si>
  <si>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</si>
  <si>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</si>
  <si>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</si>
  <si>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</si>
  <si>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</si>
  <si>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Товарная накладная имеет продолжение на</t>
  </si>
  <si>
    <t>листах, на бланках за №</t>
  </si>
  <si>
    <t>Наценка, %</t>
  </si>
  <si>
    <t>и содержит</t>
  </si>
  <si>
    <t>порядковых номеров записей</t>
  </si>
  <si>
    <t>Складские или транспортные расходы</t>
  </si>
  <si>
    <t>(прописью)</t>
  </si>
  <si>
    <t>Всего наименований</t>
  </si>
  <si>
    <t>Масса груза (нетто)</t>
  </si>
  <si>
    <t>Всего мест</t>
  </si>
  <si>
    <t>Масса груза (брутто)</t>
  </si>
  <si>
    <t>Всего к оплате</t>
  </si>
  <si>
    <t>Приложение (паспорта,сертификаты и т.п.) на</t>
  </si>
  <si>
    <t>листах</t>
  </si>
  <si>
    <t>По доверенности №</t>
  </si>
  <si>
    <t>от «</t>
  </si>
  <si>
    <t>»</t>
  </si>
  <si>
    <t xml:space="preserve"> г.</t>
  </si>
  <si>
    <t>Всего отпущено на сумму</t>
  </si>
  <si>
    <t>руб.</t>
  </si>
  <si>
    <t>коп.</t>
  </si>
  <si>
    <t>выданной</t>
  </si>
  <si>
    <t>Главный (старший)</t>
  </si>
  <si>
    <t>Груз к перевозке принял</t>
  </si>
  <si>
    <t>водитель</t>
  </si>
  <si>
    <t>Сундеев Виктор Иванович</t>
  </si>
  <si>
    <t>Сундеев В.И.</t>
  </si>
  <si>
    <t>Отпуск разрешил</t>
  </si>
  <si>
    <t>(должность)</t>
  </si>
  <si>
    <t>(подпись)</t>
  </si>
  <si>
    <t>Менеджер</t>
  </si>
  <si>
    <t>Черепмей А.С.</t>
  </si>
  <si>
    <t>бухгалтер</t>
  </si>
  <si>
    <t>(расшифровка подписи)</t>
  </si>
  <si>
    <t>(При личном приеме товара по количеству и ассортименту)</t>
  </si>
  <si>
    <t>Отпуск груза произвел</t>
  </si>
  <si>
    <t>Кладовщик</t>
  </si>
  <si>
    <t>Петров С.Н.</t>
  </si>
  <si>
    <t>М.П.</t>
  </si>
  <si>
    <t>«</t>
  </si>
  <si>
    <t>г.</t>
  </si>
  <si>
    <t>Груз получил грузополучатель</t>
  </si>
  <si>
    <t>2. ТРАНСПОРТНЫЙ РАЗДЕЛ</t>
  </si>
  <si>
    <t>Оборотная сторона формы № 1-Т</t>
  </si>
  <si>
    <t>Регистрационный №</t>
  </si>
  <si>
    <t>Серия</t>
  </si>
  <si>
    <t>Срок доставки груза</t>
  </si>
  <si>
    <t>по прибытию</t>
  </si>
  <si>
    <t>ТТН №</t>
  </si>
  <si>
    <t>Организация</t>
  </si>
  <si>
    <t>Автомобиль</t>
  </si>
  <si>
    <t>MERCEDES-BENZ</t>
  </si>
  <si>
    <t>Государственный номерной знак</t>
  </si>
  <si>
    <t>Т538ВЕ138</t>
  </si>
  <si>
    <t>К путевому</t>
  </si>
  <si>
    <t>листу №</t>
  </si>
  <si>
    <t>(наименование, адрес, номер телефона, банковские реквизиты)</t>
  </si>
  <si>
    <t>(марка)</t>
  </si>
  <si>
    <t>Заказчик (плательщик)</t>
  </si>
  <si>
    <t xml:space="preserve">(наименование, адрес, номер телефона, банковские реквизиты) </t>
  </si>
  <si>
    <t>Водитель</t>
  </si>
  <si>
    <t>Удостоверение №</t>
  </si>
  <si>
    <t>38 30 887605</t>
  </si>
  <si>
    <t>(фамилия, имя, отчество)</t>
  </si>
  <si>
    <t>Лицензионная карточка</t>
  </si>
  <si>
    <t>стандартная, ограниченная</t>
  </si>
  <si>
    <t>Вид перевозки</t>
  </si>
  <si>
    <t>Авто</t>
  </si>
  <si>
    <t>Код</t>
  </si>
  <si>
    <t>Пункт погрузки</t>
  </si>
  <si>
    <t>г. Иркутск, база Жилкино</t>
  </si>
  <si>
    <t>Пункт разгрузки</t>
  </si>
  <si>
    <t>Северо Комсомольское м/р, ВЖК</t>
  </si>
  <si>
    <t>Маршрут</t>
  </si>
  <si>
    <t>(адрес, номер телефона)</t>
  </si>
  <si>
    <t>Переадресовка</t>
  </si>
  <si>
    <t>нет</t>
  </si>
  <si>
    <t>1. Прицеп</t>
  </si>
  <si>
    <t>УСТ 94651К</t>
  </si>
  <si>
    <t>АО816738</t>
  </si>
  <si>
    <t>Гаражный номер</t>
  </si>
  <si>
    <t>(наименование и адрес нового грузополучателя, номер распоряжения)</t>
  </si>
  <si>
    <t>2. Прицеп</t>
  </si>
  <si>
    <t>(подпись ответственного лица)</t>
  </si>
  <si>
    <t>С В Е Д Е Н И Я   О   Г Р У З Е</t>
  </si>
  <si>
    <t>Краткое наименование груза</t>
  </si>
  <si>
    <t>С грузом следуют документы</t>
  </si>
  <si>
    <t>Количество мест</t>
  </si>
  <si>
    <t>Способ определения массы</t>
  </si>
  <si>
    <t>Код груза</t>
  </si>
  <si>
    <t>Номер кон- тейнера</t>
  </si>
  <si>
    <t>Класс груза</t>
  </si>
  <si>
    <r>
      <t xml:space="preserve">Масса брутто,
</t>
    </r>
    <r>
      <rPr>
        <b/>
        <sz val="7"/>
        <color rgb="FF000000"/>
        <rFont val="Times New Roman"/>
        <family val="1"/>
        <charset val="204"/>
      </rPr>
      <t>т</t>
    </r>
  </si>
  <si>
    <t>согласно ТТН</t>
  </si>
  <si>
    <t>Указанный груз с исправной</t>
  </si>
  <si>
    <t>кол-во</t>
  </si>
  <si>
    <t>Итого: масса брутто,л</t>
  </si>
  <si>
    <t>пломбой, тарой и упаковкой</t>
  </si>
  <si>
    <t>мест</t>
  </si>
  <si>
    <t>ездок, заездов</t>
  </si>
  <si>
    <t>(оттиск)</t>
  </si>
  <si>
    <t>Массой брутто</t>
  </si>
  <si>
    <t>т</t>
  </si>
  <si>
    <t>к перевозке</t>
  </si>
  <si>
    <t xml:space="preserve"> Отметки о составленных актах</t>
  </si>
  <si>
    <t>Сдал</t>
  </si>
  <si>
    <t>сдал водитель-экспедитор</t>
  </si>
  <si>
    <t xml:space="preserve"> Транспортные услуги</t>
  </si>
  <si>
    <t>Принял водитель-</t>
  </si>
  <si>
    <t>место для штампа</t>
  </si>
  <si>
    <t>экспедитор</t>
  </si>
  <si>
    <t>Принял</t>
  </si>
  <si>
    <t>П О Г Р У З О Ч Н О - Р А З Г Р У З О Ч Н Ы Е   О П Е Р А Ц И И</t>
  </si>
  <si>
    <t>операция</t>
  </si>
  <si>
    <t>исполнитель (автовладелец,
получатель, отправитель)</t>
  </si>
  <si>
    <t>дополнительные операции
(наименование, количество)</t>
  </si>
  <si>
    <t>механизм, грузоподъемность,
емкость ковша</t>
  </si>
  <si>
    <t>способ</t>
  </si>
  <si>
    <t>дата (число, месяц), время, ч, мин.</t>
  </si>
  <si>
    <t>время допол-
нительных
операций, мин.</t>
  </si>
  <si>
    <t>подпись ответ-
ственного лица</t>
  </si>
  <si>
    <t>ручной, механизированный, наливом, самосвалом</t>
  </si>
  <si>
    <t>код</t>
  </si>
  <si>
    <t>прибытия</t>
  </si>
  <si>
    <t>убытия</t>
  </si>
  <si>
    <t>погрузка</t>
  </si>
  <si>
    <t>разгрузка</t>
  </si>
  <si>
    <t>П Р О Ч И Е   С В Е Д Е Н И Я  (заполняется организацией, владельцем автотранспорта)</t>
  </si>
  <si>
    <t>расстояние перевозки по группам дорог, км</t>
  </si>
  <si>
    <t>за транспортные услуги</t>
  </si>
  <si>
    <t>сумма штрафа за непра-
вильное оформление 
документов, руб. коп.</t>
  </si>
  <si>
    <t>поправочный коэффициент</t>
  </si>
  <si>
    <t>время простоя, ч, мин.</t>
  </si>
  <si>
    <t>Таксировка:</t>
  </si>
  <si>
    <t>всего</t>
  </si>
  <si>
    <t>в гор.</t>
  </si>
  <si>
    <t>I гр.</t>
  </si>
  <si>
    <t>II гр.</t>
  </si>
  <si>
    <t>III гр.</t>
  </si>
  <si>
    <t>экспеди-</t>
  </si>
  <si>
    <t>с клиента</t>
  </si>
  <si>
    <t>причитается
водителю</t>
  </si>
  <si>
    <t>расценка водителю</t>
  </si>
  <si>
    <t>основной
тариф</t>
  </si>
  <si>
    <t>под погруз-
кой</t>
  </si>
  <si>
    <t>под раз-
грузкой</t>
  </si>
  <si>
    <t>рования</t>
  </si>
  <si>
    <t>груза</t>
  </si>
  <si>
    <t>Расчет
стоимости</t>
  </si>
  <si>
    <t>За тонны</t>
  </si>
  <si>
    <t>За тонно-км</t>
  </si>
  <si>
    <t>Погрузочно- разгрузочные работы, тонн</t>
  </si>
  <si>
    <t>Недогрузка автомобиля и прицепа</t>
  </si>
  <si>
    <t>Экспеди- рование</t>
  </si>
  <si>
    <t>Сверхнормативный простой, ч, мин. при</t>
  </si>
  <si>
    <t>За сроч- ность заказа</t>
  </si>
  <si>
    <t>За специ- альный транспорт</t>
  </si>
  <si>
    <t>Прочие доплаты</t>
  </si>
  <si>
    <t>Всего</t>
  </si>
  <si>
    <t>погрузке</t>
  </si>
  <si>
    <t>разгрузке</t>
  </si>
  <si>
    <t xml:space="preserve">  Выполнено</t>
  </si>
  <si>
    <t>Таксировщик</t>
  </si>
  <si>
    <t>Расценка, руб. коп.</t>
  </si>
  <si>
    <t>К оплате, руб. коп.</t>
  </si>
  <si>
    <t>01</t>
  </si>
  <si>
    <t>января</t>
  </si>
  <si>
    <t>02</t>
  </si>
  <si>
    <t>февраля</t>
  </si>
  <si>
    <t>03</t>
  </si>
  <si>
    <t>марта</t>
  </si>
  <si>
    <t>04</t>
  </si>
  <si>
    <t>апреля</t>
  </si>
  <si>
    <t>05</t>
  </si>
  <si>
    <t>мая</t>
  </si>
  <si>
    <t>06</t>
  </si>
  <si>
    <t>июня</t>
  </si>
  <si>
    <t>июля</t>
  </si>
  <si>
    <t>08</t>
  </si>
  <si>
    <t>августа</t>
  </si>
  <si>
    <t>09</t>
  </si>
  <si>
    <t>сентября</t>
  </si>
  <si>
    <t>октября</t>
  </si>
  <si>
    <t>ноября</t>
  </si>
  <si>
    <t>декабря</t>
  </si>
  <si>
    <t xml:space="preserve">  Наименование МТР, Техническое обозначение</t>
  </si>
  <si>
    <t xml:space="preserve">Количество:  </t>
  </si>
  <si>
    <t>Дата АВК</t>
  </si>
  <si>
    <t>АВК (не трогать ничего тут) [0]</t>
  </si>
  <si>
    <t>ПАСПОРТ №1 [1]</t>
  </si>
  <si>
    <t>ПАСПОРТ №2 [2]</t>
  </si>
  <si>
    <t>ПАСПОРТ №3 [3]</t>
  </si>
  <si>
    <t>ТТН [4]</t>
  </si>
  <si>
    <t>КСМ</t>
  </si>
  <si>
    <t>Два</t>
  </si>
  <si>
    <t>Масса, кг</t>
  </si>
  <si>
    <t>1035</t>
  </si>
  <si>
    <t>0503-196-05</t>
  </si>
  <si>
    <t>Грунтовка "Трансколор"</t>
  </si>
  <si>
    <t>Лента полимерно-битмна на основе мастики "Трансколор" - Литколор-Л</t>
  </si>
  <si>
    <t>бочка</t>
  </si>
  <si>
    <t>связка/пакет</t>
  </si>
  <si>
    <t>рулон</t>
  </si>
  <si>
    <t>Обертка полиэтиленовая для защиты нефте-газопродуктопроводов ПОЛИЛЕН-ОБ 40-ОБ-63</t>
  </si>
  <si>
    <t>пал</t>
  </si>
  <si>
    <t>Прокат арматурный свариваемый А500С Арматура 18</t>
  </si>
  <si>
    <t>Прокат листовой горячекатаный 6х1500х6000</t>
  </si>
  <si>
    <t>Итого:</t>
  </si>
  <si>
    <t>лист</t>
  </si>
  <si>
    <t>8191 кг</t>
  </si>
  <si>
    <t>Несоответствия не выявлены</t>
  </si>
  <si>
    <t>1034</t>
  </si>
  <si>
    <t>28</t>
  </si>
  <si>
    <t>Грунт-эмаль СБЭ-111 "УНИПОЛ" марка Б цвет RAL 7036</t>
  </si>
  <si>
    <t xml:space="preserve">Портландцемент типа ЦЕМ I класса прочности 42,5 нормальнотвердеющий  ЦЕМ I 42,5Н </t>
  </si>
  <si>
    <t>26</t>
  </si>
  <si>
    <t>0503-196-17</t>
  </si>
  <si>
    <t>1024</t>
  </si>
  <si>
    <t xml:space="preserve">Песок </t>
  </si>
  <si>
    <t>м3</t>
  </si>
  <si>
    <t>110 м3</t>
  </si>
  <si>
    <t>Сталь горячекатаная толстолистовая Ст3сп 6х1500х6000</t>
  </si>
  <si>
    <t>1045</t>
  </si>
  <si>
    <t>0509-196-11</t>
  </si>
  <si>
    <t>Двутавр 20Ш1</t>
  </si>
  <si>
    <t>Масса, т</t>
  </si>
  <si>
    <t>Уголок стальной горячекатаный равнополочный 50,00 х 5,00 х12000</t>
  </si>
  <si>
    <t>Прокат повышенной прочности 6х1500х6000</t>
  </si>
  <si>
    <t>Полоса ГЛК 4х40 Ст3сп</t>
  </si>
  <si>
    <t>тн</t>
  </si>
  <si>
    <t>Шесть</t>
  </si>
  <si>
    <t>Семнадцать</t>
  </si>
  <si>
    <t>39,12 тн</t>
  </si>
  <si>
    <t>1036</t>
  </si>
  <si>
    <t>0503-196-7</t>
  </si>
  <si>
    <t>16,5 тн</t>
  </si>
  <si>
    <t xml:space="preserve">Северо Комсомольское м/р, КОС </t>
  </si>
  <si>
    <t>г. Карьер грунта С-К месторождения</t>
  </si>
  <si>
    <t>Электроды УОНИИ-13/55 4,0х4501 UONII-13/55</t>
  </si>
  <si>
    <t xml:space="preserve"> ООО "СибЛесТранс" 664074, г. Иркутск, ул. Леси Украинки, д. 35-101, ОГРН: 1023801752810, ИНН: 38121061605</t>
  </si>
  <si>
    <t>7740 кг</t>
  </si>
  <si>
    <t>0503-196-07</t>
  </si>
  <si>
    <t>Северо Комсомольское м/р, КОС</t>
  </si>
  <si>
    <t>Мастер СМР</t>
  </si>
  <si>
    <t>Сорока В.Н.</t>
  </si>
  <si>
    <t xml:space="preserve"> ООО "СибЛесТранс" ОГРН: 1023801752810, ИНН: 38121061605</t>
  </si>
  <si>
    <t>Кабель ППГнг(А)-FRHF 3х1,5</t>
  </si>
  <si>
    <t>Кабель ППГнг(А)-FRHF 3х2,5</t>
  </si>
  <si>
    <t>Кабель ППГнг(А)-FRHF 5х1,5</t>
  </si>
  <si>
    <t>Кабель ППГнг(А)-FRHF 5х16</t>
  </si>
  <si>
    <t>Кабель ППГнг(А)-FRHF 5х25</t>
  </si>
  <si>
    <t>Кабель ППГнг(А)-FRHF 5х4</t>
  </si>
  <si>
    <t>Кабель ППГнг(А)-FRHF-ХЛ 3х1,5</t>
  </si>
  <si>
    <t>Кабель ППГнг(А)-HF 3х1,5</t>
  </si>
  <si>
    <t>Кабель ППГнг(А)-HF 3х2,5</t>
  </si>
  <si>
    <t>Кабель ППГнг(А)-HF 3х4</t>
  </si>
  <si>
    <t>Кабель ППГнг(А)-HF 5х10</t>
  </si>
  <si>
    <t>Кабель ППГнг(А)-HF 5х16</t>
  </si>
  <si>
    <t>Кабель ППГнг(А)-HF 5х2,5</t>
  </si>
  <si>
    <t>Кабель ППГнг(А)-HF 5х25</t>
  </si>
  <si>
    <t>Кабель ППГнг(А)-HF 5х35</t>
  </si>
  <si>
    <t>Кабель ППГнг(А)-HF 5х4</t>
  </si>
  <si>
    <t>Кабель ППГнг(А)-HF 5х6</t>
  </si>
  <si>
    <t>Кабель ППГнг(А)-HF-ХЛ 3х1,5</t>
  </si>
  <si>
    <t>Кабель ППГнг(А)-HF-ХЛ 3х4</t>
  </si>
  <si>
    <t xml:space="preserve">Труба гофрированная ПВХ 20 мм с протяжкой легкая серая </t>
  </si>
  <si>
    <t xml:space="preserve">Труба гофрированная ПВХ 25 мм с протяжкой легкая серая </t>
  </si>
  <si>
    <t xml:space="preserve">Труба гофрированная ПВХ 32 мм с протяжкой легкая серая </t>
  </si>
  <si>
    <t xml:space="preserve">Труба гофрированная ПВХ 40 мм с протяжкой легкая серая </t>
  </si>
  <si>
    <t xml:space="preserve">Труба гофрированная ПВХ 50 мм с протяжкой легкая серая </t>
  </si>
  <si>
    <t>Труба ПВХ жесткая гладкая (серия 6) 25 мм</t>
  </si>
  <si>
    <t>Держатель с защелкой 20 мм для труб</t>
  </si>
  <si>
    <t>Держатель с защелкой 25 мм для труб</t>
  </si>
  <si>
    <t>Держатель с защелкой 32 мм для труб</t>
  </si>
  <si>
    <t>Держатель с защелкой 40 мм для труб</t>
  </si>
  <si>
    <t>Держатель с защелкой 50 мм для труб</t>
  </si>
  <si>
    <t>Муфта для труб гофрированных d20 мм</t>
  </si>
  <si>
    <t>Муфта для труб гофрированных d25 мм</t>
  </si>
  <si>
    <t>Муфта "труба-труба", IP67 25 мм тип BZ</t>
  </si>
  <si>
    <t>Направляющая для крепления держателей, L=200мм</t>
  </si>
  <si>
    <t>Хомут стальной с внутренней резьбой М6 d25-26 мм</t>
  </si>
  <si>
    <t>Металлорукав МРПИнг Nord 6  IP65</t>
  </si>
  <si>
    <t xml:space="preserve">Металлорукав МРПИнг Nord 20  IP65 </t>
  </si>
  <si>
    <t xml:space="preserve">Металлорукав МРПИнг Nord 25  IP65 </t>
  </si>
  <si>
    <t xml:space="preserve">Металлорукав МРПИнг Nord 32  IP65 </t>
  </si>
  <si>
    <t>Муфта вводная для металлорукава ВМ-25</t>
  </si>
  <si>
    <t>Скоба металлическая двухлапковая dн=8-9мм</t>
  </si>
  <si>
    <t>Скоба металлическая двухлапковая dн=25-26мм</t>
  </si>
  <si>
    <t>Скоба металлическая двухлапковая dн=38-40мм</t>
  </si>
  <si>
    <t>Трубка ТТК-(3:1)-20/6 термоусаживаемая, черная</t>
  </si>
  <si>
    <t>Лоток проволочный 100х300</t>
  </si>
  <si>
    <t>Перегородка SEP L3000 H100 серия  S5 Combitech</t>
  </si>
  <si>
    <t>Скоба ВММ-10 (ТМ) осн. 300мм</t>
  </si>
  <si>
    <t>Комплект соединения проволочного лотка</t>
  </si>
  <si>
    <t>Крепление к потолку BSF2901</t>
  </si>
  <si>
    <t>Профиль П-образный, 3000 мм BPM-29</t>
  </si>
  <si>
    <t>Шпилька М8х1000</t>
  </si>
  <si>
    <t>Болт c шестигранной головкой с частичной резьбой DIN 931, М8х70</t>
  </si>
  <si>
    <t xml:space="preserve">Гайка с насечкой, препятствующей откручиванию DIN 6923, М8 </t>
  </si>
  <si>
    <t>Шайба 8 DIN 125</t>
  </si>
  <si>
    <t>ВРУ с устройством АВР (ВРУ 588-19-2-ЭОМ)</t>
  </si>
  <si>
    <t>Панель противопожарных устройств (ППУ 588-19-2-ЭОМ)</t>
  </si>
  <si>
    <t>Щит кл (Щкл 588-19-2-ЭОМ)</t>
  </si>
  <si>
    <t>Щит освещения (1ЩО 588-19-2-ЭОМ)</t>
  </si>
  <si>
    <t>Щит освещения (2ЩО 588-19-2-ЭОМ)</t>
  </si>
  <si>
    <t>Щит освещения (3ЩО 588-19-2-ЭОМ)</t>
  </si>
  <si>
    <t>Щит аварийного освещения (ЩАО 588-19-2-ЭОМ)</t>
  </si>
  <si>
    <t>Щит аварийного освещения (2ЩАО 588-19-2-ЭОМ)</t>
  </si>
  <si>
    <t>Щит аварийного освещения (3ЩАО 588-19-2-ЭОМ)</t>
  </si>
  <si>
    <t>Щит ЯУО-9601-2874-IP54 (ЯУО 588-19-2-ЭОМ)</t>
  </si>
  <si>
    <t>Щит распределительный (1ЩР 588-19-2-ЭОМ)</t>
  </si>
  <si>
    <t>Щит распределительный (2ЩР 588-19-2-ЭОМ)</t>
  </si>
  <si>
    <t>Щит распределительный (3ЩР 588-19-2-ЭОМ)</t>
  </si>
  <si>
    <t>Щит силовой (1ЩСК 588-19-2-ЭОМ)</t>
  </si>
  <si>
    <t>Щит силовой (2ЩСК 588-19-2-ЭОМ)</t>
  </si>
  <si>
    <t>Щит силовой (3ЩСК 588-19-2-ЭОМ)</t>
  </si>
  <si>
    <t>Щит электроконвекторов (ЩСО 588-19-2-ЭОМ)</t>
  </si>
  <si>
    <t>Щит кондиционирования (1ЩК 588-19-2-ЭОМ)</t>
  </si>
  <si>
    <t>Щит кондиционирования (2ЩК 588-19-2-ЭОМ)</t>
  </si>
  <si>
    <t>Щит кондиционирования (3ЩК 588-19-2-ЭОМ)</t>
  </si>
  <si>
    <t xml:space="preserve">Ящик ЯТПР-0,25-220/12-У2 IP54 </t>
  </si>
  <si>
    <t>Светильник ДСП-2х24 светодиодный пылевлагозащищенный DSP-AC-224-IP65-LED</t>
  </si>
  <si>
    <t>Светильник ДСП-2х24 пылевлагозащищенный DSP-AC-224-4К-IP65-LED-A1</t>
  </si>
  <si>
    <t>Светильник светодиодный ДВО-36w NLP-PS2-36-4К-IP20-LED-A1</t>
  </si>
  <si>
    <t>Светильник светодиодный ДВО-36w NLP-PS2-36-4К</t>
  </si>
  <si>
    <t>Светильник светодиодный ДВО-36w NLP-OS2-36-4К</t>
  </si>
  <si>
    <t>Светильник светодиодный потолочный NBL-P-18-4K-WH-LED</t>
  </si>
  <si>
    <t>Светильник светодиодный потолочный NBL-P-18-4K-WH-LED-A1</t>
  </si>
  <si>
    <t>Светильник светодиодный встраиваемый 10Вт 750лм круглый IP44 NDL-P1-10-840-WH-LED</t>
  </si>
  <si>
    <t>Светильник светодиодный встраиваемый 20Вт 1650лм круглый IP44 NDL-P1-20-840-WH-LED</t>
  </si>
  <si>
    <t>Светильник аварийный светодиодный ДПА-5040 3,5Вт IP54 (250х110х51)</t>
  </si>
  <si>
    <t>Светильник УСС-9 светодиодный, 11 Вт, IP67, УХЛ1 потолочный (170х205х87)</t>
  </si>
  <si>
    <t>Светильник УСС-9 светодиодный, 11 Вт, IP67, УХЛ1 (218х214х98)</t>
  </si>
  <si>
    <t>Блок аварийного питания 1 ч 3-24 Вт для LED ND-EF03</t>
  </si>
  <si>
    <t>Этикетка самоклеющаяся "Станция пожаротушения" 200х100 мм</t>
  </si>
  <si>
    <t>Коробка ответвительная с гладкими стенками и прозрачной крышкой, IP56, 300х220х120мм ДКС</t>
  </si>
  <si>
    <t>Сальник кабельный, диаметр проводника 13-18мм IP68 MG 25</t>
  </si>
  <si>
    <t>Выключатель одноклавишный ВС20-1-0-ГПБ Гермес PLUS наружный IP54</t>
  </si>
  <si>
    <t>Выключатель двухклавишный ВС20-2-0-ГПБ Гермес PLUS наружный IP54</t>
  </si>
  <si>
    <t>Выключатель одноклавишный наружный белый IP20 ВА10-001В</t>
  </si>
  <si>
    <t>Выключатель двухклавишный наружный белый IP20 ВА10-002В</t>
  </si>
  <si>
    <t>Выключатель одноклавишный проходной наружный белый IP20 ВА10-004В</t>
  </si>
  <si>
    <t>Розетка РСб20-3-ГПБд  с заземлением, с крышкой наружная IP54 ГЕРМЕС PLUS</t>
  </si>
  <si>
    <t>Розетка РСб22-3-ГПБд двойная с заземлением, с крышкой наружная IP54 ГЕРМЕС PLUS</t>
  </si>
  <si>
    <t>Розетка наружная  с заземлением со шторками IP20 белая РА16-004В</t>
  </si>
  <si>
    <t>Розетка двойная наружная  с заземлением со шторками IP20 белая РА16-008В</t>
  </si>
  <si>
    <t>Розетка стационарная ССИ-115 16А-6ч/200/346-240/415В 3Р+РЕ+N IP44 MAGNUM IEK</t>
  </si>
  <si>
    <t>Вилка переносная ССИ-015 16А-6ч/200/346-240/415В 3Р+РЕ+N IP44 MAGNUM IEK</t>
  </si>
  <si>
    <t>Коробка распаячная  TYCO 67030,  70х70х40, IP55 серая</t>
  </si>
  <si>
    <t>Коробка распаячная огнестойкая FS 100х100х50 4Р, 4 кв. мм., 6 вводов, IP55 FSB11404</t>
  </si>
  <si>
    <t>Коробка КРВ 25 распаячная (Fortisflex)</t>
  </si>
  <si>
    <t>Кабель-канал ТМС 25х17 ДКС 00304</t>
  </si>
  <si>
    <t>Угол плоский АРМ ТМС 25х17 ДКС 00415</t>
  </si>
  <si>
    <t>Кабель-канал ТМС 40х17 ДКС 00351</t>
  </si>
  <si>
    <t>Кабель-канал ТМС 40/2х17 ДКС 00305</t>
  </si>
  <si>
    <t>Угол плоский Г-образный АРМ ТМС 40х17 ДКС 00425</t>
  </si>
  <si>
    <t>Короб с крышкой TA-GN 60х40, с направляющими для установки разделителей ДКС 01780</t>
  </si>
  <si>
    <t>Угол внутренний изменяемый NIAV 60х40 ДКС 01723</t>
  </si>
  <si>
    <t>Угол плоский NPAN 60х40 ДКС 01739</t>
  </si>
  <si>
    <t>Тройник/отвод 60х40 ДКС 01755</t>
  </si>
  <si>
    <t>Накладка на стык крышки GAN 60 ДКС 00885</t>
  </si>
  <si>
    <t>Накладка на стык профиля SGAN 40 ДКС 00823</t>
  </si>
  <si>
    <t>Короб с крышкой TA-GN 80х60, с направляющими для установки разделителей ДКС 01785</t>
  </si>
  <si>
    <t>Угол внутренний изменяемый NIAV 80х60 ДКС 01728</t>
  </si>
  <si>
    <t>Угол внешний изменяемый NEAV 80х60 ДКС 01712</t>
  </si>
  <si>
    <t>Угол плоский NPAN 80х60 ДКС 01744</t>
  </si>
  <si>
    <t>Заглушка LAN 80х60 ДКС 00872</t>
  </si>
  <si>
    <t>Накладка на стык крышки GAN 80 ДКС 00886</t>
  </si>
  <si>
    <t>Накладка на стык профиля SGAN 60 ДКС 00833</t>
  </si>
  <si>
    <t>Разделитель универсальный (перегородка) SEP-N 60/50 ДКС 01415</t>
  </si>
  <si>
    <t>Электрическая розетка 76482В с заземлением, со шторкаит, белая, 2 мод. BRAVA ДКС</t>
  </si>
  <si>
    <t>Розетка комп. ДКС для кабель канала BRAVA</t>
  </si>
  <si>
    <t>Рамка-суппорт под 2 модуля Brava (PDA-BN 80) 10443 ДКС</t>
  </si>
  <si>
    <t xml:space="preserve">Крышка на лоток основанием 300 мм </t>
  </si>
  <si>
    <t>№ 01.Я.070621.34вр</t>
  </si>
  <si>
    <t>№ 20А1336</t>
  </si>
  <si>
    <t>№5861</t>
  </si>
  <si>
    <t>№3-509</t>
  </si>
  <si>
    <t>№15Т1-3478</t>
  </si>
  <si>
    <t>№3198</t>
  </si>
  <si>
    <t xml:space="preserve">№ 01.Я.150421.48 </t>
  </si>
  <si>
    <t>№ 01.Я.120721.05</t>
  </si>
  <si>
    <t>№ 01.Я.080321.18</t>
  </si>
  <si>
    <t>№ 01.Я.290821.13</t>
  </si>
  <si>
    <t>№1436</t>
  </si>
  <si>
    <t>№ 21А1514</t>
  </si>
  <si>
    <t xml:space="preserve">№21Т8-4177 </t>
  </si>
  <si>
    <t>№ 01.280421.06</t>
  </si>
  <si>
    <t>№ 01.260374.08</t>
  </si>
  <si>
    <t>№ 01.Я090421.49</t>
  </si>
  <si>
    <t>№ 01.Я.210921.15</t>
  </si>
  <si>
    <t>№ 01Я101120.35</t>
  </si>
  <si>
    <t>№ 01.Я.200421.20</t>
  </si>
  <si>
    <t>№21011801001</t>
  </si>
  <si>
    <t>№21011802001</t>
  </si>
  <si>
    <t>№21011821001</t>
  </si>
  <si>
    <t>№21011803001</t>
  </si>
  <si>
    <t>№21011804001</t>
  </si>
  <si>
    <t>№21011804002</t>
  </si>
  <si>
    <t>№21011805001</t>
  </si>
  <si>
    <t>№21011822001</t>
  </si>
  <si>
    <t>№21011823001</t>
  </si>
  <si>
    <t>№21011806001</t>
  </si>
  <si>
    <t>№21011807001</t>
  </si>
  <si>
    <t>№21011808001</t>
  </si>
  <si>
    <t>№21011808101</t>
  </si>
  <si>
    <t>№21011809001</t>
  </si>
  <si>
    <t>№21011810001</t>
  </si>
  <si>
    <t>№21011811001</t>
  </si>
  <si>
    <t>№21011812001</t>
  </si>
  <si>
    <t>№21011813001</t>
  </si>
  <si>
    <t>№21011814001</t>
  </si>
  <si>
    <t>№21011815001</t>
  </si>
  <si>
    <t>ООО "Кабельный завод Кабэкс"</t>
  </si>
  <si>
    <t>АО "Ивановский кабельный завод"</t>
  </si>
  <si>
    <t>ООО Ярославский кабель"</t>
  </si>
  <si>
    <t>ООО "КЗ ПЕРЕСВЕТ"</t>
  </si>
  <si>
    <t>ООО "КЗ "ЦВЕТЛИТ"</t>
  </si>
  <si>
    <t>ООО "РЭМЗ"</t>
  </si>
  <si>
    <t>АО "ЭЛКАБ" -Кабельный завод</t>
  </si>
  <si>
    <t>АО "Диэлектрические кабельные системы"</t>
  </si>
  <si>
    <t>ООО "ИЭК ХОЛДИНГ"</t>
  </si>
  <si>
    <t>ООО "Компания Фортисфлекс"</t>
  </si>
  <si>
    <t>ООО "КЭЗ КВТ"</t>
  </si>
  <si>
    <t>ООО "ТД "ЭЛЕКТРОТЕХМОНТАЖ"</t>
  </si>
  <si>
    <t>ООО "ИНОВА"</t>
  </si>
  <si>
    <t>ООО "Завод Энергия"</t>
  </si>
  <si>
    <t>ООО "Каскад"</t>
  </si>
  <si>
    <t>ООО "ТД ФОКУС"</t>
  </si>
  <si>
    <t>ООО "ТМ Навигатор"</t>
  </si>
  <si>
    <t>ООО "Потенциал"</t>
  </si>
  <si>
    <t>ЗАО "Рувинил"</t>
  </si>
  <si>
    <t>ООО "СевКомНефтегаз"</t>
  </si>
  <si>
    <t>1500 м</t>
  </si>
  <si>
    <t>160 м</t>
  </si>
  <si>
    <t>80 м</t>
  </si>
  <si>
    <t>20 м</t>
  </si>
  <si>
    <t>15 м</t>
  </si>
  <si>
    <t>210 м</t>
  </si>
  <si>
    <t>25 м</t>
  </si>
  <si>
    <t>2500 м</t>
  </si>
  <si>
    <t>6500 м</t>
  </si>
  <si>
    <t>190 м</t>
  </si>
  <si>
    <t>480 м</t>
  </si>
  <si>
    <t>295 м</t>
  </si>
  <si>
    <t>70 м</t>
  </si>
  <si>
    <t>250 м</t>
  </si>
  <si>
    <t>650 м</t>
  </si>
  <si>
    <t>10 м</t>
  </si>
  <si>
    <t>400 м</t>
  </si>
  <si>
    <t>6670 м</t>
  </si>
  <si>
    <t>515 м</t>
  </si>
  <si>
    <t>30 м</t>
  </si>
  <si>
    <t>50 м</t>
  </si>
  <si>
    <t>20010 шт</t>
  </si>
  <si>
    <t>1545 шт</t>
  </si>
  <si>
    <t>90 шт</t>
  </si>
  <si>
    <t>150 шт</t>
  </si>
  <si>
    <t>50 шт</t>
  </si>
  <si>
    <t>20 шт</t>
  </si>
  <si>
    <t>10 шт</t>
  </si>
  <si>
    <t>8 шт</t>
  </si>
  <si>
    <t>30 шт</t>
  </si>
  <si>
    <t xml:space="preserve"> 75 шт</t>
  </si>
  <si>
    <t>75 шт</t>
  </si>
  <si>
    <t>2 м</t>
  </si>
  <si>
    <t>275 м</t>
  </si>
  <si>
    <t>1700 шт</t>
  </si>
  <si>
    <t>16 шт</t>
  </si>
  <si>
    <t>54 шт</t>
  </si>
  <si>
    <t>1000 шт</t>
  </si>
  <si>
    <t>32 шт</t>
  </si>
  <si>
    <t>2064 шт</t>
  </si>
  <si>
    <t>1 компл</t>
  </si>
  <si>
    <t>1 шт</t>
  </si>
  <si>
    <t>49 шт</t>
  </si>
  <si>
    <t>24 шт</t>
  </si>
  <si>
    <t>59 шт</t>
  </si>
  <si>
    <t>219 шт</t>
  </si>
  <si>
    <t>11 шт</t>
  </si>
  <si>
    <t>5 шт</t>
  </si>
  <si>
    <t>40 шт</t>
  </si>
  <si>
    <t>6 шт</t>
  </si>
  <si>
    <t>2 шт</t>
  </si>
  <si>
    <t>3 шт</t>
  </si>
  <si>
    <t>4 шт</t>
  </si>
  <si>
    <t>19 шт</t>
  </si>
  <si>
    <t>7 шт</t>
  </si>
  <si>
    <t>47 шт</t>
  </si>
  <si>
    <t>46 шт</t>
  </si>
  <si>
    <t>9 шт</t>
  </si>
  <si>
    <t>700 шт</t>
  </si>
  <si>
    <t>180 шт</t>
  </si>
  <si>
    <t>500 м</t>
  </si>
  <si>
    <t>120 м</t>
  </si>
  <si>
    <t>40 м</t>
  </si>
  <si>
    <t>41 шт</t>
  </si>
  <si>
    <t>52 шт</t>
  </si>
  <si>
    <t>104 шт</t>
  </si>
  <si>
    <t>700 м</t>
  </si>
  <si>
    <t>55 шт</t>
  </si>
  <si>
    <t>12 шт</t>
  </si>
  <si>
    <t>57 шт</t>
  </si>
  <si>
    <t>114 шт</t>
  </si>
  <si>
    <t>202 шт</t>
  </si>
  <si>
    <t>117 шт</t>
  </si>
  <si>
    <t>335 шт</t>
  </si>
  <si>
    <t>15.06.2023г.</t>
  </si>
  <si>
    <t>05.06.2023г.</t>
  </si>
  <si>
    <t>07.06.2021г.</t>
  </si>
  <si>
    <t>29.05.2020г.</t>
  </si>
  <si>
    <t>06.04.2021г.</t>
  </si>
  <si>
    <t>03.2020г.</t>
  </si>
  <si>
    <t>27.07.2021г.</t>
  </si>
  <si>
    <t>14.02.2021г.</t>
  </si>
  <si>
    <t>16.04.2021г.</t>
  </si>
  <si>
    <t>12.07.2021г.</t>
  </si>
  <si>
    <t>08.03.2021г.</t>
  </si>
  <si>
    <t>29.08.2021г.</t>
  </si>
  <si>
    <t>11.12.2020г.</t>
  </si>
  <si>
    <t>23.08.2021г.</t>
  </si>
  <si>
    <t>05.05.2021г.</t>
  </si>
  <si>
    <t>08.05.2021г.</t>
  </si>
  <si>
    <t>10.04.2021г.</t>
  </si>
  <si>
    <t>21.09.2021г.</t>
  </si>
  <si>
    <t xml:space="preserve"> 11.11.2020г.</t>
  </si>
  <si>
    <t>20.04.2021г.</t>
  </si>
  <si>
    <t>06.2021г.</t>
  </si>
  <si>
    <t>02.2021г.; 05.2021г.</t>
  </si>
  <si>
    <t>январь 2023г.</t>
  </si>
  <si>
    <t>март 2023г.</t>
  </si>
  <si>
    <t>ТУ 3500-004-24076870-2014
ГОСТ 31996-2012</t>
  </si>
  <si>
    <t>ТУ 27.32.13-025-45310838-2020
ГОСТ 31996-2012</t>
  </si>
  <si>
    <t>ТУ 27.12.31.001-15907208-2019
ГОСТ 31996-2012</t>
  </si>
  <si>
    <t>ТУ 27.32.13-003-06953238-2018
ГОСТ 31996-2012</t>
  </si>
  <si>
    <t>ТУ 3500-018-37041459-2019
ГОСТ 31996-2012</t>
  </si>
  <si>
    <t>ТУ 3500-016-83901686-2015
ГОСТ 31996-2012</t>
  </si>
  <si>
    <t>ТУ 3500-006-73935218-2016
ГОСТ 31996-2012</t>
  </si>
  <si>
    <t>ГОСТ Р МЭК 61386.1-2014 (п. 7, 10.1-10.7, 14.1)
ТУ 2247-008-47022248-2002</t>
  </si>
  <si>
    <t>ТУ 25.99.29-072-97284872-2017</t>
  </si>
  <si>
    <t>ГОСТ Р 52868-2007 (МЭК 61537:2007)
ТУ 3449-001-73438690-2006</t>
  </si>
  <si>
    <t>ТУ 3430-004-24051226-2015</t>
  </si>
  <si>
    <t>ТУ 3430-001-09018190-2015</t>
  </si>
  <si>
    <t>ТУ 27.40.25-014-66088551-2019</t>
  </si>
  <si>
    <t>ГОСТ Р МЭК 60598-1; ГОСТ Р МЭК 60598-2-22</t>
  </si>
  <si>
    <t>ТУ 27.40.39-032-01281952-2020</t>
  </si>
  <si>
    <t>ТУ 3464-028-47022248-2011</t>
  </si>
  <si>
    <t>ГОСТ Р 51324.1-2012 (МЭК 60669-1:2007)</t>
  </si>
  <si>
    <t>ТУ 3464-030-07610246-98</t>
  </si>
  <si>
    <t>ГОСТ IEC 60884-1-2013</t>
  </si>
  <si>
    <t>ТР ТС 004/2011</t>
  </si>
  <si>
    <t>ГОСТ 30849.1-2002 (МЭК 60309-1:1999); ГОСТ 30849.2-2002 (МЭК 60309-2:1999)</t>
  </si>
  <si>
    <t>ТУ 3464-012-18669258-2004</t>
  </si>
  <si>
    <t>ТУ 3464-048-47022248-2016</t>
  </si>
  <si>
    <t>ТУ 3449-009-47022248-2010</t>
  </si>
  <si>
    <t>ТУ 3464-018-47022248-2007</t>
  </si>
  <si>
    <t>588-19-2-ЭОМ.СО ред. 11 л.7</t>
  </si>
  <si>
    <t>588-19-2-ЭОМ.СО ред. 11 л.8</t>
  </si>
  <si>
    <t>588-19-2-ЭОМ.СО ред. 11 л.4</t>
  </si>
  <si>
    <t>588-19-2-ЭОМ.СО ред. 11 л.5</t>
  </si>
  <si>
    <t>588-19-2-ЭОМ.СО ред. 11 л.1</t>
  </si>
  <si>
    <t>588-19-2-ЭОМ.СО ред. 11 л.2</t>
  </si>
  <si>
    <t>588-19-2-ЭОМ.СО ред. 11 л.3</t>
  </si>
  <si>
    <t>№2001/ВЖК от 20.01.2023г.</t>
  </si>
  <si>
    <t>№22344 от 07.03.2023</t>
  </si>
  <si>
    <t>Паспорт качества б/н от 07.06.2021г.; 
Сертификат соответствия № ЕАЭС RU.АЖ03.В.00054/19  от 26.07.2019г.</t>
  </si>
  <si>
    <t>Паспорт качества на кабельно-проводниковую продукцию №6772 от 29.05.2020г.
Сертификат соответствия № ЕАЭС RU C-RU.НВ35.В.01939/20 от 21.10.2020г.</t>
  </si>
  <si>
    <t>Паспорт качества №5861 от 06.04.2021г.; 
Сертификат соответствия № ЕАЭС RU C-RU.НР15.В.00262/20 от 29.05.2020г.</t>
  </si>
  <si>
    <t>Паспорт качества №1298 от 03.2020г.;
Сертификат соответствия № ЕАЭС RU C-RU.НА75.В.00428/20 от 30.04.2020г.</t>
  </si>
  <si>
    <t>Паспорт качества б/н от 27.07.2021г.; 
Сертификат соответствия № ЕАЭС RU.АН03.В.00443/19 от 25.09.2019г.</t>
  </si>
  <si>
    <t>Паспорт качества №3198 от 14.02.2021г.; Сертификат соответствия № ТС RU C-RU.АУ04.В.05768</t>
  </si>
  <si>
    <t>Паспорт качества б/н от 16.04.2021г.; 
Сертификат соответствия № ЕАЭС RU.АЖ03.В.00054/19  от 26.07.2019г.</t>
  </si>
  <si>
    <t>Паспорт качества б/н от 12.07.2021г.; 
Сертификат соответствия № ЕАЭС RU.АЖ03.В.00054/19  от 26.07.2019г.</t>
  </si>
  <si>
    <t>Паспорт качества б/н от 08.03.2021г.; 
Сертификат соответствия № ЕАЭС RU.АЖ03.В.00054/19  от 26.07.2019г.</t>
  </si>
  <si>
    <t>Паспорт качества б/н от 29.08.2021г.; 
Сертификат соответствия № ЕАЭС RU.АЖ03.В.00054/19  от 26.07.2019г.</t>
  </si>
  <si>
    <t>Протокол приемо-сдаточных испытаний б/н от 17.04.2021г.; 
Сертификат соответствия № ТС RU C-RU.АВ24.В.04457 от 07.11.2021г.</t>
  </si>
  <si>
    <t>Паспорт качества на кабельно-проводниковую продукцию №2808 от 11.12.2020г.
Сертификат соответствия № ЕАЭС RU C-RU.НВ35.В.01939/20 от 21.10.2020г.</t>
  </si>
  <si>
    <t>Паспорт качества б/н от 23.08.2021г.; 
Сертификат соответствия № ЕАЭС RU.АН03.В.00443/19 от 25.09.2019г.</t>
  </si>
  <si>
    <t>Паспорт качества б/н от 05.05.2021г.; 
Сертификат соответствия № ЕАЭС RU.АЖ03.В.00054/19  от 26.07.2019г.</t>
  </si>
  <si>
    <t>Паспорт качества б/н от 08.05.2021г.; 
Сертификат соответствия № ЕАЭС RU.АЖ03.В.00054/19  от 26.07.2019г.</t>
  </si>
  <si>
    <t>Паспорт качества б/н от 10.04.2021г.; 
Сертификат соответствия № ЕАЭС RU.АЖ03.В.00054/19  от 26.07.2019г.</t>
  </si>
  <si>
    <t>Паспорт качества б/н от 21.09.2021г.; 
Сертификат соответствия № ЕАЭС RU.АЖ03.В.00054/19  от 26.07.2019г.</t>
  </si>
  <si>
    <t>Паспорт качества б/н от 11.11.2020г.; 
Сертификат соответствия № ЕАЭС RU.АЖ03.В.00054/19  от 26.07.2019г.</t>
  </si>
  <si>
    <t>Паспорт качества б/н от 20.04.2021г.; 
Сертификат соответствия № ЕАЭС RU.АЖ03.В.00054/19  от 26.07.2019г.</t>
  </si>
  <si>
    <t>Сертификат соответствия № ЕАЭС RU C-RU.ПБ68.В.00226/21 от 16.03.2021г.</t>
  </si>
  <si>
    <t>Письмо исх. № 101-КС/917 от 01.08.2013г.</t>
  </si>
  <si>
    <t>Информационное письмо исх. № 723/120412 от 12.04.2012г.</t>
  </si>
  <si>
    <t>Информационное письмо исх.№ 836 от 01.03.2021г.</t>
  </si>
  <si>
    <t>Информационное письмо исх. № 0400 от 23.10.2019г.</t>
  </si>
  <si>
    <t>Письмо исх. № 38 от 21.02.2017г.</t>
  </si>
  <si>
    <t>Информационное письмо № 2022 от 31.10.2022г.</t>
  </si>
  <si>
    <t>Сертификат соответствия № РОСС CN.НХ37.Н04152 с 20.10.2020г.</t>
  </si>
  <si>
    <t>Паспорт INV210118U01 ПС от 06.2021г.; 
Декларация о соответствии № ЕАЭС RU Д-RU.МЕ79.В.000106; Письмо №359эп-16-1-7 от 24.12.2020г.; Сертификат соответствия № ТС RU C-CN.МЕ79.В.00371; Сертификат соответствия № ТС RU C-CN.МЕ79.В.00390; Письмо № 1650и-06/2017 от 05.06.2017г.; Сертификат соответствия № ЕАЭС RU С-RU.НР15.В.00450/20; Декларация о соответствии № ЕАЭС RU Д-FR.МЕ77.В.00039/19; Декларация о соответствии № ЕАЭС RU С-FR.МЕ77.В.00695/20; Декларация о соответствии № ТС RU С-FR.МЕ77.В.03353; Декларация о соответствии № ЕАЭС RU Д-FR.РА01.В.18364/20; Декларация о соответствии № ЕАЭС RU Д-FR.РА01.В.21093/20</t>
  </si>
  <si>
    <t>Паспорт и руководство по эксплуатации б/н; Сертификат соответствия № ЕАЭС RU C-RU.НВ27.В.00983/20 от 05.08.2020г.</t>
  </si>
  <si>
    <t>Паспорт изделия б/н; Сертификат соответствия № ЕАЭС RU C-RU.НВ93.В.02288/22 от 11.11.2022г.</t>
  </si>
  <si>
    <t>Паспорт изделия б/н; Сертификат соответствия № ЕАЭС RU C-RU.НВ54.В.02538/22 от 10.03.2022г.</t>
  </si>
  <si>
    <t>Паспорт изделия б/н; Сертификат соответствия № ЕАЭС RU C-CN.НА39.В.01197/22 от 28.03.2022г.</t>
  </si>
  <si>
    <t>Руководство по эксплуатации. Паспорт LDPA.30/40.001.1; Сертификат соответствия № ЕАЭС RU C-CN.АБ53.В.04330/22 от 25.04.2022г.</t>
  </si>
  <si>
    <t>Паспорт руководство по эксплуатации и установке светодиодных светильников "УСС-9" б/н от 2021г.; 
Сертификат соотвествтия № ЕАЭС RU C-RU.НВ26.В.00394/20 от 11.03.2020г.</t>
  </si>
  <si>
    <t>Паспорт руководство по эксплуатации и установке светодиодных светильников "УСС-9" от 2021г.; 
Сертификат соотвествтия № ЕАЭС RU C-RU.НВ26.В.00394/20 от 11.03.2020г.</t>
  </si>
  <si>
    <t>Паспорт изделия б/н; Сертификат соотвествтия № ЕАЭС RU C-CN.КА01.В.01120/20 от 30.06.2020г.</t>
  </si>
  <si>
    <t>Информационное письмо исх.№ 101-КС/917 от 01.08.2013г.</t>
  </si>
  <si>
    <t>Информационный лист б/н; Информационное письмо исх.№ 836 от 01.03.2021г.</t>
  </si>
  <si>
    <t>Руководство по эксплуатации б/н; Информационное письмо исх. №268эп-14-2-7 от 28.11.2022г.</t>
  </si>
  <si>
    <t>Краткое руководство по эксплуатации б/н; Сертификат соответствия № ЕАЭС RU C-CN.БЛ08.В.00571/19 от 29.11.2019г.</t>
  </si>
  <si>
    <t>Руководство по эксплуатации б/н; Сертификат соответствия № ЕАЭС RU C-RU.АТ21.В.00035/20 от 25.03.2020г.</t>
  </si>
  <si>
    <t>Краткое руководство по эксплуатации б/н; Сертификат соответствия № ЕАЭС RU C-CN.ПФ02.В.00275/19 от 26.03.2019г.</t>
  </si>
  <si>
    <t>Руководство по эксплуатации б/н; Сертификат соответствия № ЕАЭС BY/112 02.01.ТР004 02.03 00267 с 24.09.2021г.</t>
  </si>
  <si>
    <t>Краткое руководство по эксплуатации б/н; Сертификат соответствия № ЕАЭС RU C-RU.НА96.В.02713/22 от 27.12.2022г.</t>
  </si>
  <si>
    <t>Паспррт б/н; Сертификат соответствия № РОСС RU.АМ05.Н18509 от 12.09.2022г.</t>
  </si>
  <si>
    <t>Информационный лист б/н; Сертификат соответствия № ЕАЭС RU C-RU.АБ53.В.04494/22 от 16.05.2022г.</t>
  </si>
  <si>
    <t>Паспорт б/н; Информационное письмо исх. № 0400 от 23.10.2019г.</t>
  </si>
  <si>
    <t>Информационный лист б/н; Сертификат соответствия № ЕАЭС RU C-RU.ПБ68.В.00158/20 с 23.12.2020г.</t>
  </si>
  <si>
    <t>Информационный лист б/н; Решение по заявке на проведение обязательной сертификации №524/15-РЗ от 29.12.2015г.</t>
  </si>
  <si>
    <t>Информационный лист б/н; Информационное письмо исх.№ 06/7625 от 20.11.2009г.</t>
  </si>
  <si>
    <t>Информационный лист б/н; Сертификат соответствия № ЕАЭС RU C-RU.НВ26.В.01262/20 от 13.12.2020г.</t>
  </si>
  <si>
    <t>Информационный лист б/н; Информационное письмо исх.№ 2091/271114 от 27.11.2014г.</t>
  </si>
  <si>
    <t>Информационный лист б/н; Информационное письмо исх.№ 524/15 от 29.12.2019г.</t>
  </si>
  <si>
    <t>Информационный лист б/н; Информационное письмо № 2022 от 31.10.2022г.</t>
  </si>
  <si>
    <t>Статус (Подписан/На подписи)</t>
  </si>
  <si>
    <t>Подписан</t>
  </si>
  <si>
    <t>ЭОМ</t>
  </si>
  <si>
    <t>Обустройство Северо-Комсомольского месторождения. 1 очередь. 
Вахтовый жилой комплекс. Административно-бытовой корпус с ЦДП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</si>
</sst>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General\ &quot;т&quot;"/>
    <numFmt numFmtId="166" formatCode="0.000"/>
  </numFmts>
  <fonts count="45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b/>
      <u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sz val="11"/>
      <color indexed="8"/>
      <name val="Calibri"/>
      <family val="2"/>
      <charset val="204"/>
    </font>
    <font>
      <b/>
      <sz val="10"/>
      <color indexed="8"/>
      <name val="Calibri"/>
      <family val="2"/>
      <charset val="204"/>
    </font>
    <font>
      <b/>
      <sz val="9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</font>
    <font>
      <sz val="20"/>
      <color indexed="8"/>
      <name val="Calibri"/>
      <family val="2"/>
      <charset val="204"/>
    </font>
    <font>
      <sz val="11"/>
      <color rgb="FF000000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20"/>
      <color rgb="FF000000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10.5"/>
      <color rgb="FF000000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6"/>
      <color rgb="FF000000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i/>
      <sz val="9"/>
      <color rgb="FF000000"/>
      <name val="Times New Roman"/>
      <family val="1"/>
      <charset val="204"/>
    </font>
    <font>
      <sz val="8"/>
      <color rgb="FF000000"/>
      <name val="Times New Roman"/>
      <family val="1"/>
      <charset val="204"/>
    </font>
    <font>
      <i/>
      <sz val="9"/>
      <color rgb="FFFF0000"/>
      <name val="Times New Roman"/>
      <family val="1"/>
      <charset val="204"/>
    </font>
    <font>
      <sz val="7"/>
      <color rgb="FF000000"/>
      <name val="Times New Roman"/>
      <family val="1"/>
      <charset val="204"/>
    </font>
    <font>
      <i/>
      <sz val="9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6"/>
      <name val="Times New Roman"/>
      <family val="1"/>
      <charset val="204"/>
    </font>
    <font>
      <b/>
      <sz val="9"/>
      <color rgb="FF000000"/>
      <name val="Times New Roman"/>
      <family val="1"/>
      <charset val="204"/>
    </font>
    <font>
      <sz val="5.5"/>
      <color rgb="FF000000"/>
      <name val="Times New Roman"/>
      <family val="1"/>
      <charset val="204"/>
    </font>
    <font>
      <b/>
      <sz val="8"/>
      <color rgb="FF000000"/>
      <name val="Times New Roman"/>
      <family val="1"/>
      <charset val="204"/>
    </font>
    <font>
      <b/>
      <sz val="7"/>
      <color rgb="FF000000"/>
      <name val="Times New Roman"/>
      <family val="1"/>
      <charset val="204"/>
    </font>
    <font>
      <sz val="7.5"/>
      <color rgb="FF000000"/>
      <name val="Times New Roman"/>
      <family val="1"/>
      <charset val="204"/>
    </font>
    <font>
      <sz val="7.5"/>
      <color rgb="FF000000"/>
      <name val="Arial Cyr"/>
    </font>
    <font>
      <sz val="8"/>
      <color rgb="FFFF0000"/>
      <name val="Times New Roman"/>
      <family val="1"/>
      <charset val="204"/>
    </font>
    <font>
      <sz val="5"/>
      <color rgb="FF000000"/>
      <name val="Times New Roman"/>
      <family val="1"/>
      <charset val="204"/>
    </font>
    <font>
      <sz val="6.5"/>
      <color rgb="FF000000"/>
      <name val="Times New Roman"/>
      <family val="1"/>
      <charset val="204"/>
    </font>
    <font>
      <sz val="11"/>
      <color theme="0" tint="-0.34998626667073579"/>
      <name val="Calibri"/>
      <family val="2"/>
      <charset val="204"/>
      <scheme val="minor"/>
    </font>
    <font>
      <b/>
      <sz val="24"/>
      <color indexed="8"/>
      <name val="Calibri"/>
      <family val="2"/>
      <charset val="204"/>
    </font>
    <font>
      <b/>
      <sz val="12"/>
      <color indexed="8"/>
      <name val="Calibri"/>
      <family val="2"/>
      <charset val="204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rgb="FFFFFFFF"/>
      </patternFill>
    </fill>
    <fill>
      <patternFill patternType="solid">
        <fgColor theme="9" tint="0.79998168889431442"/>
        <bgColor rgb="FFFFFFFF"/>
      </patternFill>
    </fill>
    <fill>
      <patternFill patternType="solid">
        <fgColor rgb="FFFFFFCC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double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double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thin">
        <color rgb="FF000000"/>
      </bottom>
      <diagonal/>
    </border>
    <border>
      <left style="double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double">
        <color rgb="FF000000"/>
      </right>
      <top style="medium">
        <color rgb="FF000000"/>
      </top>
      <bottom style="thin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double">
        <color rgb="FF000000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14" fillId="0" borderId="0"/>
  </cellStyleXfs>
  <cellXfs count="643">
    <xf numFmtId="0" fontId="0" fillId="0" borderId="0" xfId="0"/>
    <xf numFmtId="14" fontId="1" fillId="4" borderId="0" xfId="0" applyNumberFormat="1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64" fontId="6" fillId="3" borderId="0" xfId="0" applyNumberFormat="1" applyFont="1" applyFill="1" applyAlignment="1">
      <alignment horizontal="center" vertical="center" wrapText="1"/>
    </xf>
    <xf numFmtId="0" fontId="6" fillId="3" borderId="0" xfId="0" applyFont="1" applyFill="1" applyAlignment="1">
      <alignment vertical="top" wrapText="1"/>
    </xf>
    <xf numFmtId="0" fontId="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 wrapText="1"/>
    </xf>
    <xf numFmtId="165" fontId="6" fillId="3" borderId="0" xfId="0" applyNumberFormat="1" applyFont="1" applyFill="1" applyAlignment="1">
      <alignment horizontal="center" vertical="center" wrapText="1"/>
    </xf>
    <xf numFmtId="0" fontId="7" fillId="0" borderId="1" xfId="1" applyBorder="1" applyAlignment="1">
      <alignment horizontal="center" vertical="center"/>
    </xf>
    <xf numFmtId="0" fontId="7" fillId="0" borderId="1" xfId="1" applyBorder="1" applyAlignment="1">
      <alignment horizontal="center" vertical="center" wrapText="1"/>
    </xf>
    <xf numFmtId="0" fontId="7" fillId="0" borderId="0" xfId="1"/>
    <xf numFmtId="0" fontId="9" fillId="0" borderId="6" xfId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center" wrapText="1"/>
    </xf>
    <xf numFmtId="0" fontId="7" fillId="0" borderId="0" xfId="1" applyAlignment="1">
      <alignment vertical="center"/>
    </xf>
    <xf numFmtId="0" fontId="7" fillId="0" borderId="0" xfId="1" applyAlignment="1">
      <alignment horizontal="center" vertical="center"/>
    </xf>
    <xf numFmtId="0" fontId="7" fillId="2" borderId="1" xfId="1" applyFill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3" borderId="1" xfId="1" applyFill="1" applyBorder="1" applyAlignment="1">
      <alignment horizontal="center" vertical="center" wrapText="1"/>
    </xf>
    <xf numFmtId="0" fontId="7" fillId="0" borderId="1" xfId="1" applyBorder="1" applyAlignment="1">
      <alignment vertical="center"/>
    </xf>
    <xf numFmtId="49" fontId="3" fillId="3" borderId="0" xfId="0" applyNumberFormat="1" applyFont="1" applyFill="1" applyAlignment="1">
      <alignment wrapText="1"/>
    </xf>
    <xf numFmtId="0" fontId="4" fillId="3" borderId="0" xfId="0" applyFont="1" applyFill="1" applyAlignment="1">
      <alignment horizontal="right" vertical="top" wrapText="1"/>
    </xf>
    <xf numFmtId="0" fontId="4" fillId="3" borderId="0" xfId="0" applyFont="1" applyFill="1" applyAlignment="1">
      <alignment horizontal="right" vertical="center" wrapText="1"/>
    </xf>
    <xf numFmtId="14" fontId="1" fillId="3" borderId="1" xfId="0" applyNumberFormat="1" applyFont="1" applyFill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/>
    </xf>
    <xf numFmtId="0" fontId="7" fillId="0" borderId="0" xfId="1" applyAlignment="1">
      <alignment horizontal="center" vertical="center" wrapText="1"/>
    </xf>
    <xf numFmtId="14" fontId="7" fillId="0" borderId="1" xfId="1" applyNumberForma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7" fillId="0" borderId="0" xfId="1" applyAlignment="1">
      <alignment vertical="center" wrapText="1"/>
    </xf>
    <xf numFmtId="0" fontId="7" fillId="0" borderId="0" xfId="1" applyAlignment="1">
      <alignment wrapText="1"/>
    </xf>
    <xf numFmtId="0" fontId="10" fillId="0" borderId="0" xfId="1" applyFont="1" applyAlignment="1">
      <alignment horizontal="center" vertical="center" wrapText="1"/>
    </xf>
    <xf numFmtId="0" fontId="5" fillId="3" borderId="0" xfId="0" applyFont="1" applyFill="1" applyAlignment="1">
      <alignment vertical="top" wrapText="1"/>
    </xf>
    <xf numFmtId="0" fontId="12" fillId="0" borderId="4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5" borderId="1" xfId="1" applyFill="1" applyBorder="1" applyAlignment="1">
      <alignment horizontal="center" vertical="center" wrapText="1"/>
    </xf>
    <xf numFmtId="0" fontId="7" fillId="5" borderId="1" xfId="1" applyFill="1" applyBorder="1" applyAlignment="1">
      <alignment horizontal="center" vertical="center"/>
    </xf>
    <xf numFmtId="0" fontId="1" fillId="3" borderId="0" xfId="0" quotePrefix="1" applyFont="1" applyFill="1" applyAlignment="1">
      <alignment vertical="top" wrapText="1"/>
    </xf>
    <xf numFmtId="0" fontId="7" fillId="2" borderId="4" xfId="1" applyFill="1" applyBorder="1" applyAlignment="1">
      <alignment horizontal="center" vertical="center" wrapText="1"/>
    </xf>
    <xf numFmtId="0" fontId="7" fillId="3" borderId="1" xfId="1" applyFill="1" applyBorder="1" applyAlignment="1">
      <alignment horizontal="center" vertical="center"/>
    </xf>
    <xf numFmtId="0" fontId="7" fillId="3" borderId="4" xfId="1" applyFill="1" applyBorder="1" applyAlignment="1">
      <alignment horizontal="center" vertical="center" wrapText="1"/>
    </xf>
    <xf numFmtId="0" fontId="17" fillId="4" borderId="0" xfId="0" applyFont="1" applyFill="1"/>
    <xf numFmtId="0" fontId="18" fillId="4" borderId="0" xfId="0" applyFont="1" applyFill="1"/>
    <xf numFmtId="0" fontId="0" fillId="4" borderId="0" xfId="0" applyFill="1"/>
    <xf numFmtId="0" fontId="19" fillId="4" borderId="0" xfId="0" applyFont="1" applyFill="1"/>
    <xf numFmtId="0" fontId="13" fillId="4" borderId="0" xfId="0" applyFont="1" applyFill="1"/>
    <xf numFmtId="0" fontId="17" fillId="4" borderId="0" xfId="0" applyFont="1" applyFill="1" applyAlignment="1">
      <alignment vertical="center"/>
    </xf>
    <xf numFmtId="0" fontId="20" fillId="4" borderId="0" xfId="0" applyFont="1" applyFill="1"/>
    <xf numFmtId="0" fontId="22" fillId="4" borderId="0" xfId="0" applyFont="1" applyFill="1" applyAlignment="1">
      <alignment horizontal="center" vertical="top"/>
    </xf>
    <xf numFmtId="0" fontId="17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left"/>
    </xf>
    <xf numFmtId="0" fontId="29" fillId="4" borderId="0" xfId="0" applyFont="1" applyFill="1"/>
    <xf numFmtId="0" fontId="5" fillId="4" borderId="0" xfId="0" applyFont="1" applyFill="1"/>
    <xf numFmtId="0" fontId="18" fillId="4" borderId="0" xfId="0" applyFont="1" applyFill="1" applyAlignment="1">
      <alignment vertical="center"/>
    </xf>
    <xf numFmtId="0" fontId="17" fillId="4" borderId="0" xfId="0" applyFont="1" applyFill="1" applyAlignment="1">
      <alignment vertical="top"/>
    </xf>
    <xf numFmtId="0" fontId="17" fillId="4" borderId="57" xfId="0" applyFont="1" applyFill="1" applyBorder="1"/>
    <xf numFmtId="49" fontId="18" fillId="4" borderId="0" xfId="0" applyNumberFormat="1" applyFont="1" applyFill="1" applyAlignment="1">
      <alignment horizontal="center"/>
    </xf>
    <xf numFmtId="49" fontId="18" fillId="4" borderId="0" xfId="0" applyNumberFormat="1" applyFont="1" applyFill="1"/>
    <xf numFmtId="0" fontId="17" fillId="4" borderId="0" xfId="0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0" fontId="17" fillId="4" borderId="57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vertical="center"/>
    </xf>
    <xf numFmtId="0" fontId="25" fillId="6" borderId="0" xfId="0" applyFont="1" applyFill="1"/>
    <xf numFmtId="0" fontId="17" fillId="6" borderId="0" xfId="0" applyFont="1" applyFill="1"/>
    <xf numFmtId="0" fontId="31" fillId="4" borderId="0" xfId="0" applyFont="1" applyFill="1"/>
    <xf numFmtId="0" fontId="31" fillId="4" borderId="0" xfId="0" applyFont="1" applyFill="1" applyAlignment="1">
      <alignment vertical="top"/>
    </xf>
    <xf numFmtId="0" fontId="22" fillId="6" borderId="0" xfId="0" applyFont="1" applyFill="1" applyAlignment="1">
      <alignment vertical="center"/>
    </xf>
    <xf numFmtId="0" fontId="17" fillId="6" borderId="0" xfId="0" applyFont="1" applyFill="1" applyAlignment="1">
      <alignment vertical="center"/>
    </xf>
    <xf numFmtId="0" fontId="22" fillId="4" borderId="0" xfId="0" applyFont="1" applyFill="1" applyAlignment="1">
      <alignment vertical="center"/>
    </xf>
    <xf numFmtId="0" fontId="22" fillId="4" borderId="0" xfId="0" applyFont="1" applyFill="1" applyAlignment="1">
      <alignment horizontal="center" vertical="center"/>
    </xf>
    <xf numFmtId="0" fontId="31" fillId="6" borderId="0" xfId="0" applyFont="1" applyFill="1" applyAlignment="1">
      <alignment vertical="top"/>
    </xf>
    <xf numFmtId="0" fontId="31" fillId="6" borderId="0" xfId="0" applyFont="1" applyFill="1"/>
    <xf numFmtId="0" fontId="18" fillId="4" borderId="57" xfId="0" applyFont="1" applyFill="1" applyBorder="1" applyAlignment="1">
      <alignment horizontal="left"/>
    </xf>
    <xf numFmtId="0" fontId="17" fillId="4" borderId="57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8" fillId="6" borderId="0" xfId="0" applyFont="1" applyFill="1"/>
    <xf numFmtId="0" fontId="18" fillId="4" borderId="0" xfId="0" applyFont="1" applyFill="1" applyAlignment="1">
      <alignment horizontal="center"/>
    </xf>
    <xf numFmtId="0" fontId="25" fillId="4" borderId="0" xfId="0" applyFont="1" applyFill="1"/>
    <xf numFmtId="0" fontId="25" fillId="4" borderId="0" xfId="0" applyFont="1" applyFill="1" applyAlignment="1">
      <alignment horizontal="right" vertical="top"/>
    </xf>
    <xf numFmtId="0" fontId="25" fillId="4" borderId="0" xfId="0" applyFont="1" applyFill="1" applyAlignment="1">
      <alignment horizontal="center"/>
    </xf>
    <xf numFmtId="49" fontId="25" fillId="4" borderId="18" xfId="0" applyNumberFormat="1" applyFont="1" applyFill="1" applyBorder="1" applyAlignment="1">
      <alignment horizontal="center"/>
    </xf>
    <xf numFmtId="0" fontId="25" fillId="4" borderId="0" xfId="0" applyFont="1" applyFill="1" applyAlignment="1">
      <alignment horizontal="right"/>
    </xf>
    <xf numFmtId="49" fontId="25" fillId="6" borderId="0" xfId="0" applyNumberFormat="1" applyFont="1" applyFill="1" applyAlignment="1">
      <alignment vertical="center"/>
    </xf>
    <xf numFmtId="49" fontId="25" fillId="6" borderId="23" xfId="0" applyNumberFormat="1" applyFont="1" applyFill="1" applyBorder="1" applyAlignment="1">
      <alignment vertical="center"/>
    </xf>
    <xf numFmtId="0" fontId="32" fillId="4" borderId="0" xfId="0" applyFont="1" applyFill="1"/>
    <xf numFmtId="0" fontId="32" fillId="4" borderId="0" xfId="0" applyFont="1" applyFill="1" applyAlignment="1">
      <alignment horizontal="center" vertical="top"/>
    </xf>
    <xf numFmtId="0" fontId="32" fillId="4" borderId="0" xfId="0" applyFont="1" applyFill="1" applyAlignment="1">
      <alignment horizontal="left" vertical="top" indent="10"/>
    </xf>
    <xf numFmtId="0" fontId="32" fillId="4" borderId="0" xfId="0" applyFont="1" applyFill="1" applyAlignment="1">
      <alignment horizontal="center" vertical="center"/>
    </xf>
    <xf numFmtId="0" fontId="32" fillId="4" borderId="0" xfId="0" applyFont="1" applyFill="1" applyAlignment="1">
      <alignment horizontal="left" vertical="center" indent="10"/>
    </xf>
    <xf numFmtId="0" fontId="25" fillId="4" borderId="33" xfId="0" applyFont="1" applyFill="1" applyBorder="1"/>
    <xf numFmtId="0" fontId="33" fillId="4" borderId="0" xfId="0" applyFont="1" applyFill="1"/>
    <xf numFmtId="49" fontId="25" fillId="4" borderId="0" xfId="0" applyNumberFormat="1" applyFont="1" applyFill="1" applyAlignment="1">
      <alignment horizontal="left"/>
    </xf>
    <xf numFmtId="49" fontId="25" fillId="4" borderId="0" xfId="0" applyNumberFormat="1" applyFont="1" applyFill="1" applyAlignment="1">
      <alignment horizontal="center"/>
    </xf>
    <xf numFmtId="49" fontId="25" fillId="4" borderId="0" xfId="0" applyNumberFormat="1" applyFont="1" applyFill="1" applyAlignment="1">
      <alignment horizontal="left" vertical="center"/>
    </xf>
    <xf numFmtId="49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vertical="center"/>
    </xf>
    <xf numFmtId="0" fontId="25" fillId="4" borderId="0" xfId="0" applyFont="1" applyFill="1" applyAlignment="1">
      <alignment horizontal="right" vertical="center"/>
    </xf>
    <xf numFmtId="0" fontId="25" fillId="4" borderId="56" xfId="0" applyFont="1" applyFill="1" applyBorder="1"/>
    <xf numFmtId="0" fontId="25" fillId="4" borderId="56" xfId="0" applyFont="1" applyFill="1" applyBorder="1" applyAlignment="1">
      <alignment horizontal="left" vertical="center"/>
    </xf>
    <xf numFmtId="0" fontId="32" fillId="4" borderId="0" xfId="0" applyFont="1" applyFill="1" applyAlignment="1">
      <alignment horizontal="center"/>
    </xf>
    <xf numFmtId="0" fontId="32" fillId="4" borderId="56" xfId="0" applyFont="1" applyFill="1" applyBorder="1" applyAlignment="1">
      <alignment horizontal="center" vertical="top"/>
    </xf>
    <xf numFmtId="0" fontId="25" fillId="4" borderId="57" xfId="0" applyFont="1" applyFill="1" applyBorder="1"/>
    <xf numFmtId="0" fontId="25" fillId="4" borderId="0" xfId="0" applyFont="1" applyFill="1" applyAlignment="1">
      <alignment horizontal="center" vertical="center"/>
    </xf>
    <xf numFmtId="0" fontId="25" fillId="4" borderId="56" xfId="0" applyFont="1" applyFill="1" applyBorder="1" applyAlignment="1">
      <alignment horizontal="center" vertical="center"/>
    </xf>
    <xf numFmtId="0" fontId="25" fillId="4" borderId="57" xfId="0" applyFont="1" applyFill="1" applyBorder="1" applyAlignment="1">
      <alignment horizontal="center" vertical="center"/>
    </xf>
    <xf numFmtId="0" fontId="38" fillId="4" borderId="0" xfId="0" applyFont="1" applyFill="1" applyAlignment="1">
      <alignment horizontal="center" vertical="center"/>
    </xf>
    <xf numFmtId="0" fontId="38" fillId="4" borderId="0" xfId="0" applyFont="1" applyFill="1" applyAlignment="1">
      <alignment horizontal="center" vertical="top"/>
    </xf>
    <xf numFmtId="0" fontId="39" fillId="4" borderId="0" xfId="0" applyFont="1" applyFill="1" applyAlignment="1">
      <alignment horizontal="left" vertical="top" wrapText="1"/>
    </xf>
    <xf numFmtId="0" fontId="39" fillId="4" borderId="0" xfId="0" applyFont="1" applyFill="1" applyAlignment="1">
      <alignment horizontal="center"/>
    </xf>
    <xf numFmtId="0" fontId="39" fillId="4" borderId="0" xfId="0" applyFont="1" applyFill="1" applyAlignment="1">
      <alignment horizontal="left" vertical="center" wrapText="1"/>
    </xf>
    <xf numFmtId="0" fontId="25" fillId="4" borderId="56" xfId="0" applyFont="1" applyFill="1" applyBorder="1" applyAlignment="1">
      <alignment vertical="center"/>
    </xf>
    <xf numFmtId="0" fontId="39" fillId="4" borderId="0" xfId="0" applyFont="1" applyFill="1" applyAlignment="1">
      <alignment horizontal="center" vertical="center"/>
    </xf>
    <xf numFmtId="0" fontId="25" fillId="4" borderId="57" xfId="0" applyFont="1" applyFill="1" applyBorder="1" applyAlignment="1">
      <alignment vertical="center"/>
    </xf>
    <xf numFmtId="0" fontId="25" fillId="4" borderId="0" xfId="0" applyFont="1" applyFill="1" applyAlignment="1">
      <alignment vertical="top"/>
    </xf>
    <xf numFmtId="0" fontId="33" fillId="4" borderId="0" xfId="0" applyFont="1" applyFill="1" applyAlignment="1">
      <alignment vertical="center"/>
    </xf>
    <xf numFmtId="0" fontId="25" fillId="4" borderId="18" xfId="0" applyFont="1" applyFill="1" applyBorder="1"/>
    <xf numFmtId="49" fontId="40" fillId="0" borderId="0" xfId="0" applyNumberFormat="1" applyFont="1"/>
    <xf numFmtId="0" fontId="40" fillId="0" borderId="0" xfId="0" applyFont="1"/>
    <xf numFmtId="0" fontId="7" fillId="0" borderId="2" xfId="1" applyBorder="1" applyAlignment="1">
      <alignment horizontal="center" vertical="center"/>
    </xf>
    <xf numFmtId="0" fontId="42" fillId="0" borderId="4" xfId="1" applyFont="1" applyBorder="1" applyAlignment="1">
      <alignment horizontal="center" vertical="center" wrapText="1"/>
    </xf>
    <xf numFmtId="0" fontId="42" fillId="0" borderId="1" xfId="1" applyFont="1" applyBorder="1" applyAlignment="1">
      <alignment horizontal="center" vertical="center" wrapText="1"/>
    </xf>
    <xf numFmtId="0" fontId="42" fillId="0" borderId="2" xfId="1" applyFont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0" fontId="7" fillId="3" borderId="14" xfId="1" applyFill="1" applyBorder="1" applyAlignment="1">
      <alignment horizontal="center" vertical="center"/>
    </xf>
    <xf numFmtId="0" fontId="16" fillId="3" borderId="1" xfId="1" applyFont="1" applyFill="1" applyBorder="1" applyAlignment="1">
      <alignment horizontal="center" vertical="center" wrapText="1"/>
    </xf>
    <xf numFmtId="0" fontId="7" fillId="3" borderId="15" xfId="1" applyFill="1" applyBorder="1" applyAlignment="1">
      <alignment horizontal="center" vertical="center" wrapText="1"/>
    </xf>
    <xf numFmtId="0" fontId="7" fillId="3" borderId="9" xfId="1" applyFill="1" applyBorder="1" applyAlignment="1">
      <alignment horizontal="center" vertical="center" wrapText="1"/>
    </xf>
    <xf numFmtId="0" fontId="7" fillId="0" borderId="14" xfId="1" applyBorder="1" applyAlignment="1">
      <alignment horizontal="center" vertical="center" wrapText="1"/>
    </xf>
    <xf numFmtId="0" fontId="7" fillId="3" borderId="1" xfId="1" applyFill="1" applyBorder="1" applyAlignment="1">
      <alignment vertical="center" wrapText="1"/>
    </xf>
    <xf numFmtId="0" fontId="11" fillId="3" borderId="1" xfId="1" applyFont="1" applyFill="1" applyBorder="1" applyAlignment="1">
      <alignment vertical="center" wrapText="1"/>
    </xf>
    <xf numFmtId="0" fontId="7" fillId="3" borderId="9" xfId="1" applyFill="1" applyBorder="1" applyAlignment="1">
      <alignment vertical="center" wrapText="1"/>
    </xf>
    <xf numFmtId="0" fontId="10" fillId="0" borderId="14" xfId="1" applyFont="1" applyBorder="1" applyAlignment="1">
      <alignment horizontal="center" vertical="center"/>
    </xf>
    <xf numFmtId="0" fontId="7" fillId="3" borderId="14" xfId="1" applyFill="1" applyBorder="1" applyAlignment="1">
      <alignment vertical="center" wrapText="1"/>
    </xf>
    <xf numFmtId="0" fontId="16" fillId="0" borderId="14" xfId="1" applyFont="1" applyBorder="1" applyAlignment="1">
      <alignment horizontal="center" vertical="center" wrapText="1"/>
    </xf>
    <xf numFmtId="14" fontId="7" fillId="0" borderId="14" xfId="1" applyNumberFormat="1" applyBorder="1" applyAlignment="1">
      <alignment horizontal="center" vertical="center"/>
    </xf>
    <xf numFmtId="0" fontId="7" fillId="3" borderId="14" xfId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/>
    </xf>
    <xf numFmtId="0" fontId="7" fillId="0" borderId="1" xfId="1" applyBorder="1" applyAlignment="1">
      <alignment vertical="center" wrapText="1"/>
    </xf>
    <xf numFmtId="0" fontId="7" fillId="0" borderId="1" xfId="1" applyBorder="1"/>
    <xf numFmtId="0" fontId="44" fillId="3" borderId="1" xfId="1" applyFont="1" applyFill="1" applyBorder="1" applyAlignment="1">
      <alignment vertical="center" wrapText="1"/>
    </xf>
    <xf numFmtId="14" fontId="7" fillId="3" borderId="1" xfId="1" applyNumberFormat="1" applyFill="1" applyBorder="1" applyAlignment="1">
      <alignment horizontal="center" vertical="center"/>
    </xf>
    <xf numFmtId="0" fontId="11" fillId="3" borderId="1" xfId="1" applyFont="1" applyFill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24" fillId="4" borderId="0" xfId="0" applyFont="1" applyFill="1"/>
    <xf numFmtId="49" fontId="8" fillId="10" borderId="2" xfId="1" applyNumberFormat="1" applyFont="1" applyFill="1" applyBorder="1" applyAlignment="1">
      <alignment horizontal="center" vertical="center" wrapText="1"/>
    </xf>
    <xf numFmtId="0" fontId="44" fillId="0" borderId="1" xfId="1" applyFont="1" applyBorder="1" applyAlignment="1">
      <alignment vertical="center" wrapText="1"/>
    </xf>
    <xf numFmtId="3" fontId="7" fillId="0" borderId="1" xfId="1" applyNumberFormat="1" applyBorder="1" applyAlignment="1">
      <alignment horizontal="center" vertical="center" wrapText="1"/>
    </xf>
    <xf numFmtId="0" fontId="41" fillId="3" borderId="114" xfId="1" applyFont="1" applyFill="1" applyBorder="1" applyAlignment="1">
      <alignment horizontal="center" vertical="center"/>
    </xf>
    <xf numFmtId="0" fontId="10" fillId="3" borderId="115" xfId="1" applyFont="1" applyFill="1" applyBorder="1" applyAlignment="1">
      <alignment horizontal="center" vertical="center"/>
    </xf>
    <xf numFmtId="0" fontId="10" fillId="3" borderId="16" xfId="1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right" wrapText="1"/>
    </xf>
    <xf numFmtId="0" fontId="2" fillId="3" borderId="9" xfId="0" applyFont="1" applyFill="1" applyBorder="1" applyAlignment="1">
      <alignment horizontal="center" wrapText="1"/>
    </xf>
    <xf numFmtId="49" fontId="2" fillId="3" borderId="9" xfId="0" applyNumberFormat="1" applyFont="1" applyFill="1" applyBorder="1" applyAlignment="1">
      <alignment horizont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1" fillId="3" borderId="4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vertical="center" wrapText="1"/>
    </xf>
    <xf numFmtId="0" fontId="4" fillId="3" borderId="4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49" fontId="4" fillId="3" borderId="2" xfId="0" applyNumberFormat="1" applyFont="1" applyFill="1" applyBorder="1" applyAlignment="1">
      <alignment horizontal="left" vertical="center" wrapText="1"/>
    </xf>
    <xf numFmtId="49" fontId="4" fillId="3" borderId="3" xfId="0" applyNumberFormat="1" applyFont="1" applyFill="1" applyBorder="1" applyAlignment="1">
      <alignment horizontal="left" vertical="center" wrapText="1"/>
    </xf>
    <xf numFmtId="49" fontId="4" fillId="3" borderId="4" xfId="0" applyNumberFormat="1" applyFont="1" applyFill="1" applyBorder="1" applyAlignment="1">
      <alignment horizontal="left" vertical="center" wrapText="1"/>
    </xf>
    <xf numFmtId="49" fontId="1" fillId="3" borderId="2" xfId="0" applyNumberFormat="1" applyFont="1" applyFill="1" applyBorder="1" applyAlignment="1">
      <alignment horizontal="center" vertical="center" wrapText="1"/>
    </xf>
    <xf numFmtId="49" fontId="1" fillId="3" borderId="3" xfId="0" applyNumberFormat="1" applyFont="1" applyFill="1" applyBorder="1" applyAlignment="1">
      <alignment horizontal="center" vertical="center" wrapText="1"/>
    </xf>
    <xf numFmtId="49" fontId="1" fillId="3" borderId="4" xfId="0" applyNumberFormat="1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left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top" wrapText="1"/>
    </xf>
    <xf numFmtId="0" fontId="4" fillId="3" borderId="5" xfId="0" applyFont="1" applyFill="1" applyBorder="1" applyAlignment="1">
      <alignment horizontal="left" vertical="center" wrapText="1"/>
    </xf>
    <xf numFmtId="0" fontId="4" fillId="3" borderId="10" xfId="0" applyFont="1" applyFill="1" applyBorder="1" applyAlignment="1">
      <alignment horizontal="left" vertical="center" wrapText="1"/>
    </xf>
    <xf numFmtId="0" fontId="4" fillId="3" borderId="6" xfId="0" applyFont="1" applyFill="1" applyBorder="1" applyAlignment="1">
      <alignment horizontal="left" vertical="center" wrapText="1"/>
    </xf>
    <xf numFmtId="0" fontId="4" fillId="3" borderId="11" xfId="0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2" fillId="0" borderId="4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4" fillId="3" borderId="0" xfId="0" applyFont="1" applyFill="1" applyAlignment="1">
      <alignment horizontal="left" vertical="center" wrapText="1" indent="1"/>
    </xf>
    <xf numFmtId="0" fontId="1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right" vertical="center" wrapText="1"/>
    </xf>
    <xf numFmtId="0" fontId="4" fillId="3" borderId="4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top" wrapText="1"/>
    </xf>
    <xf numFmtId="0" fontId="1" fillId="3" borderId="2" xfId="0" applyFont="1" applyFill="1" applyBorder="1" applyAlignment="1">
      <alignment horizontal="center" vertical="top" wrapText="1"/>
    </xf>
    <xf numFmtId="0" fontId="1" fillId="3" borderId="4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top" wrapText="1"/>
    </xf>
    <xf numFmtId="0" fontId="17" fillId="4" borderId="0" xfId="0" applyFont="1" applyFill="1" applyAlignment="1">
      <alignment horizontal="left" vertical="center"/>
    </xf>
    <xf numFmtId="0" fontId="24" fillId="7" borderId="9" xfId="0" applyFont="1" applyFill="1" applyBorder="1" applyAlignment="1">
      <alignment horizontal="center"/>
    </xf>
    <xf numFmtId="0" fontId="17" fillId="4" borderId="0" xfId="0" applyFont="1" applyFill="1" applyAlignment="1">
      <alignment horizontal="center" vertical="center"/>
    </xf>
    <xf numFmtId="0" fontId="17" fillId="4" borderId="33" xfId="0" applyFont="1" applyFill="1" applyBorder="1" applyAlignment="1">
      <alignment horizontal="center" vertical="center"/>
    </xf>
    <xf numFmtId="49" fontId="17" fillId="4" borderId="29" xfId="0" applyNumberFormat="1" applyFont="1" applyFill="1" applyBorder="1" applyAlignment="1">
      <alignment horizontal="center" vertical="center"/>
    </xf>
    <xf numFmtId="49" fontId="17" fillId="4" borderId="23" xfId="0" applyNumberFormat="1" applyFont="1" applyFill="1" applyBorder="1" applyAlignment="1">
      <alignment horizontal="center" vertical="center"/>
    </xf>
    <xf numFmtId="49" fontId="17" fillId="4" borderId="32" xfId="0" applyNumberFormat="1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49" fontId="17" fillId="4" borderId="27" xfId="0" applyNumberFormat="1" applyFont="1" applyFill="1" applyBorder="1" applyAlignment="1">
      <alignment horizontal="center" vertical="center"/>
    </xf>
    <xf numFmtId="49" fontId="17" fillId="4" borderId="18" xfId="0" applyNumberFormat="1" applyFont="1" applyFill="1" applyBorder="1" applyAlignment="1">
      <alignment horizontal="center" vertical="center"/>
    </xf>
    <xf numFmtId="49" fontId="17" fillId="4" borderId="28" xfId="0" applyNumberFormat="1" applyFont="1" applyFill="1" applyBorder="1" applyAlignment="1">
      <alignment horizontal="center" vertical="center"/>
    </xf>
    <xf numFmtId="0" fontId="17" fillId="4" borderId="17" xfId="0" applyFont="1" applyFill="1" applyBorder="1" applyAlignment="1">
      <alignment horizontal="center"/>
    </xf>
    <xf numFmtId="0" fontId="17" fillId="4" borderId="18" xfId="0" applyFont="1" applyFill="1" applyBorder="1" applyAlignment="1">
      <alignment horizontal="center"/>
    </xf>
    <xf numFmtId="0" fontId="17" fillId="4" borderId="19" xfId="0" applyFont="1" applyFill="1" applyBorder="1" applyAlignment="1">
      <alignment horizontal="center"/>
    </xf>
    <xf numFmtId="49" fontId="17" fillId="4" borderId="20" xfId="0" applyNumberFormat="1" applyFont="1" applyFill="1" applyBorder="1" applyAlignment="1">
      <alignment horizontal="center" vertical="center"/>
    </xf>
    <xf numFmtId="49" fontId="17" fillId="4" borderId="2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49" fontId="21" fillId="6" borderId="23" xfId="0" applyNumberFormat="1" applyFont="1" applyFill="1" applyBorder="1" applyAlignment="1">
      <alignment horizontal="center"/>
    </xf>
    <xf numFmtId="49" fontId="21" fillId="7" borderId="24" xfId="0" applyNumberFormat="1" applyFont="1" applyFill="1" applyBorder="1" applyAlignment="1">
      <alignment horizontal="center" vertical="center"/>
    </xf>
    <xf numFmtId="49" fontId="21" fillId="7" borderId="25" xfId="0" applyNumberFormat="1" applyFont="1" applyFill="1" applyBorder="1" applyAlignment="1">
      <alignment horizontal="center" vertical="center"/>
    </xf>
    <xf numFmtId="49" fontId="21" fillId="7" borderId="26" xfId="0" applyNumberFormat="1" applyFont="1" applyFill="1" applyBorder="1" applyAlignment="1">
      <alignment horizontal="center" vertical="center"/>
    </xf>
    <xf numFmtId="0" fontId="22" fillId="4" borderId="18" xfId="0" applyFont="1" applyFill="1" applyBorder="1" applyAlignment="1">
      <alignment horizontal="center" vertical="center"/>
    </xf>
    <xf numFmtId="49" fontId="23" fillId="7" borderId="27" xfId="0" applyNumberFormat="1" applyFont="1" applyFill="1" applyBorder="1" applyAlignment="1">
      <alignment horizontal="center" vertical="center"/>
    </xf>
    <xf numFmtId="49" fontId="23" fillId="7" borderId="18" xfId="0" applyNumberFormat="1" applyFont="1" applyFill="1" applyBorder="1" applyAlignment="1">
      <alignment horizontal="center" vertical="center"/>
    </xf>
    <xf numFmtId="49" fontId="23" fillId="7" borderId="29" xfId="0" applyNumberFormat="1" applyFont="1" applyFill="1" applyBorder="1" applyAlignment="1">
      <alignment horizontal="center" vertical="center"/>
    </xf>
    <xf numFmtId="49" fontId="23" fillId="7" borderId="23" xfId="0" applyNumberFormat="1" applyFont="1" applyFill="1" applyBorder="1" applyAlignment="1">
      <alignment horizontal="center" vertical="center"/>
    </xf>
    <xf numFmtId="49" fontId="21" fillId="7" borderId="17" xfId="0" applyNumberFormat="1" applyFont="1" applyFill="1" applyBorder="1" applyAlignment="1">
      <alignment horizontal="center" vertical="center"/>
    </xf>
    <xf numFmtId="49" fontId="21" fillId="7" borderId="18" xfId="0" applyNumberFormat="1" applyFont="1" applyFill="1" applyBorder="1" applyAlignment="1">
      <alignment horizontal="center" vertical="center"/>
    </xf>
    <xf numFmtId="49" fontId="21" fillId="7" borderId="19" xfId="0" applyNumberFormat="1" applyFont="1" applyFill="1" applyBorder="1" applyAlignment="1">
      <alignment horizontal="center" vertical="center"/>
    </xf>
    <xf numFmtId="49" fontId="21" fillId="7" borderId="30" xfId="0" applyNumberFormat="1" applyFont="1" applyFill="1" applyBorder="1" applyAlignment="1">
      <alignment horizontal="center" vertical="center"/>
    </xf>
    <xf numFmtId="49" fontId="21" fillId="7" borderId="23" xfId="0" applyNumberFormat="1" applyFont="1" applyFill="1" applyBorder="1" applyAlignment="1">
      <alignment horizontal="center" vertical="center"/>
    </xf>
    <xf numFmtId="49" fontId="21" fillId="7" borderId="31" xfId="0" applyNumberFormat="1" applyFont="1" applyFill="1" applyBorder="1" applyAlignment="1">
      <alignment horizontal="center" vertical="center"/>
    </xf>
    <xf numFmtId="49" fontId="23" fillId="7" borderId="28" xfId="0" applyNumberFormat="1" applyFont="1" applyFill="1" applyBorder="1" applyAlignment="1">
      <alignment horizontal="center" vertical="center"/>
    </xf>
    <xf numFmtId="49" fontId="23" fillId="7" borderId="32" xfId="0" applyNumberFormat="1" applyFont="1" applyFill="1" applyBorder="1" applyAlignment="1">
      <alignment horizontal="center" vertical="center"/>
    </xf>
    <xf numFmtId="0" fontId="25" fillId="4" borderId="42" xfId="0" applyFont="1" applyFill="1" applyBorder="1" applyAlignment="1">
      <alignment horizontal="center" vertical="center" wrapText="1"/>
    </xf>
    <xf numFmtId="0" fontId="25" fillId="4" borderId="39" xfId="0" applyFont="1" applyFill="1" applyBorder="1" applyAlignment="1">
      <alignment horizontal="center" vertical="center" wrapText="1"/>
    </xf>
    <xf numFmtId="0" fontId="25" fillId="4" borderId="40" xfId="0" applyFont="1" applyFill="1" applyBorder="1" applyAlignment="1">
      <alignment horizontal="center" vertical="center" wrapText="1"/>
    </xf>
    <xf numFmtId="0" fontId="25" fillId="4" borderId="41" xfId="0" applyFont="1" applyFill="1" applyBorder="1" applyAlignment="1">
      <alignment horizontal="center" vertical="center" wrapText="1"/>
    </xf>
    <xf numFmtId="0" fontId="17" fillId="4" borderId="0" xfId="0" applyFont="1" applyFill="1"/>
    <xf numFmtId="0" fontId="22" fillId="8" borderId="0" xfId="0" applyFont="1" applyFill="1" applyAlignment="1">
      <alignment horizontal="center" vertical="center"/>
    </xf>
    <xf numFmtId="49" fontId="17" fillId="4" borderId="34" xfId="0" applyNumberFormat="1" applyFont="1" applyFill="1" applyBorder="1" applyAlignment="1">
      <alignment horizontal="center" vertical="center"/>
    </xf>
    <xf numFmtId="49" fontId="17" fillId="4" borderId="35" xfId="0" applyNumberFormat="1" applyFont="1" applyFill="1" applyBorder="1" applyAlignment="1">
      <alignment horizontal="center" vertical="center"/>
    </xf>
    <xf numFmtId="49" fontId="17" fillId="4" borderId="36" xfId="0" applyNumberFormat="1" applyFont="1" applyFill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top"/>
    </xf>
    <xf numFmtId="0" fontId="17" fillId="4" borderId="37" xfId="0" applyFont="1" applyFill="1" applyBorder="1" applyAlignment="1">
      <alignment horizontal="center" vertical="center"/>
    </xf>
    <xf numFmtId="0" fontId="25" fillId="4" borderId="38" xfId="0" applyFont="1" applyFill="1" applyBorder="1" applyAlignment="1">
      <alignment horizontal="center" vertical="center" wrapText="1"/>
    </xf>
    <xf numFmtId="0" fontId="25" fillId="4" borderId="17" xfId="0" applyFont="1" applyFill="1" applyBorder="1" applyAlignment="1">
      <alignment horizontal="center" vertical="center"/>
    </xf>
    <xf numFmtId="0" fontId="25" fillId="4" borderId="18" xfId="0" applyFont="1" applyFill="1" applyBorder="1" applyAlignment="1">
      <alignment horizontal="center" vertical="center"/>
    </xf>
    <xf numFmtId="0" fontId="25" fillId="4" borderId="19" xfId="0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horizontal="center" vertical="center"/>
    </xf>
    <xf numFmtId="0" fontId="25" fillId="4" borderId="43" xfId="0" applyFont="1" applyFill="1" applyBorder="1" applyAlignment="1">
      <alignment horizontal="center" vertical="center"/>
    </xf>
    <xf numFmtId="0" fontId="24" fillId="6" borderId="46" xfId="0" applyFont="1" applyFill="1" applyBorder="1" applyAlignment="1">
      <alignment horizontal="center" vertical="center"/>
    </xf>
    <xf numFmtId="0" fontId="25" fillId="6" borderId="46" xfId="0" applyFont="1" applyFill="1" applyBorder="1" applyAlignment="1">
      <alignment horizontal="center" vertical="center"/>
    </xf>
    <xf numFmtId="2" fontId="26" fillId="7" borderId="46" xfId="0" applyNumberFormat="1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/>
    </xf>
    <xf numFmtId="0" fontId="25" fillId="4" borderId="46" xfId="0" applyFont="1" applyFill="1" applyBorder="1" applyAlignment="1">
      <alignment horizontal="center"/>
    </xf>
    <xf numFmtId="49" fontId="25" fillId="4" borderId="46" xfId="0" applyNumberFormat="1" applyFont="1" applyFill="1" applyBorder="1" applyAlignment="1">
      <alignment horizontal="center"/>
    </xf>
    <xf numFmtId="49" fontId="25" fillId="4" borderId="50" xfId="0" applyNumberFormat="1" applyFont="1" applyFill="1" applyBorder="1" applyAlignment="1">
      <alignment horizontal="center"/>
    </xf>
    <xf numFmtId="49" fontId="25" fillId="4" borderId="45" xfId="0" applyNumberFormat="1" applyFont="1" applyFill="1" applyBorder="1" applyAlignment="1">
      <alignment horizontal="center"/>
    </xf>
    <xf numFmtId="0" fontId="28" fillId="7" borderId="46" xfId="0" applyFont="1" applyFill="1" applyBorder="1" applyAlignment="1">
      <alignment horizontal="center" vertical="center"/>
    </xf>
    <xf numFmtId="0" fontId="28" fillId="7" borderId="47" xfId="0" applyFont="1" applyFill="1" applyBorder="1" applyAlignment="1">
      <alignment horizontal="center" vertical="center" wrapText="1"/>
    </xf>
    <xf numFmtId="0" fontId="28" fillId="7" borderId="48" xfId="0" applyFont="1" applyFill="1" applyBorder="1" applyAlignment="1">
      <alignment horizontal="center" vertical="center" wrapText="1"/>
    </xf>
    <xf numFmtId="0" fontId="28" fillId="7" borderId="49" xfId="0" applyFont="1" applyFill="1" applyBorder="1" applyAlignment="1">
      <alignment horizontal="center" vertical="center" wrapText="1"/>
    </xf>
    <xf numFmtId="49" fontId="25" fillId="4" borderId="1" xfId="0" applyNumberFormat="1" applyFont="1" applyFill="1" applyBorder="1" applyAlignment="1">
      <alignment horizontal="center"/>
    </xf>
    <xf numFmtId="49" fontId="25" fillId="4" borderId="52" xfId="0" applyNumberFormat="1" applyFont="1" applyFill="1" applyBorder="1" applyAlignment="1">
      <alignment horizontal="center"/>
    </xf>
    <xf numFmtId="49" fontId="25" fillId="4" borderId="51" xfId="0" applyNumberFormat="1" applyFont="1" applyFill="1" applyBorder="1" applyAlignment="1">
      <alignment horizontal="center"/>
    </xf>
    <xf numFmtId="0" fontId="28" fillId="7" borderId="1" xfId="0" applyFont="1" applyFill="1" applyBorder="1" applyAlignment="1">
      <alignment horizontal="center" vertical="center"/>
    </xf>
    <xf numFmtId="0" fontId="28" fillId="7" borderId="2" xfId="0" applyFont="1" applyFill="1" applyBorder="1" applyAlignment="1">
      <alignment horizontal="center" vertical="center" wrapText="1"/>
    </xf>
    <xf numFmtId="0" fontId="28" fillId="7" borderId="3" xfId="0" applyFont="1" applyFill="1" applyBorder="1" applyAlignment="1">
      <alignment horizontal="center" vertical="center" wrapText="1"/>
    </xf>
    <xf numFmtId="0" fontId="28" fillId="7" borderId="4" xfId="0" applyFont="1" applyFill="1" applyBorder="1" applyAlignment="1">
      <alignment horizontal="center" vertical="center" wrapText="1"/>
    </xf>
    <xf numFmtId="0" fontId="25" fillId="6" borderId="1" xfId="0" applyFont="1" applyFill="1" applyBorder="1" applyAlignment="1">
      <alignment horizontal="center" vertical="center"/>
    </xf>
    <xf numFmtId="0" fontId="24" fillId="6" borderId="2" xfId="0" applyFont="1" applyFill="1" applyBorder="1" applyAlignment="1">
      <alignment horizontal="center" vertical="center"/>
    </xf>
    <xf numFmtId="0" fontId="24" fillId="6" borderId="3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166" fontId="26" fillId="7" borderId="46" xfId="0" applyNumberFormat="1" applyFont="1" applyFill="1" applyBorder="1" applyAlignment="1">
      <alignment horizontal="center" vertical="center"/>
    </xf>
    <xf numFmtId="0" fontId="28" fillId="7" borderId="2" xfId="0" applyFont="1" applyFill="1" applyBorder="1" applyAlignment="1">
      <alignment horizontal="center" vertical="center"/>
    </xf>
    <xf numFmtId="0" fontId="28" fillId="7" borderId="3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 vertical="center"/>
    </xf>
    <xf numFmtId="166" fontId="26" fillId="7" borderId="1" xfId="0" applyNumberFormat="1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4" xfId="0" applyFont="1" applyFill="1" applyBorder="1" applyAlignment="1">
      <alignment horizontal="center" vertical="center"/>
    </xf>
    <xf numFmtId="0" fontId="18" fillId="4" borderId="23" xfId="0" applyFont="1" applyFill="1" applyBorder="1" applyAlignment="1">
      <alignment horizontal="center"/>
    </xf>
    <xf numFmtId="49" fontId="17" fillId="4" borderId="23" xfId="0" applyNumberFormat="1" applyFont="1" applyFill="1" applyBorder="1" applyAlignment="1">
      <alignment horizontal="center"/>
    </xf>
    <xf numFmtId="0" fontId="25" fillId="4" borderId="53" xfId="0" applyFont="1" applyFill="1" applyBorder="1" applyAlignment="1">
      <alignment horizontal="center" vertical="center"/>
    </xf>
    <xf numFmtId="0" fontId="25" fillId="4" borderId="23" xfId="0" applyFont="1" applyFill="1" applyBorder="1" applyAlignment="1">
      <alignment horizontal="center" vertical="center"/>
    </xf>
    <xf numFmtId="0" fontId="25" fillId="4" borderId="31" xfId="0" applyFont="1" applyFill="1" applyBorder="1" applyAlignment="1">
      <alignment horizontal="center" vertical="center"/>
    </xf>
    <xf numFmtId="0" fontId="25" fillId="4" borderId="30" xfId="0" applyFont="1" applyFill="1" applyBorder="1" applyAlignment="1">
      <alignment horizontal="center" vertical="center"/>
    </xf>
    <xf numFmtId="0" fontId="25" fillId="4" borderId="54" xfId="0" applyFont="1" applyFill="1" applyBorder="1" applyAlignment="1">
      <alignment horizontal="center" vertical="center"/>
    </xf>
    <xf numFmtId="0" fontId="27" fillId="4" borderId="43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55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56" xfId="0" applyFont="1" applyFill="1" applyBorder="1" applyAlignment="1">
      <alignment horizontal="center" vertical="center" wrapText="1"/>
    </xf>
    <xf numFmtId="0" fontId="27" fillId="4" borderId="53" xfId="0" applyFont="1" applyFill="1" applyBorder="1" applyAlignment="1">
      <alignment horizontal="center" vertical="center" wrapText="1"/>
    </xf>
    <xf numFmtId="0" fontId="27" fillId="4" borderId="23" xfId="0" applyFont="1" applyFill="1" applyBorder="1" applyAlignment="1">
      <alignment horizontal="center" vertical="center" wrapText="1"/>
    </xf>
    <xf numFmtId="0" fontId="27" fillId="4" borderId="31" xfId="0" applyFont="1" applyFill="1" applyBorder="1" applyAlignment="1">
      <alignment horizontal="center" vertical="center" wrapText="1"/>
    </xf>
    <xf numFmtId="0" fontId="25" fillId="4" borderId="57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5" fillId="4" borderId="58" xfId="0" applyFont="1" applyFill="1" applyBorder="1" applyAlignment="1">
      <alignment horizontal="center" vertical="center"/>
    </xf>
    <xf numFmtId="0" fontId="22" fillId="4" borderId="18" xfId="0" applyFont="1" applyFill="1" applyBorder="1" applyAlignment="1">
      <alignment horizontal="center"/>
    </xf>
    <xf numFmtId="2" fontId="28" fillId="7" borderId="45" xfId="0" applyNumberFormat="1" applyFont="1" applyFill="1" applyBorder="1" applyAlignment="1">
      <alignment horizontal="center"/>
    </xf>
    <xf numFmtId="2" fontId="28" fillId="7" borderId="46" xfId="0" applyNumberFormat="1" applyFont="1" applyFill="1" applyBorder="1" applyAlignment="1">
      <alignment horizontal="center"/>
    </xf>
    <xf numFmtId="2" fontId="28" fillId="7" borderId="50" xfId="0" applyNumberFormat="1" applyFont="1" applyFill="1" applyBorder="1" applyAlignment="1">
      <alignment horizontal="center"/>
    </xf>
    <xf numFmtId="2" fontId="28" fillId="7" borderId="51" xfId="0" applyNumberFormat="1" applyFont="1" applyFill="1" applyBorder="1" applyAlignment="1">
      <alignment horizontal="center"/>
    </xf>
    <xf numFmtId="2" fontId="28" fillId="7" borderId="1" xfId="0" applyNumberFormat="1" applyFont="1" applyFill="1" applyBorder="1" applyAlignment="1">
      <alignment horizontal="center"/>
    </xf>
    <xf numFmtId="2" fontId="28" fillId="7" borderId="52" xfId="0" applyNumberFormat="1" applyFont="1" applyFill="1" applyBorder="1" applyAlignment="1">
      <alignment horizontal="center"/>
    </xf>
    <xf numFmtId="0" fontId="28" fillId="7" borderId="9" xfId="0" applyFont="1" applyFill="1" applyBorder="1" applyAlignment="1">
      <alignment horizontal="center" vertical="top"/>
    </xf>
    <xf numFmtId="0" fontId="28" fillId="7" borderId="9" xfId="0" applyFont="1" applyFill="1" applyBorder="1" applyAlignment="1">
      <alignment horizontal="center"/>
    </xf>
    <xf numFmtId="0" fontId="17" fillId="4" borderId="0" xfId="0" applyFont="1" applyFill="1" applyAlignment="1">
      <alignment horizontal="center"/>
    </xf>
    <xf numFmtId="0" fontId="27" fillId="4" borderId="62" xfId="0" applyFont="1" applyFill="1" applyBorder="1" applyAlignment="1">
      <alignment horizontal="center" vertical="center" wrapText="1"/>
    </xf>
    <xf numFmtId="0" fontId="27" fillId="4" borderId="63" xfId="0" applyFont="1" applyFill="1" applyBorder="1" applyAlignment="1">
      <alignment horizontal="center" vertical="center" wrapText="1"/>
    </xf>
    <xf numFmtId="0" fontId="27" fillId="4" borderId="64" xfId="0" applyFont="1" applyFill="1" applyBorder="1" applyAlignment="1">
      <alignment horizontal="center" vertical="center" wrapText="1"/>
    </xf>
    <xf numFmtId="0" fontId="25" fillId="4" borderId="65" xfId="0" applyFont="1" applyFill="1" applyBorder="1" applyAlignment="1">
      <alignment horizontal="center" vertical="center"/>
    </xf>
    <xf numFmtId="0" fontId="25" fillId="4" borderId="63" xfId="0" applyFont="1" applyFill="1" applyBorder="1" applyAlignment="1">
      <alignment horizontal="center" vertical="center"/>
    </xf>
    <xf numFmtId="0" fontId="25" fillId="4" borderId="66" xfId="0" applyFont="1" applyFill="1" applyBorder="1" applyAlignment="1">
      <alignment horizontal="center" vertical="center"/>
    </xf>
    <xf numFmtId="2" fontId="28" fillId="7" borderId="9" xfId="0" applyNumberFormat="1" applyFont="1" applyFill="1" applyBorder="1" applyAlignment="1">
      <alignment horizontal="center" vertical="top" wrapText="1"/>
    </xf>
    <xf numFmtId="0" fontId="28" fillId="7" borderId="9" xfId="0" applyFont="1" applyFill="1" applyBorder="1" applyAlignment="1">
      <alignment horizontal="center" vertical="top" wrapText="1"/>
    </xf>
    <xf numFmtId="0" fontId="22" fillId="4" borderId="0" xfId="0" applyFont="1" applyFill="1" applyAlignment="1">
      <alignment horizontal="center"/>
    </xf>
    <xf numFmtId="0" fontId="30" fillId="4" borderId="0" xfId="0" applyFont="1" applyFill="1" applyAlignment="1">
      <alignment horizontal="center"/>
    </xf>
    <xf numFmtId="2" fontId="28" fillId="7" borderId="59" xfId="0" applyNumberFormat="1" applyFont="1" applyFill="1" applyBorder="1" applyAlignment="1">
      <alignment horizontal="center"/>
    </xf>
    <xf numFmtId="2" fontId="28" fillId="7" borderId="60" xfId="0" applyNumberFormat="1" applyFont="1" applyFill="1" applyBorder="1" applyAlignment="1">
      <alignment horizontal="center"/>
    </xf>
    <xf numFmtId="2" fontId="28" fillId="7" borderId="61" xfId="0" applyNumberFormat="1" applyFont="1" applyFill="1" applyBorder="1" applyAlignment="1">
      <alignment horizontal="center"/>
    </xf>
    <xf numFmtId="49" fontId="18" fillId="4" borderId="67" xfId="0" applyNumberFormat="1" applyFont="1" applyFill="1" applyBorder="1"/>
    <xf numFmtId="49" fontId="18" fillId="4" borderId="0" xfId="0" applyNumberFormat="1" applyFont="1" applyFill="1"/>
    <xf numFmtId="0" fontId="18" fillId="4" borderId="0" xfId="0" applyFont="1" applyFill="1" applyAlignment="1">
      <alignment horizontal="center"/>
    </xf>
    <xf numFmtId="49" fontId="18" fillId="4" borderId="0" xfId="0" applyNumberFormat="1" applyFont="1" applyFill="1" applyAlignment="1">
      <alignment horizontal="center"/>
    </xf>
    <xf numFmtId="49" fontId="18" fillId="4" borderId="23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18" xfId="0" applyFont="1" applyFill="1" applyBorder="1" applyAlignment="1">
      <alignment horizontal="center" vertical="top"/>
    </xf>
    <xf numFmtId="0" fontId="17" fillId="4" borderId="23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49" fontId="18" fillId="4" borderId="67" xfId="0" applyNumberFormat="1" applyFont="1" applyFill="1" applyBorder="1" applyAlignment="1">
      <alignment horizontal="center"/>
    </xf>
    <xf numFmtId="0" fontId="24" fillId="9" borderId="23" xfId="0" applyFont="1" applyFill="1" applyBorder="1" applyAlignment="1">
      <alignment horizontal="center"/>
    </xf>
    <xf numFmtId="0" fontId="25" fillId="6" borderId="23" xfId="0" applyFont="1" applyFill="1" applyBorder="1" applyAlignment="1">
      <alignment horizontal="center"/>
    </xf>
    <xf numFmtId="0" fontId="18" fillId="4" borderId="23" xfId="0" applyFont="1" applyFill="1" applyBorder="1" applyAlignment="1">
      <alignment horizontal="center" vertical="top"/>
    </xf>
    <xf numFmtId="0" fontId="31" fillId="4" borderId="0" xfId="0" applyFont="1" applyFill="1"/>
    <xf numFmtId="0" fontId="24" fillId="7" borderId="18" xfId="0" applyFont="1" applyFill="1" applyBorder="1" applyAlignment="1">
      <alignment horizontal="center"/>
    </xf>
    <xf numFmtId="0" fontId="24" fillId="7" borderId="23" xfId="0" applyFont="1" applyFill="1" applyBorder="1" applyAlignment="1">
      <alignment horizontal="center"/>
    </xf>
    <xf numFmtId="0" fontId="18" fillId="4" borderId="18" xfId="0" applyFont="1" applyFill="1" applyBorder="1" applyAlignment="1">
      <alignment horizontal="center"/>
    </xf>
    <xf numFmtId="0" fontId="18" fillId="8" borderId="18" xfId="0" applyFont="1" applyFill="1" applyBorder="1" applyAlignment="1">
      <alignment horizontal="center"/>
    </xf>
    <xf numFmtId="0" fontId="24" fillId="9" borderId="18" xfId="0" applyFont="1" applyFill="1" applyBorder="1" applyAlignment="1">
      <alignment horizontal="center"/>
    </xf>
    <xf numFmtId="0" fontId="22" fillId="6" borderId="18" xfId="0" applyFont="1" applyFill="1" applyBorder="1" applyAlignment="1">
      <alignment horizontal="center" vertical="center"/>
    </xf>
    <xf numFmtId="49" fontId="24" fillId="9" borderId="23" xfId="0" applyNumberFormat="1" applyFont="1" applyFill="1" applyBorder="1" applyAlignment="1">
      <alignment horizontal="center"/>
    </xf>
    <xf numFmtId="49" fontId="18" fillId="9" borderId="23" xfId="0" applyNumberFormat="1" applyFont="1" applyFill="1" applyBorder="1" applyAlignment="1">
      <alignment horizontal="center"/>
    </xf>
    <xf numFmtId="0" fontId="18" fillId="9" borderId="23" xfId="0" applyFont="1" applyFill="1" applyBorder="1" applyAlignment="1">
      <alignment horizontal="center"/>
    </xf>
    <xf numFmtId="0" fontId="25" fillId="4" borderId="23" xfId="0" applyFont="1" applyFill="1" applyBorder="1" applyAlignment="1">
      <alignment horizontal="center"/>
    </xf>
    <xf numFmtId="0" fontId="18" fillId="4" borderId="23" xfId="0" applyFont="1" applyFill="1" applyBorder="1" applyAlignment="1">
      <alignment horizontal="left"/>
    </xf>
    <xf numFmtId="1" fontId="24" fillId="7" borderId="23" xfId="0" applyNumberFormat="1" applyFont="1" applyFill="1" applyBorder="1" applyAlignment="1">
      <alignment horizontal="center" vertical="top"/>
    </xf>
    <xf numFmtId="49" fontId="18" fillId="7" borderId="25" xfId="0" applyNumberFormat="1" applyFont="1" applyFill="1" applyBorder="1" applyAlignment="1">
      <alignment horizontal="center"/>
    </xf>
    <xf numFmtId="0" fontId="18" fillId="7" borderId="25" xfId="0" applyFont="1" applyFill="1" applyBorder="1" applyAlignment="1">
      <alignment horizontal="center"/>
    </xf>
    <xf numFmtId="0" fontId="25" fillId="4" borderId="0" xfId="0" applyFont="1" applyFill="1"/>
    <xf numFmtId="49" fontId="24" fillId="7" borderId="0" xfId="0" applyNumberFormat="1" applyFont="1" applyFill="1" applyAlignment="1">
      <alignment horizontal="center"/>
    </xf>
    <xf numFmtId="49" fontId="24" fillId="7" borderId="23" xfId="0" applyNumberFormat="1" applyFont="1" applyFill="1" applyBorder="1" applyAlignment="1">
      <alignment horizontal="center"/>
    </xf>
    <xf numFmtId="0" fontId="25" fillId="4" borderId="0" xfId="0" applyFont="1" applyFill="1" applyAlignment="1">
      <alignment horizontal="left"/>
    </xf>
    <xf numFmtId="49" fontId="24" fillId="7" borderId="9" xfId="0" applyNumberFormat="1" applyFont="1" applyFill="1" applyBorder="1" applyAlignment="1">
      <alignment horizontal="center"/>
    </xf>
    <xf numFmtId="0" fontId="17" fillId="4" borderId="0" xfId="0" applyFont="1" applyFill="1" applyAlignment="1">
      <alignment vertical="top"/>
    </xf>
    <xf numFmtId="49" fontId="25" fillId="4" borderId="23" xfId="0" applyNumberFormat="1" applyFont="1" applyFill="1" applyBorder="1" applyAlignment="1">
      <alignment horizontal="center"/>
    </xf>
    <xf numFmtId="49" fontId="31" fillId="7" borderId="68" xfId="0" applyNumberFormat="1" applyFont="1" applyFill="1" applyBorder="1" applyAlignment="1">
      <alignment horizontal="center"/>
    </xf>
    <xf numFmtId="0" fontId="31" fillId="7" borderId="69" xfId="0" applyFont="1" applyFill="1" applyBorder="1" applyAlignment="1">
      <alignment horizontal="center"/>
    </xf>
    <xf numFmtId="0" fontId="31" fillId="7" borderId="70" xfId="0" applyFont="1" applyFill="1" applyBorder="1" applyAlignment="1">
      <alignment horizontal="center"/>
    </xf>
    <xf numFmtId="0" fontId="31" fillId="7" borderId="29" xfId="0" applyFont="1" applyFill="1" applyBorder="1" applyAlignment="1">
      <alignment horizontal="center"/>
    </xf>
    <xf numFmtId="0" fontId="31" fillId="7" borderId="23" xfId="0" applyFont="1" applyFill="1" applyBorder="1" applyAlignment="1">
      <alignment horizontal="center"/>
    </xf>
    <xf numFmtId="0" fontId="31" fillId="7" borderId="32" xfId="0" applyFont="1" applyFill="1" applyBorder="1" applyAlignment="1">
      <alignment horizontal="center"/>
    </xf>
    <xf numFmtId="0" fontId="25" fillId="4" borderId="0" xfId="0" applyFont="1" applyFill="1" applyAlignment="1">
      <alignment horizontal="center"/>
    </xf>
    <xf numFmtId="0" fontId="25" fillId="4" borderId="0" xfId="0" applyFont="1" applyFill="1" applyAlignment="1">
      <alignment horizontal="right"/>
    </xf>
    <xf numFmtId="49" fontId="31" fillId="6" borderId="27" xfId="0" applyNumberFormat="1" applyFont="1" applyFill="1" applyBorder="1" applyAlignment="1">
      <alignment horizontal="center"/>
    </xf>
    <xf numFmtId="49" fontId="31" fillId="6" borderId="18" xfId="0" applyNumberFormat="1" applyFont="1" applyFill="1" applyBorder="1" applyAlignment="1">
      <alignment horizontal="center"/>
    </xf>
    <xf numFmtId="49" fontId="31" fillId="6" borderId="28" xfId="0" applyNumberFormat="1" applyFont="1" applyFill="1" applyBorder="1" applyAlignment="1">
      <alignment horizontal="center"/>
    </xf>
    <xf numFmtId="49" fontId="31" fillId="6" borderId="29" xfId="0" applyNumberFormat="1" applyFont="1" applyFill="1" applyBorder="1" applyAlignment="1">
      <alignment horizontal="center"/>
    </xf>
    <xf numFmtId="49" fontId="31" fillId="6" borderId="23" xfId="0" applyNumberFormat="1" applyFont="1" applyFill="1" applyBorder="1" applyAlignment="1">
      <alignment horizontal="center"/>
    </xf>
    <xf numFmtId="49" fontId="31" fillId="6" borderId="32" xfId="0" applyNumberFormat="1" applyFont="1" applyFill="1" applyBorder="1" applyAlignment="1">
      <alignment horizontal="center"/>
    </xf>
    <xf numFmtId="0" fontId="25" fillId="4" borderId="0" xfId="0" applyFont="1" applyFill="1" applyAlignment="1">
      <alignment horizontal="right" vertical="top" wrapText="1"/>
    </xf>
    <xf numFmtId="0" fontId="32" fillId="4" borderId="18" xfId="0" applyFont="1" applyFill="1" applyBorder="1" applyAlignment="1">
      <alignment horizontal="center" vertical="top"/>
    </xf>
    <xf numFmtId="0" fontId="32" fillId="4" borderId="0" xfId="0" applyFont="1" applyFill="1" applyAlignment="1">
      <alignment horizontal="center" vertical="top"/>
    </xf>
    <xf numFmtId="49" fontId="25" fillId="4" borderId="71" xfId="0" applyNumberFormat="1" applyFont="1" applyFill="1" applyBorder="1" applyAlignment="1">
      <alignment horizontal="center"/>
    </xf>
    <xf numFmtId="49" fontId="25" fillId="4" borderId="0" xfId="0" applyNumberFormat="1" applyFont="1" applyFill="1" applyAlignment="1">
      <alignment horizontal="center"/>
    </xf>
    <xf numFmtId="49" fontId="25" fillId="4" borderId="33" xfId="0" applyNumberFormat="1" applyFont="1" applyFill="1" applyBorder="1" applyAlignment="1">
      <alignment horizontal="center"/>
    </xf>
    <xf numFmtId="49" fontId="25" fillId="4" borderId="29" xfId="0" applyNumberFormat="1" applyFont="1" applyFill="1" applyBorder="1" applyAlignment="1">
      <alignment horizontal="center"/>
    </xf>
    <xf numFmtId="49" fontId="25" fillId="4" borderId="32" xfId="0" applyNumberFormat="1" applyFont="1" applyFill="1" applyBorder="1" applyAlignment="1">
      <alignment horizontal="center"/>
    </xf>
    <xf numFmtId="0" fontId="24" fillId="7" borderId="23" xfId="0" applyFont="1" applyFill="1" applyBorder="1" applyAlignment="1">
      <alignment horizontal="center" vertical="top"/>
    </xf>
    <xf numFmtId="0" fontId="28" fillId="7" borderId="23" xfId="0" applyFont="1" applyFill="1" applyBorder="1" applyAlignment="1">
      <alignment horizontal="center"/>
    </xf>
    <xf numFmtId="0" fontId="32" fillId="4" borderId="0" xfId="0" applyFont="1" applyFill="1" applyAlignment="1">
      <alignment horizontal="center" vertical="center"/>
    </xf>
    <xf numFmtId="49" fontId="25" fillId="4" borderId="27" xfId="0" applyNumberFormat="1" applyFont="1" applyFill="1" applyBorder="1" applyAlignment="1">
      <alignment horizontal="center"/>
    </xf>
    <xf numFmtId="49" fontId="25" fillId="4" borderId="18" xfId="0" applyNumberFormat="1" applyFont="1" applyFill="1" applyBorder="1" applyAlignment="1">
      <alignment horizontal="center"/>
    </xf>
    <xf numFmtId="49" fontId="25" fillId="4" borderId="28" xfId="0" applyNumberFormat="1" applyFont="1" applyFill="1" applyBorder="1" applyAlignment="1">
      <alignment horizontal="center"/>
    </xf>
    <xf numFmtId="0" fontId="24" fillId="7" borderId="23" xfId="0" applyFont="1" applyFill="1" applyBorder="1" applyAlignment="1">
      <alignment horizontal="center" vertical="center"/>
    </xf>
    <xf numFmtId="49" fontId="24" fillId="7" borderId="23" xfId="0" applyNumberFormat="1" applyFont="1" applyFill="1" applyBorder="1" applyAlignment="1">
      <alignment horizontal="center" vertical="top"/>
    </xf>
    <xf numFmtId="0" fontId="32" fillId="4" borderId="18" xfId="0" applyFont="1" applyFill="1" applyBorder="1" applyAlignment="1">
      <alignment horizontal="center" vertical="center"/>
    </xf>
    <xf numFmtId="0" fontId="25" fillId="4" borderId="0" xfId="0" applyFont="1" applyFill="1" applyAlignment="1">
      <alignment vertical="top"/>
    </xf>
    <xf numFmtId="49" fontId="25" fillId="4" borderId="34" xfId="0" applyNumberFormat="1" applyFont="1" applyFill="1" applyBorder="1" applyAlignment="1">
      <alignment horizontal="center"/>
    </xf>
    <xf numFmtId="49" fontId="25" fillId="4" borderId="35" xfId="0" applyNumberFormat="1" applyFont="1" applyFill="1" applyBorder="1" applyAlignment="1">
      <alignment horizontal="center"/>
    </xf>
    <xf numFmtId="49" fontId="25" fillId="4" borderId="36" xfId="0" applyNumberFormat="1" applyFont="1" applyFill="1" applyBorder="1" applyAlignment="1">
      <alignment horizontal="center"/>
    </xf>
    <xf numFmtId="49" fontId="24" fillId="9" borderId="23" xfId="0" applyNumberFormat="1" applyFont="1" applyFill="1" applyBorder="1" applyAlignment="1">
      <alignment horizontal="center" vertical="top"/>
    </xf>
    <xf numFmtId="49" fontId="25" fillId="9" borderId="9" xfId="0" applyNumberFormat="1" applyFont="1" applyFill="1" applyBorder="1" applyAlignment="1">
      <alignment horizontal="center" vertical="center"/>
    </xf>
    <xf numFmtId="0" fontId="27" fillId="4" borderId="72" xfId="0" applyFont="1" applyFill="1" applyBorder="1" applyAlignment="1">
      <alignment horizontal="center" vertical="center"/>
    </xf>
    <xf numFmtId="0" fontId="27" fillId="4" borderId="72" xfId="0" applyFont="1" applyFill="1" applyBorder="1" applyAlignment="1">
      <alignment horizontal="center" vertical="center" wrapText="1"/>
    </xf>
    <xf numFmtId="0" fontId="35" fillId="4" borderId="43" xfId="0" applyFont="1" applyFill="1" applyBorder="1" applyAlignment="1">
      <alignment horizontal="center" vertical="center"/>
    </xf>
    <xf numFmtId="0" fontId="36" fillId="4" borderId="18" xfId="0" applyFont="1" applyFill="1" applyBorder="1"/>
    <xf numFmtId="0" fontId="36" fillId="4" borderId="44" xfId="0" applyFont="1" applyFill="1" applyBorder="1"/>
    <xf numFmtId="0" fontId="35" fillId="4" borderId="18" xfId="0" applyFont="1" applyFill="1" applyBorder="1" applyAlignment="1">
      <alignment horizontal="center" vertical="center"/>
    </xf>
    <xf numFmtId="0" fontId="35" fillId="4" borderId="44" xfId="0" applyFont="1" applyFill="1" applyBorder="1" applyAlignment="1">
      <alignment horizontal="center" vertical="center"/>
    </xf>
    <xf numFmtId="0" fontId="25" fillId="4" borderId="37" xfId="0" applyFont="1" applyFill="1" applyBorder="1" applyAlignment="1">
      <alignment vertical="top"/>
    </xf>
    <xf numFmtId="0" fontId="27" fillId="4" borderId="38" xfId="0" applyFont="1" applyFill="1" applyBorder="1" applyAlignment="1">
      <alignment horizontal="center" vertical="center"/>
    </xf>
    <xf numFmtId="0" fontId="27" fillId="4" borderId="3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49" fontId="24" fillId="7" borderId="74" xfId="0" applyNumberFormat="1" applyFont="1" applyFill="1" applyBorder="1" applyAlignment="1">
      <alignment horizontal="center" vertical="center" wrapText="1"/>
    </xf>
    <xf numFmtId="0" fontId="24" fillId="7" borderId="25" xfId="0" applyFont="1" applyFill="1" applyBorder="1" applyAlignment="1">
      <alignment horizontal="center" vertical="center" wrapText="1"/>
    </xf>
    <xf numFmtId="0" fontId="24" fillId="7" borderId="75" xfId="0" applyFont="1" applyFill="1" applyBorder="1" applyAlignment="1">
      <alignment horizontal="center" vertical="center" wrapText="1"/>
    </xf>
    <xf numFmtId="49" fontId="17" fillId="4" borderId="74" xfId="0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75" xfId="0" applyFill="1" applyBorder="1" applyAlignment="1">
      <alignment horizontal="center" vertical="center"/>
    </xf>
    <xf numFmtId="0" fontId="17" fillId="4" borderId="74" xfId="0" applyFont="1" applyFill="1" applyBorder="1" applyAlignment="1">
      <alignment horizontal="center" vertical="center"/>
    </xf>
    <xf numFmtId="0" fontId="17" fillId="4" borderId="25" xfId="0" applyFont="1" applyFill="1" applyBorder="1" applyAlignment="1">
      <alignment horizontal="center" vertical="center"/>
    </xf>
    <xf numFmtId="0" fontId="17" fillId="4" borderId="75" xfId="0" applyFont="1" applyFill="1" applyBorder="1" applyAlignment="1">
      <alignment horizontal="center" vertical="center"/>
    </xf>
    <xf numFmtId="49" fontId="17" fillId="4" borderId="25" xfId="0" applyNumberFormat="1" applyFont="1" applyFill="1" applyBorder="1" applyAlignment="1">
      <alignment horizontal="left" vertical="center" wrapText="1"/>
    </xf>
    <xf numFmtId="49" fontId="17" fillId="4" borderId="25" xfId="0" applyNumberFormat="1" applyFont="1" applyFill="1" applyBorder="1" applyAlignment="1">
      <alignment horizontal="center" vertical="center"/>
    </xf>
    <xf numFmtId="49" fontId="17" fillId="4" borderId="75" xfId="0" applyNumberFormat="1" applyFont="1" applyFill="1" applyBorder="1" applyAlignment="1">
      <alignment horizontal="center" vertical="center"/>
    </xf>
    <xf numFmtId="0" fontId="29" fillId="4" borderId="25" xfId="0" applyFont="1" applyFill="1" applyBorder="1" applyAlignment="1">
      <alignment horizontal="center" vertical="center"/>
    </xf>
    <xf numFmtId="0" fontId="29" fillId="4" borderId="26" xfId="0" applyFont="1" applyFill="1" applyBorder="1" applyAlignment="1">
      <alignment horizontal="center" vertical="center"/>
    </xf>
    <xf numFmtId="0" fontId="25" fillId="4" borderId="71" xfId="0" applyFont="1" applyFill="1" applyBorder="1" applyAlignment="1">
      <alignment horizontal="center" vertical="center"/>
    </xf>
    <xf numFmtId="0" fontId="25" fillId="4" borderId="33" xfId="0" applyFont="1" applyFill="1" applyBorder="1" applyAlignment="1">
      <alignment horizontal="center" vertical="center"/>
    </xf>
    <xf numFmtId="0" fontId="25" fillId="4" borderId="34" xfId="0" applyFont="1" applyFill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25" fillId="4" borderId="36" xfId="0" applyFont="1" applyFill="1" applyBorder="1" applyAlignment="1">
      <alignment horizontal="center" vertical="center"/>
    </xf>
    <xf numFmtId="0" fontId="37" fillId="6" borderId="71" xfId="0" applyFont="1" applyFill="1" applyBorder="1" applyAlignment="1">
      <alignment horizontal="center" vertical="center"/>
    </xf>
    <xf numFmtId="0" fontId="37" fillId="6" borderId="0" xfId="0" applyFont="1" applyFill="1" applyAlignment="1">
      <alignment horizontal="center" vertical="center"/>
    </xf>
    <xf numFmtId="0" fontId="37" fillId="6" borderId="33" xfId="0" applyFont="1" applyFill="1" applyBorder="1" applyAlignment="1">
      <alignment horizontal="center" vertical="center"/>
    </xf>
    <xf numFmtId="0" fontId="37" fillId="6" borderId="34" xfId="0" applyFont="1" applyFill="1" applyBorder="1" applyAlignment="1">
      <alignment horizontal="center" vertical="center"/>
    </xf>
    <xf numFmtId="0" fontId="37" fillId="6" borderId="35" xfId="0" applyFont="1" applyFill="1" applyBorder="1" applyAlignment="1">
      <alignment horizontal="center" vertical="center"/>
    </xf>
    <xf numFmtId="0" fontId="37" fillId="6" borderId="36" xfId="0" applyFont="1" applyFill="1" applyBorder="1" applyAlignment="1">
      <alignment horizontal="center" vertical="center"/>
    </xf>
    <xf numFmtId="0" fontId="35" fillId="4" borderId="73" xfId="0" applyFont="1" applyFill="1" applyBorder="1" applyAlignment="1">
      <alignment horizontal="center" vertical="center"/>
    </xf>
    <xf numFmtId="0" fontId="32" fillId="4" borderId="18" xfId="0" applyFont="1" applyFill="1" applyBorder="1" applyAlignment="1">
      <alignment horizontal="center"/>
    </xf>
    <xf numFmtId="0" fontId="37" fillId="6" borderId="23" xfId="0" applyFont="1" applyFill="1" applyBorder="1" applyAlignment="1">
      <alignment horizontal="center"/>
    </xf>
    <xf numFmtId="49" fontId="37" fillId="4" borderId="23" xfId="0" applyNumberFormat="1" applyFont="1" applyFill="1" applyBorder="1" applyAlignment="1">
      <alignment horizontal="center" vertical="center"/>
    </xf>
    <xf numFmtId="49" fontId="25" fillId="4" borderId="23" xfId="0" applyNumberFormat="1" applyFont="1" applyFill="1" applyBorder="1" applyAlignment="1">
      <alignment horizontal="center" vertical="center"/>
    </xf>
    <xf numFmtId="0" fontId="25" fillId="4" borderId="23" xfId="0" applyFont="1" applyFill="1" applyBorder="1" applyAlignment="1">
      <alignment horizontal="left"/>
    </xf>
    <xf numFmtId="0" fontId="25" fillId="6" borderId="0" xfId="0" applyFont="1" applyFill="1"/>
    <xf numFmtId="0" fontId="25" fillId="6" borderId="23" xfId="0" applyFont="1" applyFill="1" applyBorder="1"/>
    <xf numFmtId="0" fontId="24" fillId="7" borderId="0" xfId="0" applyFont="1" applyFill="1" applyAlignment="1">
      <alignment horizontal="center"/>
    </xf>
    <xf numFmtId="0" fontId="25" fillId="4" borderId="57" xfId="0" applyFont="1" applyFill="1" applyBorder="1"/>
    <xf numFmtId="0" fontId="25" fillId="4" borderId="23" xfId="0" applyFont="1" applyFill="1" applyBorder="1"/>
    <xf numFmtId="0" fontId="22" fillId="4" borderId="0" xfId="0" applyFont="1" applyFill="1" applyAlignment="1">
      <alignment horizontal="center" vertical="top" wrapText="1"/>
    </xf>
    <xf numFmtId="0" fontId="25" fillId="4" borderId="18" xfId="0" applyFont="1" applyFill="1" applyBorder="1"/>
    <xf numFmtId="0" fontId="32" fillId="4" borderId="37" xfId="0" applyFont="1" applyFill="1" applyBorder="1" applyAlignment="1">
      <alignment horizontal="center" vertical="top"/>
    </xf>
    <xf numFmtId="0" fontId="38" fillId="4" borderId="18" xfId="0" applyFont="1" applyFill="1" applyBorder="1" applyAlignment="1">
      <alignment horizontal="center" vertical="top"/>
    </xf>
    <xf numFmtId="0" fontId="38" fillId="4" borderId="0" xfId="0" applyFont="1" applyFill="1" applyAlignment="1">
      <alignment horizontal="center" vertical="top"/>
    </xf>
    <xf numFmtId="0" fontId="38" fillId="4" borderId="37" xfId="0" applyFont="1" applyFill="1" applyBorder="1" applyAlignment="1">
      <alignment horizontal="center" vertical="top"/>
    </xf>
    <xf numFmtId="0" fontId="25" fillId="4" borderId="38" xfId="0" applyFont="1" applyFill="1" applyBorder="1" applyAlignment="1">
      <alignment horizontal="center" vertical="center"/>
    </xf>
    <xf numFmtId="0" fontId="25" fillId="4" borderId="39" xfId="0" applyFont="1" applyFill="1" applyBorder="1" applyAlignment="1">
      <alignment horizontal="center" vertical="center"/>
    </xf>
    <xf numFmtId="0" fontId="25" fillId="4" borderId="40" xfId="0" applyFont="1" applyFill="1" applyBorder="1" applyAlignment="1">
      <alignment horizontal="center" vertical="center"/>
    </xf>
    <xf numFmtId="0" fontId="27" fillId="4" borderId="43" xfId="0" applyFont="1" applyFill="1" applyBorder="1" applyAlignment="1">
      <alignment horizontal="center" vertical="center"/>
    </xf>
    <xf numFmtId="0" fontId="27" fillId="4" borderId="18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53" xfId="0" applyFont="1" applyFill="1" applyBorder="1" applyAlignment="1">
      <alignment horizontal="center" vertical="center"/>
    </xf>
    <xf numFmtId="0" fontId="27" fillId="4" borderId="23" xfId="0" applyFont="1" applyFill="1" applyBorder="1" applyAlignment="1">
      <alignment horizontal="center" vertical="center"/>
    </xf>
    <xf numFmtId="0" fontId="27" fillId="4" borderId="31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 wrapText="1"/>
    </xf>
    <xf numFmtId="0" fontId="27" fillId="4" borderId="30" xfId="0" applyFont="1" applyFill="1" applyBorder="1" applyAlignment="1">
      <alignment horizontal="center" vertical="center" wrapText="1"/>
    </xf>
    <xf numFmtId="0" fontId="27" fillId="4" borderId="76" xfId="0" applyFont="1" applyFill="1" applyBorder="1" applyAlignment="1">
      <alignment horizontal="center" vertical="center"/>
    </xf>
    <xf numFmtId="0" fontId="27" fillId="4" borderId="25" xfId="0" applyFont="1" applyFill="1" applyBorder="1" applyAlignment="1">
      <alignment horizontal="center" vertical="center"/>
    </xf>
    <xf numFmtId="0" fontId="27" fillId="4" borderId="77" xfId="0" applyFont="1" applyFill="1" applyBorder="1" applyAlignment="1">
      <alignment horizontal="center" vertical="center"/>
    </xf>
    <xf numFmtId="0" fontId="27" fillId="4" borderId="76" xfId="0" applyFont="1" applyFill="1" applyBorder="1" applyAlignment="1">
      <alignment horizontal="center" vertical="center" wrapText="1"/>
    </xf>
    <xf numFmtId="0" fontId="27" fillId="4" borderId="25" xfId="0" applyFont="1" applyFill="1" applyBorder="1" applyAlignment="1">
      <alignment horizontal="center" vertical="center" wrapText="1"/>
    </xf>
    <xf numFmtId="0" fontId="27" fillId="4" borderId="77" xfId="0" applyFont="1" applyFill="1" applyBorder="1" applyAlignment="1">
      <alignment horizontal="center" vertical="center" wrapText="1"/>
    </xf>
    <xf numFmtId="0" fontId="27" fillId="4" borderId="44" xfId="0" applyFont="1" applyFill="1" applyBorder="1" applyAlignment="1">
      <alignment horizontal="center" vertical="center" wrapText="1"/>
    </xf>
    <xf numFmtId="0" fontId="27" fillId="4" borderId="54" xfId="0" applyFont="1" applyFill="1" applyBorder="1" applyAlignment="1">
      <alignment horizontal="center" vertical="center" wrapText="1"/>
    </xf>
    <xf numFmtId="0" fontId="35" fillId="4" borderId="17" xfId="0" applyFont="1" applyFill="1" applyBorder="1" applyAlignment="1">
      <alignment horizontal="center" vertical="center"/>
    </xf>
    <xf numFmtId="49" fontId="25" fillId="4" borderId="38" xfId="0" applyNumberFormat="1" applyFont="1" applyFill="1" applyBorder="1" applyAlignment="1">
      <alignment horizontal="center"/>
    </xf>
    <xf numFmtId="49" fontId="25" fillId="4" borderId="39" xfId="0" applyNumberFormat="1" applyFont="1" applyFill="1" applyBorder="1" applyAlignment="1">
      <alignment horizontal="center"/>
    </xf>
    <xf numFmtId="49" fontId="25" fillId="4" borderId="41" xfId="0" applyNumberFormat="1" applyFont="1" applyFill="1" applyBorder="1" applyAlignment="1">
      <alignment horizontal="center"/>
    </xf>
    <xf numFmtId="49" fontId="27" fillId="4" borderId="42" xfId="0" applyNumberFormat="1" applyFont="1" applyFill="1" applyBorder="1" applyAlignment="1">
      <alignment wrapText="1"/>
    </xf>
    <xf numFmtId="49" fontId="27" fillId="4" borderId="39" xfId="0" applyNumberFormat="1" applyFont="1" applyFill="1" applyBorder="1" applyAlignment="1">
      <alignment wrapText="1"/>
    </xf>
    <xf numFmtId="49" fontId="27" fillId="4" borderId="41" xfId="0" applyNumberFormat="1" applyFont="1" applyFill="1" applyBorder="1" applyAlignment="1">
      <alignment wrapText="1"/>
    </xf>
    <xf numFmtId="49" fontId="27" fillId="4" borderId="78" xfId="0" applyNumberFormat="1" applyFont="1" applyFill="1" applyBorder="1" applyAlignment="1">
      <alignment wrapText="1"/>
    </xf>
    <xf numFmtId="49" fontId="27" fillId="4" borderId="20" xfId="0" applyNumberFormat="1" applyFont="1" applyFill="1" applyBorder="1" applyAlignment="1">
      <alignment horizontal="center"/>
    </xf>
    <xf numFmtId="49" fontId="27" fillId="4" borderId="21" xfId="0" applyNumberFormat="1" applyFont="1" applyFill="1" applyBorder="1" applyAlignment="1">
      <alignment horizontal="center"/>
    </xf>
    <xf numFmtId="49" fontId="27" fillId="4" borderId="79" xfId="0" applyNumberFormat="1" applyFont="1" applyFill="1" applyBorder="1" applyAlignment="1">
      <alignment horizontal="center"/>
    </xf>
    <xf numFmtId="49" fontId="27" fillId="4" borderId="80" xfId="0" applyNumberFormat="1" applyFont="1" applyFill="1" applyBorder="1" applyAlignment="1">
      <alignment horizontal="center"/>
    </xf>
    <xf numFmtId="0" fontId="27" fillId="4" borderId="80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/>
    </xf>
    <xf numFmtId="0" fontId="27" fillId="4" borderId="22" xfId="0" applyFont="1" applyFill="1" applyBorder="1" applyAlignment="1">
      <alignment horizontal="center"/>
    </xf>
    <xf numFmtId="49" fontId="27" fillId="4" borderId="81" xfId="0" applyNumberFormat="1" applyFont="1" applyFill="1" applyBorder="1" applyAlignment="1">
      <alignment horizontal="center"/>
    </xf>
    <xf numFmtId="49" fontId="27" fillId="4" borderId="39" xfId="0" applyNumberFormat="1" applyFont="1" applyFill="1" applyBorder="1" applyAlignment="1">
      <alignment horizontal="center"/>
    </xf>
    <xf numFmtId="49" fontId="27" fillId="4" borderId="40" xfId="0" applyNumberFormat="1" applyFont="1" applyFill="1" applyBorder="1" applyAlignment="1">
      <alignment horizontal="center"/>
    </xf>
    <xf numFmtId="0" fontId="35" fillId="4" borderId="19" xfId="0" applyFont="1" applyFill="1" applyBorder="1" applyAlignment="1">
      <alignment horizontal="center" vertical="center"/>
    </xf>
    <xf numFmtId="49" fontId="25" fillId="4" borderId="62" xfId="0" applyNumberFormat="1" applyFont="1" applyFill="1" applyBorder="1" applyAlignment="1">
      <alignment horizontal="center" vertical="center"/>
    </xf>
    <xf numFmtId="0" fontId="0" fillId="4" borderId="63" xfId="0" applyFill="1" applyBorder="1" applyAlignment="1">
      <alignment vertical="center"/>
    </xf>
    <xf numFmtId="0" fontId="0" fillId="4" borderId="64" xfId="0" applyFill="1" applyBorder="1" applyAlignment="1">
      <alignment vertical="center"/>
    </xf>
    <xf numFmtId="49" fontId="27" fillId="4" borderId="82" xfId="0" applyNumberFormat="1" applyFont="1" applyFill="1" applyBorder="1" applyAlignment="1">
      <alignment wrapText="1"/>
    </xf>
    <xf numFmtId="49" fontId="27" fillId="4" borderId="37" xfId="0" applyNumberFormat="1" applyFont="1" applyFill="1" applyBorder="1" applyAlignment="1">
      <alignment wrapText="1"/>
    </xf>
    <xf numFmtId="49" fontId="27" fillId="4" borderId="83" xfId="0" applyNumberFormat="1" applyFont="1" applyFill="1" applyBorder="1" applyAlignment="1">
      <alignment wrapText="1"/>
    </xf>
    <xf numFmtId="49" fontId="27" fillId="4" borderId="65" xfId="0" applyNumberFormat="1" applyFont="1" applyFill="1" applyBorder="1" applyAlignment="1">
      <alignment wrapText="1"/>
    </xf>
    <xf numFmtId="49" fontId="27" fillId="4" borderId="63" xfId="0" applyNumberFormat="1" applyFont="1" applyFill="1" applyBorder="1" applyAlignment="1">
      <alignment wrapText="1"/>
    </xf>
    <xf numFmtId="49" fontId="27" fillId="4" borderId="64" xfId="0" applyNumberFormat="1" applyFont="1" applyFill="1" applyBorder="1" applyAlignment="1">
      <alignment wrapText="1"/>
    </xf>
    <xf numFmtId="49" fontId="27" fillId="4" borderId="84" xfId="0" applyNumberFormat="1" applyFont="1" applyFill="1" applyBorder="1" applyAlignment="1">
      <alignment wrapText="1"/>
    </xf>
    <xf numFmtId="49" fontId="27" fillId="4" borderId="85" xfId="0" applyNumberFormat="1" applyFont="1" applyFill="1" applyBorder="1" applyAlignment="1">
      <alignment horizontal="center"/>
    </xf>
    <xf numFmtId="49" fontId="27" fillId="4" borderId="86" xfId="0" applyNumberFormat="1" applyFont="1" applyFill="1" applyBorder="1" applyAlignment="1">
      <alignment horizontal="center"/>
    </xf>
    <xf numFmtId="49" fontId="27" fillId="4" borderId="87" xfId="0" applyNumberFormat="1" applyFont="1" applyFill="1" applyBorder="1" applyAlignment="1">
      <alignment horizontal="center"/>
    </xf>
    <xf numFmtId="49" fontId="27" fillId="4" borderId="88" xfId="0" applyNumberFormat="1" applyFont="1" applyFill="1" applyBorder="1" applyAlignment="1">
      <alignment horizontal="center"/>
    </xf>
    <xf numFmtId="0" fontId="27" fillId="4" borderId="88" xfId="0" applyFont="1" applyFill="1" applyBorder="1" applyAlignment="1">
      <alignment horizontal="center"/>
    </xf>
    <xf numFmtId="0" fontId="27" fillId="4" borderId="86" xfId="0" applyFont="1" applyFill="1" applyBorder="1" applyAlignment="1">
      <alignment horizontal="center"/>
    </xf>
    <xf numFmtId="0" fontId="27" fillId="4" borderId="89" xfId="0" applyFont="1" applyFill="1" applyBorder="1" applyAlignment="1">
      <alignment horizontal="center"/>
    </xf>
    <xf numFmtId="49" fontId="27" fillId="4" borderId="90" xfId="0" applyNumberFormat="1" applyFont="1" applyFill="1" applyBorder="1" applyAlignment="1">
      <alignment horizontal="center"/>
    </xf>
    <xf numFmtId="49" fontId="27" fillId="4" borderId="63" xfId="0" applyNumberFormat="1" applyFont="1" applyFill="1" applyBorder="1" applyAlignment="1">
      <alignment horizontal="center"/>
    </xf>
    <xf numFmtId="49" fontId="27" fillId="4" borderId="66" xfId="0" applyNumberFormat="1" applyFont="1" applyFill="1" applyBorder="1" applyAlignment="1">
      <alignment horizontal="center"/>
    </xf>
    <xf numFmtId="0" fontId="25" fillId="4" borderId="38" xfId="0" applyFont="1" applyFill="1" applyBorder="1" applyAlignment="1">
      <alignment horizontal="center"/>
    </xf>
    <xf numFmtId="0" fontId="25" fillId="4" borderId="39" xfId="0" applyFont="1" applyFill="1" applyBorder="1" applyAlignment="1">
      <alignment horizontal="center"/>
    </xf>
    <xf numFmtId="0" fontId="25" fillId="4" borderId="40" xfId="0" applyFont="1" applyFill="1" applyBorder="1" applyAlignment="1">
      <alignment horizontal="center"/>
    </xf>
    <xf numFmtId="0" fontId="27" fillId="4" borderId="74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0" fontId="27" fillId="4" borderId="19" xfId="0" applyFont="1" applyFill="1" applyBorder="1" applyAlignment="1">
      <alignment horizontal="center"/>
    </xf>
    <xf numFmtId="0" fontId="27" fillId="4" borderId="57" xfId="0" applyFont="1" applyFill="1" applyBorder="1" applyAlignment="1">
      <alignment horizontal="center" vertical="center" wrapText="1"/>
    </xf>
    <xf numFmtId="0" fontId="27" fillId="4" borderId="75" xfId="0" applyFont="1" applyFill="1" applyBorder="1" applyAlignment="1">
      <alignment horizontal="center" vertical="center"/>
    </xf>
    <xf numFmtId="0" fontId="27" fillId="4" borderId="43" xfId="0" applyFont="1" applyFill="1" applyBorder="1" applyAlignment="1">
      <alignment horizontal="center" vertical="top"/>
    </xf>
    <xf numFmtId="0" fontId="27" fillId="4" borderId="18" xfId="0" applyFont="1" applyFill="1" applyBorder="1" applyAlignment="1">
      <alignment horizontal="center" vertical="top"/>
    </xf>
    <xf numFmtId="0" fontId="27" fillId="4" borderId="19" xfId="0" applyFont="1" applyFill="1" applyBorder="1" applyAlignment="1">
      <alignment horizontal="center" vertical="top"/>
    </xf>
    <xf numFmtId="0" fontId="27" fillId="4" borderId="55" xfId="0" applyFont="1" applyFill="1" applyBorder="1" applyAlignment="1">
      <alignment horizontal="center" vertical="top"/>
    </xf>
    <xf numFmtId="0" fontId="27" fillId="4" borderId="0" xfId="0" applyFont="1" applyFill="1" applyAlignment="1">
      <alignment horizontal="center" vertical="top"/>
    </xf>
    <xf numFmtId="0" fontId="27" fillId="4" borderId="56" xfId="0" applyFont="1" applyFill="1" applyBorder="1" applyAlignment="1">
      <alignment horizontal="center" vertical="top"/>
    </xf>
    <xf numFmtId="0" fontId="27" fillId="4" borderId="53" xfId="0" applyFont="1" applyFill="1" applyBorder="1" applyAlignment="1">
      <alignment horizontal="center" vertical="top"/>
    </xf>
    <xf numFmtId="0" fontId="27" fillId="4" borderId="23" xfId="0" applyFont="1" applyFill="1" applyBorder="1" applyAlignment="1">
      <alignment horizontal="center" vertical="top"/>
    </xf>
    <xf numFmtId="0" fontId="27" fillId="4" borderId="31" xfId="0" applyFont="1" applyFill="1" applyBorder="1" applyAlignment="1">
      <alignment horizontal="center" vertical="top"/>
    </xf>
    <xf numFmtId="0" fontId="27" fillId="4" borderId="17" xfId="0" applyFont="1" applyFill="1" applyBorder="1" applyAlignment="1">
      <alignment horizontal="center" vertical="top"/>
    </xf>
    <xf numFmtId="0" fontId="27" fillId="4" borderId="57" xfId="0" applyFont="1" applyFill="1" applyBorder="1" applyAlignment="1">
      <alignment horizontal="center" vertical="top"/>
    </xf>
    <xf numFmtId="0" fontId="27" fillId="4" borderId="30" xfId="0" applyFont="1" applyFill="1" applyBorder="1" applyAlignment="1">
      <alignment horizontal="center" vertical="top"/>
    </xf>
    <xf numFmtId="0" fontId="27" fillId="4" borderId="57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5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top" wrapText="1"/>
    </xf>
    <xf numFmtId="0" fontId="27" fillId="4" borderId="18" xfId="0" applyFont="1" applyFill="1" applyBorder="1" applyAlignment="1">
      <alignment horizontal="center" vertical="top" wrapText="1"/>
    </xf>
    <xf numFmtId="0" fontId="27" fillId="4" borderId="19" xfId="0" applyFont="1" applyFill="1" applyBorder="1" applyAlignment="1">
      <alignment horizontal="center" vertical="top" wrapText="1"/>
    </xf>
    <xf numFmtId="0" fontId="27" fillId="4" borderId="57" xfId="0" applyFont="1" applyFill="1" applyBorder="1" applyAlignment="1">
      <alignment horizontal="center" vertical="top" wrapText="1"/>
    </xf>
    <xf numFmtId="0" fontId="27" fillId="4" borderId="0" xfId="0" applyFont="1" applyFill="1" applyAlignment="1">
      <alignment horizontal="center" vertical="top" wrapText="1"/>
    </xf>
    <xf numFmtId="0" fontId="27" fillId="4" borderId="56" xfId="0" applyFont="1" applyFill="1" applyBorder="1" applyAlignment="1">
      <alignment horizontal="center" vertical="top" wrapText="1"/>
    </xf>
    <xf numFmtId="0" fontId="27" fillId="4" borderId="30" xfId="0" applyFont="1" applyFill="1" applyBorder="1" applyAlignment="1">
      <alignment horizontal="center" vertical="top" wrapText="1"/>
    </xf>
    <xf numFmtId="0" fontId="27" fillId="4" borderId="23" xfId="0" applyFont="1" applyFill="1" applyBorder="1" applyAlignment="1">
      <alignment horizontal="center" vertical="top" wrapText="1"/>
    </xf>
    <xf numFmtId="0" fontId="27" fillId="4" borderId="31" xfId="0" applyFont="1" applyFill="1" applyBorder="1" applyAlignment="1">
      <alignment horizontal="center" vertical="top" wrapText="1"/>
    </xf>
    <xf numFmtId="0" fontId="27" fillId="4" borderId="44" xfId="0" applyFont="1" applyFill="1" applyBorder="1" applyAlignment="1">
      <alignment horizontal="center" vertical="top" wrapText="1"/>
    </xf>
    <xf numFmtId="0" fontId="27" fillId="4" borderId="58" xfId="0" applyFont="1" applyFill="1" applyBorder="1" applyAlignment="1">
      <alignment horizontal="center" vertical="top" wrapText="1"/>
    </xf>
    <xf numFmtId="0" fontId="27" fillId="4" borderId="54" xfId="0" applyFont="1" applyFill="1" applyBorder="1" applyAlignment="1">
      <alignment horizontal="center" vertical="top" wrapText="1"/>
    </xf>
    <xf numFmtId="0" fontId="27" fillId="4" borderId="30" xfId="0" applyFont="1" applyFill="1" applyBorder="1" applyAlignment="1">
      <alignment horizontal="center" vertical="center"/>
    </xf>
    <xf numFmtId="0" fontId="0" fillId="4" borderId="23" xfId="0" applyFill="1" applyBorder="1"/>
    <xf numFmtId="0" fontId="0" fillId="4" borderId="31" xfId="0" applyFill="1" applyBorder="1"/>
    <xf numFmtId="0" fontId="27" fillId="4" borderId="91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93" xfId="0" applyFont="1" applyFill="1" applyBorder="1" applyAlignment="1">
      <alignment horizontal="center"/>
    </xf>
    <xf numFmtId="0" fontId="27" fillId="4" borderId="94" xfId="0" applyFont="1" applyFill="1" applyBorder="1" applyAlignment="1">
      <alignment horizontal="center"/>
    </xf>
    <xf numFmtId="49" fontId="27" fillId="4" borderId="94" xfId="0" applyNumberFormat="1" applyFont="1" applyFill="1" applyBorder="1" applyAlignment="1">
      <alignment horizontal="center"/>
    </xf>
    <xf numFmtId="49" fontId="27" fillId="4" borderId="92" xfId="0" applyNumberFormat="1" applyFont="1" applyFill="1" applyBorder="1" applyAlignment="1">
      <alignment horizontal="center"/>
    </xf>
    <xf numFmtId="49" fontId="27" fillId="4" borderId="93" xfId="0" applyNumberFormat="1" applyFont="1" applyFill="1" applyBorder="1" applyAlignment="1">
      <alignment horizontal="center"/>
    </xf>
    <xf numFmtId="0" fontId="27" fillId="4" borderId="95" xfId="0" applyFont="1" applyFill="1" applyBorder="1" applyAlignment="1">
      <alignment horizontal="center"/>
    </xf>
    <xf numFmtId="0" fontId="25" fillId="4" borderId="18" xfId="0" applyFont="1" applyFill="1" applyBorder="1" applyAlignment="1">
      <alignment horizontal="center"/>
    </xf>
    <xf numFmtId="0" fontId="27" fillId="4" borderId="96" xfId="0" applyFont="1" applyFill="1" applyBorder="1" applyAlignment="1">
      <alignment horizontal="center" vertical="center" wrapText="1"/>
    </xf>
    <xf numFmtId="0" fontId="27" fillId="4" borderId="67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58" xfId="0" applyFont="1" applyFill="1" applyBorder="1" applyAlignment="1">
      <alignment horizontal="center" vertical="center" wrapText="1"/>
    </xf>
    <xf numFmtId="0" fontId="27" fillId="4" borderId="98" xfId="0" applyFont="1" applyFill="1" applyBorder="1" applyAlignment="1">
      <alignment horizontal="center" vertical="top" wrapText="1"/>
    </xf>
    <xf numFmtId="0" fontId="27" fillId="4" borderId="99" xfId="0" applyFont="1" applyFill="1" applyBorder="1" applyAlignment="1">
      <alignment horizontal="center" vertical="top" wrapText="1"/>
    </xf>
    <xf numFmtId="0" fontId="27" fillId="4" borderId="100" xfId="0" applyFont="1" applyFill="1" applyBorder="1" applyAlignment="1">
      <alignment horizontal="center" vertical="top" wrapText="1"/>
    </xf>
    <xf numFmtId="0" fontId="27" fillId="4" borderId="96" xfId="0" applyFont="1" applyFill="1" applyBorder="1" applyAlignment="1">
      <alignment horizontal="center" vertical="top" wrapText="1"/>
    </xf>
    <xf numFmtId="0" fontId="27" fillId="4" borderId="67" xfId="0" applyFont="1" applyFill="1" applyBorder="1" applyAlignment="1">
      <alignment horizontal="center" vertical="top" wrapText="1"/>
    </xf>
    <xf numFmtId="0" fontId="27" fillId="4" borderId="97" xfId="0" applyFont="1" applyFill="1" applyBorder="1" applyAlignment="1">
      <alignment horizontal="center" vertical="top" wrapText="1"/>
    </xf>
    <xf numFmtId="0" fontId="27" fillId="4" borderId="53" xfId="0" applyFont="1" applyFill="1" applyBorder="1" applyAlignment="1">
      <alignment horizontal="center" vertical="top" wrapText="1"/>
    </xf>
    <xf numFmtId="0" fontId="25" fillId="4" borderId="25" xfId="0" applyFont="1" applyFill="1" applyBorder="1"/>
    <xf numFmtId="0" fontId="35" fillId="4" borderId="101" xfId="0" applyFont="1" applyFill="1" applyBorder="1" applyAlignment="1">
      <alignment horizontal="center" vertical="center"/>
    </xf>
    <xf numFmtId="0" fontId="35" fillId="4" borderId="102" xfId="0" applyFont="1" applyFill="1" applyBorder="1" applyAlignment="1">
      <alignment horizontal="center" vertical="center"/>
    </xf>
    <xf numFmtId="0" fontId="35" fillId="4" borderId="86" xfId="0" applyFont="1" applyFill="1" applyBorder="1" applyAlignment="1">
      <alignment horizontal="center" vertical="center"/>
    </xf>
    <xf numFmtId="0" fontId="35" fillId="4" borderId="103" xfId="0" applyFont="1" applyFill="1" applyBorder="1" applyAlignment="1">
      <alignment horizontal="center" vertical="center"/>
    </xf>
    <xf numFmtId="0" fontId="27" fillId="4" borderId="74" xfId="0" applyFont="1" applyFill="1" applyBorder="1" applyAlignment="1">
      <alignment horizontal="center" vertical="top"/>
    </xf>
    <xf numFmtId="0" fontId="27" fillId="4" borderId="25" xfId="0" applyFont="1" applyFill="1" applyBorder="1" applyAlignment="1">
      <alignment horizontal="center" vertical="top"/>
    </xf>
    <xf numFmtId="0" fontId="27" fillId="4" borderId="75" xfId="0" applyFont="1" applyFill="1" applyBorder="1" applyAlignment="1">
      <alignment horizontal="center" vertical="top"/>
    </xf>
    <xf numFmtId="0" fontId="27" fillId="4" borderId="105" xfId="0" applyFont="1" applyFill="1" applyBorder="1" applyAlignment="1">
      <alignment horizontal="center"/>
    </xf>
    <xf numFmtId="0" fontId="27" fillId="4" borderId="110" xfId="0" applyFont="1" applyFill="1" applyBorder="1" applyAlignment="1">
      <alignment horizontal="center"/>
    </xf>
    <xf numFmtId="0" fontId="27" fillId="4" borderId="111" xfId="0" applyFont="1" applyFill="1" applyBorder="1" applyAlignment="1">
      <alignment horizontal="center"/>
    </xf>
    <xf numFmtId="0" fontId="25" fillId="4" borderId="25" xfId="0" applyFont="1" applyFill="1" applyBorder="1" applyAlignment="1">
      <alignment horizontal="left" vertical="center"/>
    </xf>
    <xf numFmtId="0" fontId="27" fillId="4" borderId="74" xfId="0" applyFont="1" applyFill="1" applyBorder="1" applyAlignment="1">
      <alignment horizontal="center"/>
    </xf>
    <xf numFmtId="0" fontId="27" fillId="4" borderId="25" xfId="0" applyFont="1" applyFill="1" applyBorder="1" applyAlignment="1">
      <alignment horizontal="center"/>
    </xf>
    <xf numFmtId="0" fontId="27" fillId="4" borderId="109" xfId="0" applyFont="1" applyFill="1" applyBorder="1" applyAlignment="1">
      <alignment horizontal="center"/>
    </xf>
    <xf numFmtId="0" fontId="27" fillId="4" borderId="75" xfId="0" applyFont="1" applyFill="1" applyBorder="1" applyAlignment="1">
      <alignment horizontal="center"/>
    </xf>
    <xf numFmtId="0" fontId="27" fillId="4" borderId="106" xfId="0" applyFont="1" applyFill="1" applyBorder="1" applyAlignment="1">
      <alignment horizontal="center"/>
    </xf>
    <xf numFmtId="0" fontId="27" fillId="4" borderId="107" xfId="0" applyFont="1" applyFill="1" applyBorder="1" applyAlignment="1">
      <alignment horizontal="center"/>
    </xf>
    <xf numFmtId="0" fontId="27" fillId="4" borderId="108" xfId="0" applyFont="1" applyFill="1" applyBorder="1" applyAlignment="1">
      <alignment horizontal="center"/>
    </xf>
    <xf numFmtId="0" fontId="27" fillId="4" borderId="26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/>
    </xf>
    <xf numFmtId="0" fontId="27" fillId="4" borderId="102" xfId="0" applyFont="1" applyFill="1" applyBorder="1" applyAlignment="1">
      <alignment horizontal="center"/>
    </xf>
    <xf numFmtId="0" fontId="27" fillId="4" borderId="103" xfId="0" applyFont="1" applyFill="1" applyBorder="1" applyAlignment="1">
      <alignment horizontal="center"/>
    </xf>
    <xf numFmtId="0" fontId="27" fillId="4" borderId="101" xfId="0" applyFont="1" applyFill="1" applyBorder="1" applyAlignment="1">
      <alignment horizontal="center"/>
    </xf>
    <xf numFmtId="0" fontId="27" fillId="4" borderId="113" xfId="0" applyFont="1" applyFill="1" applyBorder="1" applyAlignment="1">
      <alignment horizontal="center"/>
    </xf>
    <xf numFmtId="0" fontId="27" fillId="4" borderId="112" xfId="0" applyFont="1" applyFill="1" applyBorder="1" applyAlignment="1">
      <alignment horizontal="center"/>
    </xf>
    <xf numFmtId="0" fontId="28" fillId="7" borderId="47" xfId="0" applyFont="1" applyFill="1" applyBorder="1" applyAlignment="1">
      <alignment horizontal="left" vertical="center" wrapText="1"/>
    </xf>
    <xf numFmtId="0" fontId="28" fillId="7" borderId="48" xfId="0" applyFont="1" applyFill="1" applyBorder="1" applyAlignment="1">
      <alignment horizontal="left" vertical="center" wrapText="1"/>
    </xf>
    <xf numFmtId="0" fontId="28" fillId="7" borderId="49" xfId="0" applyFont="1" applyFill="1" applyBorder="1" applyAlignment="1">
      <alignment horizontal="left" vertical="center" wrapText="1"/>
    </xf>
    <xf numFmtId="0" fontId="28" fillId="7" borderId="2" xfId="0" applyFont="1" applyFill="1" applyBorder="1" applyAlignment="1">
      <alignment horizontal="left" vertical="center" wrapText="1"/>
    </xf>
    <xf numFmtId="0" fontId="28" fillId="7" borderId="3" xfId="0" applyFont="1" applyFill="1" applyBorder="1" applyAlignment="1">
      <alignment horizontal="left" vertical="center" wrapText="1"/>
    </xf>
    <xf numFmtId="0" fontId="28" fillId="7" borderId="4" xfId="0" applyFont="1" applyFill="1" applyBorder="1" applyAlignment="1">
      <alignment horizontal="left" vertical="center" wrapText="1"/>
    </xf>
    <xf numFmtId="0" fontId="28" fillId="7" borderId="2" xfId="0" applyFont="1" applyFill="1" applyBorder="1" applyAlignment="1">
      <alignment horizontal="left" vertical="center"/>
    </xf>
    <xf numFmtId="0" fontId="28" fillId="7" borderId="3" xfId="0" applyFont="1" applyFill="1" applyBorder="1" applyAlignment="1">
      <alignment horizontal="left" vertical="center"/>
    </xf>
    <xf numFmtId="0" fontId="28" fillId="7" borderId="4" xfId="0" applyFont="1" applyFill="1" applyBorder="1" applyAlignment="1">
      <alignment horizontal="left" vertical="center"/>
    </xf>
    <xf numFmtId="0" fontId="25" fillId="6" borderId="2" xfId="0" applyFont="1" applyFill="1" applyBorder="1" applyAlignment="1">
      <alignment horizontal="center" vertical="center"/>
    </xf>
    <xf numFmtId="0" fontId="25" fillId="6" borderId="3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166" fontId="26" fillId="7" borderId="2" xfId="0" applyNumberFormat="1" applyFont="1" applyFill="1" applyBorder="1" applyAlignment="1">
      <alignment horizontal="center" vertical="center"/>
    </xf>
    <xf numFmtId="166" fontId="26" fillId="7" borderId="3" xfId="0" applyNumberFormat="1" applyFont="1" applyFill="1" applyBorder="1" applyAlignment="1">
      <alignment horizontal="center" vertical="center"/>
    </xf>
    <xf numFmtId="166" fontId="26" fillId="7" borderId="4" xfId="0" applyNumberFormat="1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/>
    </xf>
    <xf numFmtId="0" fontId="25" fillId="4" borderId="3" xfId="0" applyFont="1" applyFill="1" applyBorder="1" applyAlignment="1">
      <alignment horizontal="center"/>
    </xf>
    <xf numFmtId="0" fontId="25" fillId="4" borderId="4" xfId="0" applyFont="1" applyFill="1" applyBorder="1" applyAlignment="1">
      <alignment horizontal="center"/>
    </xf>
    <xf numFmtId="49" fontId="25" fillId="4" borderId="2" xfId="0" applyNumberFormat="1" applyFont="1" applyFill="1" applyBorder="1" applyAlignment="1">
      <alignment horizontal="center"/>
    </xf>
    <xf numFmtId="49" fontId="25" fillId="4" borderId="3" xfId="0" applyNumberFormat="1" applyFont="1" applyFill="1" applyBorder="1" applyAlignment="1">
      <alignment horizontal="center"/>
    </xf>
    <xf numFmtId="49" fontId="25" fillId="4" borderId="117" xfId="0" applyNumberFormat="1" applyFont="1" applyFill="1" applyBorder="1" applyAlignment="1">
      <alignment horizontal="center"/>
    </xf>
    <xf numFmtId="49" fontId="25" fillId="4" borderId="116" xfId="0" applyNumberFormat="1" applyFont="1" applyFill="1" applyBorder="1" applyAlignment="1">
      <alignment horizontal="center"/>
    </xf>
    <xf numFmtId="49" fontId="25" fillId="4" borderId="4" xfId="0" applyNumberFormat="1" applyFont="1" applyFill="1" applyBorder="1" applyAlignment="1">
      <alignment horizontal="center"/>
    </xf>
    <xf numFmtId="2" fontId="26" fillId="7" borderId="2" xfId="0" applyNumberFormat="1" applyFont="1" applyFill="1" applyBorder="1" applyAlignment="1">
      <alignment horizontal="center" vertical="center"/>
    </xf>
    <xf numFmtId="2" fontId="26" fillId="7" borderId="3" xfId="0" applyNumberFormat="1" applyFont="1" applyFill="1" applyBorder="1" applyAlignment="1">
      <alignment horizontal="center" vertical="center"/>
    </xf>
    <xf numFmtId="2" fontId="26" fillId="7" borderId="4" xfId="0" applyNumberFormat="1" applyFont="1" applyFill="1" applyBorder="1" applyAlignment="1">
      <alignment horizontal="center" vertical="center"/>
    </xf>
    <xf numFmtId="1" fontId="28" fillId="7" borderId="45" xfId="0" applyNumberFormat="1" applyFont="1" applyFill="1" applyBorder="1" applyAlignment="1">
      <alignment horizontal="center"/>
    </xf>
    <xf numFmtId="1" fontId="28" fillId="7" borderId="46" xfId="0" applyNumberFormat="1" applyFont="1" applyFill="1" applyBorder="1" applyAlignment="1">
      <alignment horizontal="center"/>
    </xf>
    <xf numFmtId="1" fontId="28" fillId="7" borderId="50" xfId="0" applyNumberFormat="1" applyFont="1" applyFill="1" applyBorder="1" applyAlignment="1">
      <alignment horizontal="center"/>
    </xf>
    <xf numFmtId="1" fontId="28" fillId="7" borderId="51" xfId="0" applyNumberFormat="1" applyFont="1" applyFill="1" applyBorder="1" applyAlignment="1">
      <alignment horizontal="center"/>
    </xf>
    <xf numFmtId="1" fontId="28" fillId="7" borderId="1" xfId="0" applyNumberFormat="1" applyFont="1" applyFill="1" applyBorder="1" applyAlignment="1">
      <alignment horizontal="center"/>
    </xf>
    <xf numFmtId="1" fontId="28" fillId="7" borderId="52" xfId="0" applyNumberFormat="1" applyFont="1" applyFill="1" applyBorder="1" applyAlignment="1">
      <alignment horizontal="center"/>
    </xf>
    <xf numFmtId="1" fontId="28" fillId="7" borderId="59" xfId="0" applyNumberFormat="1" applyFont="1" applyFill="1" applyBorder="1" applyAlignment="1">
      <alignment horizontal="center"/>
    </xf>
    <xf numFmtId="1" fontId="28" fillId="7" borderId="60" xfId="0" applyNumberFormat="1" applyFont="1" applyFill="1" applyBorder="1" applyAlignment="1">
      <alignment horizontal="center"/>
    </xf>
    <xf numFmtId="1" fontId="28" fillId="7" borderId="61" xfId="0" applyNumberFormat="1" applyFont="1" applyFill="1" applyBorder="1" applyAlignment="1">
      <alignment horizontal="center"/>
    </xf>
    <xf numFmtId="0" fontId="24" fillId="4" borderId="23" xfId="0" applyFont="1" applyFill="1" applyBorder="1" applyAlignment="1">
      <alignment horizontal="center"/>
    </xf>
  </cellXfs>
  <cellStyles count="3">
    <cellStyle name="Обычный" xfId="0" builtinId="0"/>
    <cellStyle name="Обычный 2" xfId="1" xr:uid="{00000000-0005-0000-0000-000002000000}"/>
    <cellStyle name="Обычный 3" xfId="2" xr:uid="{00000000-0005-0000-0000-000003000000}"/>
  </cellStyles>
  <dxfs count="0"/>
  <tableStyles count="0" defaultTableStyle="TableStyleMedium2" defaultPivotStyle="PivotStyleLight16"/>
  <colors>
    <mruColors>
      <color rgb="FFCCFFFF"/>
      <color rgb="FFFFFFCC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5</xdr:row>
          <xdr:rowOff>99060</xdr:rowOff>
        </xdr:from>
        <xdr:to>
          <xdr:col>13</xdr:col>
          <xdr:colOff>1851660</xdr:colOff>
          <xdr:row>6</xdr:row>
          <xdr:rowOff>365760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ПЕЧАТЬ 3 ЛИСТА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99060</xdr:colOff>
          <xdr:row>3</xdr:row>
          <xdr:rowOff>99060</xdr:rowOff>
        </xdr:from>
        <xdr:to>
          <xdr:col>13</xdr:col>
          <xdr:colOff>1813560</xdr:colOff>
          <xdr:row>4</xdr:row>
          <xdr:rowOff>403860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ПЕЧАТЬ 1 ЛИСТ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blanker.ru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blanker.ru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blanker.ru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blanker.ru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blanker.r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AE1223"/>
  <sheetViews>
    <sheetView tabSelected="1" zoomScale="70" zoomScaleNormal="70" workbookViewId="0">
      <pane ySplit="1" topLeftCell="A2" activePane="bottomLeft" state="frozen"/>
      <selection activeCell="C1" sqref="C1"/>
      <selection pane="bottomLeft" activeCell="L14" sqref="L14"/>
    </sheetView>
  </sheetViews>
  <sheetFormatPr defaultRowHeight="14.4" x14ac:dyDescent="0.3"/>
  <cols>
    <col min="1" max="1" width="8.33203125" style="26" customWidth="1"/>
    <col min="2" max="2" width="33.33203125" style="27" customWidth="1"/>
    <col min="3" max="3" width="26" style="28" customWidth="1"/>
    <col min="4" max="5" width="21.44140625" style="24" customWidth="1"/>
    <col min="6" max="6" width="8.44140625" style="29" customWidth="1"/>
    <col min="7" max="7" width="11.44140625" style="14" customWidth="1"/>
    <col min="8" max="8" width="14.109375" style="14" bestFit="1" customWidth="1"/>
    <col min="9" max="9" width="16.109375" style="27" customWidth="1"/>
    <col min="10" max="10" width="16" style="27" customWidth="1"/>
    <col min="11" max="11" width="24.88671875" style="24" customWidth="1"/>
    <col min="12" max="12" width="20.88671875" style="24" customWidth="1"/>
    <col min="13" max="13" width="15.5546875" style="24" customWidth="1"/>
    <col min="14" max="14" width="37.44140625" style="24" customWidth="1"/>
    <col min="15" max="15" width="14.21875" style="13" hidden="1" customWidth="1"/>
    <col min="16" max="16" width="13.33203125" style="14" hidden="1" customWidth="1"/>
    <col min="17" max="17" width="26.5546875" style="13" hidden="1" customWidth="1"/>
    <col min="18" max="18" width="28.109375" style="10" hidden="1" customWidth="1"/>
    <col min="19" max="19" width="26.44140625" style="10" hidden="1" customWidth="1"/>
    <col min="20" max="20" width="28.33203125" style="10" hidden="1" customWidth="1"/>
    <col min="21" max="22" width="23.33203125" style="10" hidden="1" customWidth="1"/>
    <col min="23" max="23" width="23" style="10" hidden="1" customWidth="1"/>
    <col min="24" max="24" width="21.88671875" style="10" hidden="1" customWidth="1"/>
    <col min="25" max="25" width="20.88671875" style="10" hidden="1" customWidth="1"/>
    <col min="26" max="26" width="23" style="10" hidden="1" customWidth="1"/>
    <col min="27" max="27" width="21.88671875" style="10" hidden="1" customWidth="1"/>
    <col min="28" max="28" width="20.88671875" style="10" hidden="1" customWidth="1"/>
    <col min="29" max="29" width="23" style="10" hidden="1" customWidth="1"/>
    <col min="30" max="30" width="21.88671875" style="10" hidden="1" customWidth="1"/>
    <col min="31" max="31" width="20.88671875" style="10" hidden="1" customWidth="1"/>
    <col min="32" max="257" width="9.109375" style="10"/>
    <col min="258" max="258" width="10.44140625" style="10" customWidth="1"/>
    <col min="259" max="259" width="41" style="10" customWidth="1"/>
    <col min="260" max="260" width="0" style="10" hidden="1" customWidth="1"/>
    <col min="261" max="261" width="19" style="10" customWidth="1"/>
    <col min="262" max="262" width="7.33203125" style="10" customWidth="1"/>
    <col min="263" max="263" width="12.44140625" style="10" customWidth="1"/>
    <col min="264" max="264" width="9.6640625" style="10" customWidth="1"/>
    <col min="265" max="265" width="27.6640625" style="10" customWidth="1"/>
    <col min="266" max="266" width="27" style="10" customWidth="1"/>
    <col min="267" max="267" width="24.88671875" style="10" customWidth="1"/>
    <col min="268" max="268" width="26" style="10" customWidth="1"/>
    <col min="269" max="269" width="17.6640625" style="10" customWidth="1"/>
    <col min="270" max="270" width="47.88671875" style="10" customWidth="1"/>
    <col min="271" max="271" width="22.6640625" style="10" customWidth="1"/>
    <col min="272" max="272" width="55.6640625" style="10" customWidth="1"/>
    <col min="273" max="273" width="9.109375" style="10" customWidth="1"/>
    <col min="274" max="274" width="26.5546875" style="10" customWidth="1"/>
    <col min="275" max="276" width="9.109375" style="10"/>
    <col min="277" max="278" width="14.5546875" style="10" customWidth="1"/>
    <col min="279" max="513" width="9.109375" style="10"/>
    <col min="514" max="514" width="10.44140625" style="10" customWidth="1"/>
    <col min="515" max="515" width="41" style="10" customWidth="1"/>
    <col min="516" max="516" width="0" style="10" hidden="1" customWidth="1"/>
    <col min="517" max="517" width="19" style="10" customWidth="1"/>
    <col min="518" max="518" width="7.33203125" style="10" customWidth="1"/>
    <col min="519" max="519" width="12.44140625" style="10" customWidth="1"/>
    <col min="520" max="520" width="9.6640625" style="10" customWidth="1"/>
    <col min="521" max="521" width="27.6640625" style="10" customWidth="1"/>
    <col min="522" max="522" width="27" style="10" customWidth="1"/>
    <col min="523" max="523" width="24.88671875" style="10" customWidth="1"/>
    <col min="524" max="524" width="26" style="10" customWidth="1"/>
    <col min="525" max="525" width="17.6640625" style="10" customWidth="1"/>
    <col min="526" max="526" width="47.88671875" style="10" customWidth="1"/>
    <col min="527" max="527" width="22.6640625" style="10" customWidth="1"/>
    <col min="528" max="528" width="55.6640625" style="10" customWidth="1"/>
    <col min="529" max="529" width="9.109375" style="10" customWidth="1"/>
    <col min="530" max="530" width="26.5546875" style="10" customWidth="1"/>
    <col min="531" max="532" width="9.109375" style="10"/>
    <col min="533" max="534" width="14.5546875" style="10" customWidth="1"/>
    <col min="535" max="769" width="9.109375" style="10"/>
    <col min="770" max="770" width="10.44140625" style="10" customWidth="1"/>
    <col min="771" max="771" width="41" style="10" customWidth="1"/>
    <col min="772" max="772" width="0" style="10" hidden="1" customWidth="1"/>
    <col min="773" max="773" width="19" style="10" customWidth="1"/>
    <col min="774" max="774" width="7.33203125" style="10" customWidth="1"/>
    <col min="775" max="775" width="12.44140625" style="10" customWidth="1"/>
    <col min="776" max="776" width="9.6640625" style="10" customWidth="1"/>
    <col min="777" max="777" width="27.6640625" style="10" customWidth="1"/>
    <col min="778" max="778" width="27" style="10" customWidth="1"/>
    <col min="779" max="779" width="24.88671875" style="10" customWidth="1"/>
    <col min="780" max="780" width="26" style="10" customWidth="1"/>
    <col min="781" max="781" width="17.6640625" style="10" customWidth="1"/>
    <col min="782" max="782" width="47.88671875" style="10" customWidth="1"/>
    <col min="783" max="783" width="22.6640625" style="10" customWidth="1"/>
    <col min="784" max="784" width="55.6640625" style="10" customWidth="1"/>
    <col min="785" max="785" width="9.109375" style="10" customWidth="1"/>
    <col min="786" max="786" width="26.5546875" style="10" customWidth="1"/>
    <col min="787" max="788" width="9.109375" style="10"/>
    <col min="789" max="790" width="14.5546875" style="10" customWidth="1"/>
    <col min="791" max="1025" width="9.109375" style="10"/>
    <col min="1026" max="1026" width="10.44140625" style="10" customWidth="1"/>
    <col min="1027" max="1027" width="41" style="10" customWidth="1"/>
    <col min="1028" max="1028" width="0" style="10" hidden="1" customWidth="1"/>
    <col min="1029" max="1029" width="19" style="10" customWidth="1"/>
    <col min="1030" max="1030" width="7.33203125" style="10" customWidth="1"/>
    <col min="1031" max="1031" width="12.44140625" style="10" customWidth="1"/>
    <col min="1032" max="1032" width="9.6640625" style="10" customWidth="1"/>
    <col min="1033" max="1033" width="27.6640625" style="10" customWidth="1"/>
    <col min="1034" max="1034" width="27" style="10" customWidth="1"/>
    <col min="1035" max="1035" width="24.88671875" style="10" customWidth="1"/>
    <col min="1036" max="1036" width="26" style="10" customWidth="1"/>
    <col min="1037" max="1037" width="17.6640625" style="10" customWidth="1"/>
    <col min="1038" max="1038" width="47.88671875" style="10" customWidth="1"/>
    <col min="1039" max="1039" width="22.6640625" style="10" customWidth="1"/>
    <col min="1040" max="1040" width="55.6640625" style="10" customWidth="1"/>
    <col min="1041" max="1041" width="9.109375" style="10" customWidth="1"/>
    <col min="1042" max="1042" width="26.5546875" style="10" customWidth="1"/>
    <col min="1043" max="1044" width="9.109375" style="10"/>
    <col min="1045" max="1046" width="14.5546875" style="10" customWidth="1"/>
    <col min="1047" max="1281" width="9.109375" style="10"/>
    <col min="1282" max="1282" width="10.44140625" style="10" customWidth="1"/>
    <col min="1283" max="1283" width="41" style="10" customWidth="1"/>
    <col min="1284" max="1284" width="0" style="10" hidden="1" customWidth="1"/>
    <col min="1285" max="1285" width="19" style="10" customWidth="1"/>
    <col min="1286" max="1286" width="7.33203125" style="10" customWidth="1"/>
    <col min="1287" max="1287" width="12.44140625" style="10" customWidth="1"/>
    <col min="1288" max="1288" width="9.6640625" style="10" customWidth="1"/>
    <col min="1289" max="1289" width="27.6640625" style="10" customWidth="1"/>
    <col min="1290" max="1290" width="27" style="10" customWidth="1"/>
    <col min="1291" max="1291" width="24.88671875" style="10" customWidth="1"/>
    <col min="1292" max="1292" width="26" style="10" customWidth="1"/>
    <col min="1293" max="1293" width="17.6640625" style="10" customWidth="1"/>
    <col min="1294" max="1294" width="47.88671875" style="10" customWidth="1"/>
    <col min="1295" max="1295" width="22.6640625" style="10" customWidth="1"/>
    <col min="1296" max="1296" width="55.6640625" style="10" customWidth="1"/>
    <col min="1297" max="1297" width="9.109375" style="10" customWidth="1"/>
    <col min="1298" max="1298" width="26.5546875" style="10" customWidth="1"/>
    <col min="1299" max="1300" width="9.109375" style="10"/>
    <col min="1301" max="1302" width="14.5546875" style="10" customWidth="1"/>
    <col min="1303" max="1537" width="9.109375" style="10"/>
    <col min="1538" max="1538" width="10.44140625" style="10" customWidth="1"/>
    <col min="1539" max="1539" width="41" style="10" customWidth="1"/>
    <col min="1540" max="1540" width="0" style="10" hidden="1" customWidth="1"/>
    <col min="1541" max="1541" width="19" style="10" customWidth="1"/>
    <col min="1542" max="1542" width="7.33203125" style="10" customWidth="1"/>
    <col min="1543" max="1543" width="12.44140625" style="10" customWidth="1"/>
    <col min="1544" max="1544" width="9.6640625" style="10" customWidth="1"/>
    <col min="1545" max="1545" width="27.6640625" style="10" customWidth="1"/>
    <col min="1546" max="1546" width="27" style="10" customWidth="1"/>
    <col min="1547" max="1547" width="24.88671875" style="10" customWidth="1"/>
    <col min="1548" max="1548" width="26" style="10" customWidth="1"/>
    <col min="1549" max="1549" width="17.6640625" style="10" customWidth="1"/>
    <col min="1550" max="1550" width="47.88671875" style="10" customWidth="1"/>
    <col min="1551" max="1551" width="22.6640625" style="10" customWidth="1"/>
    <col min="1552" max="1552" width="55.6640625" style="10" customWidth="1"/>
    <col min="1553" max="1553" width="9.109375" style="10" customWidth="1"/>
    <col min="1554" max="1554" width="26.5546875" style="10" customWidth="1"/>
    <col min="1555" max="1556" width="9.109375" style="10"/>
    <col min="1557" max="1558" width="14.5546875" style="10" customWidth="1"/>
    <col min="1559" max="1793" width="9.109375" style="10"/>
    <col min="1794" max="1794" width="10.44140625" style="10" customWidth="1"/>
    <col min="1795" max="1795" width="41" style="10" customWidth="1"/>
    <col min="1796" max="1796" width="0" style="10" hidden="1" customWidth="1"/>
    <col min="1797" max="1797" width="19" style="10" customWidth="1"/>
    <col min="1798" max="1798" width="7.33203125" style="10" customWidth="1"/>
    <col min="1799" max="1799" width="12.44140625" style="10" customWidth="1"/>
    <col min="1800" max="1800" width="9.6640625" style="10" customWidth="1"/>
    <col min="1801" max="1801" width="27.6640625" style="10" customWidth="1"/>
    <col min="1802" max="1802" width="27" style="10" customWidth="1"/>
    <col min="1803" max="1803" width="24.88671875" style="10" customWidth="1"/>
    <col min="1804" max="1804" width="26" style="10" customWidth="1"/>
    <col min="1805" max="1805" width="17.6640625" style="10" customWidth="1"/>
    <col min="1806" max="1806" width="47.88671875" style="10" customWidth="1"/>
    <col min="1807" max="1807" width="22.6640625" style="10" customWidth="1"/>
    <col min="1808" max="1808" width="55.6640625" style="10" customWidth="1"/>
    <col min="1809" max="1809" width="9.109375" style="10" customWidth="1"/>
    <col min="1810" max="1810" width="26.5546875" style="10" customWidth="1"/>
    <col min="1811" max="1812" width="9.109375" style="10"/>
    <col min="1813" max="1814" width="14.5546875" style="10" customWidth="1"/>
    <col min="1815" max="2049" width="9.109375" style="10"/>
    <col min="2050" max="2050" width="10.44140625" style="10" customWidth="1"/>
    <col min="2051" max="2051" width="41" style="10" customWidth="1"/>
    <col min="2052" max="2052" width="0" style="10" hidden="1" customWidth="1"/>
    <col min="2053" max="2053" width="19" style="10" customWidth="1"/>
    <col min="2054" max="2054" width="7.33203125" style="10" customWidth="1"/>
    <col min="2055" max="2055" width="12.44140625" style="10" customWidth="1"/>
    <col min="2056" max="2056" width="9.6640625" style="10" customWidth="1"/>
    <col min="2057" max="2057" width="27.6640625" style="10" customWidth="1"/>
    <col min="2058" max="2058" width="27" style="10" customWidth="1"/>
    <col min="2059" max="2059" width="24.88671875" style="10" customWidth="1"/>
    <col min="2060" max="2060" width="26" style="10" customWidth="1"/>
    <col min="2061" max="2061" width="17.6640625" style="10" customWidth="1"/>
    <col min="2062" max="2062" width="47.88671875" style="10" customWidth="1"/>
    <col min="2063" max="2063" width="22.6640625" style="10" customWidth="1"/>
    <col min="2064" max="2064" width="55.6640625" style="10" customWidth="1"/>
    <col min="2065" max="2065" width="9.109375" style="10" customWidth="1"/>
    <col min="2066" max="2066" width="26.5546875" style="10" customWidth="1"/>
    <col min="2067" max="2068" width="9.109375" style="10"/>
    <col min="2069" max="2070" width="14.5546875" style="10" customWidth="1"/>
    <col min="2071" max="2305" width="9.109375" style="10"/>
    <col min="2306" max="2306" width="10.44140625" style="10" customWidth="1"/>
    <col min="2307" max="2307" width="41" style="10" customWidth="1"/>
    <col min="2308" max="2308" width="0" style="10" hidden="1" customWidth="1"/>
    <col min="2309" max="2309" width="19" style="10" customWidth="1"/>
    <col min="2310" max="2310" width="7.33203125" style="10" customWidth="1"/>
    <col min="2311" max="2311" width="12.44140625" style="10" customWidth="1"/>
    <col min="2312" max="2312" width="9.6640625" style="10" customWidth="1"/>
    <col min="2313" max="2313" width="27.6640625" style="10" customWidth="1"/>
    <col min="2314" max="2314" width="27" style="10" customWidth="1"/>
    <col min="2315" max="2315" width="24.88671875" style="10" customWidth="1"/>
    <col min="2316" max="2316" width="26" style="10" customWidth="1"/>
    <col min="2317" max="2317" width="17.6640625" style="10" customWidth="1"/>
    <col min="2318" max="2318" width="47.88671875" style="10" customWidth="1"/>
    <col min="2319" max="2319" width="22.6640625" style="10" customWidth="1"/>
    <col min="2320" max="2320" width="55.6640625" style="10" customWidth="1"/>
    <col min="2321" max="2321" width="9.109375" style="10" customWidth="1"/>
    <col min="2322" max="2322" width="26.5546875" style="10" customWidth="1"/>
    <col min="2323" max="2324" width="9.109375" style="10"/>
    <col min="2325" max="2326" width="14.5546875" style="10" customWidth="1"/>
    <col min="2327" max="2561" width="9.109375" style="10"/>
    <col min="2562" max="2562" width="10.44140625" style="10" customWidth="1"/>
    <col min="2563" max="2563" width="41" style="10" customWidth="1"/>
    <col min="2564" max="2564" width="0" style="10" hidden="1" customWidth="1"/>
    <col min="2565" max="2565" width="19" style="10" customWidth="1"/>
    <col min="2566" max="2566" width="7.33203125" style="10" customWidth="1"/>
    <col min="2567" max="2567" width="12.44140625" style="10" customWidth="1"/>
    <col min="2568" max="2568" width="9.6640625" style="10" customWidth="1"/>
    <col min="2569" max="2569" width="27.6640625" style="10" customWidth="1"/>
    <col min="2570" max="2570" width="27" style="10" customWidth="1"/>
    <col min="2571" max="2571" width="24.88671875" style="10" customWidth="1"/>
    <col min="2572" max="2572" width="26" style="10" customWidth="1"/>
    <col min="2573" max="2573" width="17.6640625" style="10" customWidth="1"/>
    <col min="2574" max="2574" width="47.88671875" style="10" customWidth="1"/>
    <col min="2575" max="2575" width="22.6640625" style="10" customWidth="1"/>
    <col min="2576" max="2576" width="55.6640625" style="10" customWidth="1"/>
    <col min="2577" max="2577" width="9.109375" style="10" customWidth="1"/>
    <col min="2578" max="2578" width="26.5546875" style="10" customWidth="1"/>
    <col min="2579" max="2580" width="9.109375" style="10"/>
    <col min="2581" max="2582" width="14.5546875" style="10" customWidth="1"/>
    <col min="2583" max="2817" width="9.109375" style="10"/>
    <col min="2818" max="2818" width="10.44140625" style="10" customWidth="1"/>
    <col min="2819" max="2819" width="41" style="10" customWidth="1"/>
    <col min="2820" max="2820" width="0" style="10" hidden="1" customWidth="1"/>
    <col min="2821" max="2821" width="19" style="10" customWidth="1"/>
    <col min="2822" max="2822" width="7.33203125" style="10" customWidth="1"/>
    <col min="2823" max="2823" width="12.44140625" style="10" customWidth="1"/>
    <col min="2824" max="2824" width="9.6640625" style="10" customWidth="1"/>
    <col min="2825" max="2825" width="27.6640625" style="10" customWidth="1"/>
    <col min="2826" max="2826" width="27" style="10" customWidth="1"/>
    <col min="2827" max="2827" width="24.88671875" style="10" customWidth="1"/>
    <col min="2828" max="2828" width="26" style="10" customWidth="1"/>
    <col min="2829" max="2829" width="17.6640625" style="10" customWidth="1"/>
    <col min="2830" max="2830" width="47.88671875" style="10" customWidth="1"/>
    <col min="2831" max="2831" width="22.6640625" style="10" customWidth="1"/>
    <col min="2832" max="2832" width="55.6640625" style="10" customWidth="1"/>
    <col min="2833" max="2833" width="9.109375" style="10" customWidth="1"/>
    <col min="2834" max="2834" width="26.5546875" style="10" customWidth="1"/>
    <col min="2835" max="2836" width="9.109375" style="10"/>
    <col min="2837" max="2838" width="14.5546875" style="10" customWidth="1"/>
    <col min="2839" max="3073" width="9.109375" style="10"/>
    <col min="3074" max="3074" width="10.44140625" style="10" customWidth="1"/>
    <col min="3075" max="3075" width="41" style="10" customWidth="1"/>
    <col min="3076" max="3076" width="0" style="10" hidden="1" customWidth="1"/>
    <col min="3077" max="3077" width="19" style="10" customWidth="1"/>
    <col min="3078" max="3078" width="7.33203125" style="10" customWidth="1"/>
    <col min="3079" max="3079" width="12.44140625" style="10" customWidth="1"/>
    <col min="3080" max="3080" width="9.6640625" style="10" customWidth="1"/>
    <col min="3081" max="3081" width="27.6640625" style="10" customWidth="1"/>
    <col min="3082" max="3082" width="27" style="10" customWidth="1"/>
    <col min="3083" max="3083" width="24.88671875" style="10" customWidth="1"/>
    <col min="3084" max="3084" width="26" style="10" customWidth="1"/>
    <col min="3085" max="3085" width="17.6640625" style="10" customWidth="1"/>
    <col min="3086" max="3086" width="47.88671875" style="10" customWidth="1"/>
    <col min="3087" max="3087" width="22.6640625" style="10" customWidth="1"/>
    <col min="3088" max="3088" width="55.6640625" style="10" customWidth="1"/>
    <col min="3089" max="3089" width="9.109375" style="10" customWidth="1"/>
    <col min="3090" max="3090" width="26.5546875" style="10" customWidth="1"/>
    <col min="3091" max="3092" width="9.109375" style="10"/>
    <col min="3093" max="3094" width="14.5546875" style="10" customWidth="1"/>
    <col min="3095" max="3329" width="9.109375" style="10"/>
    <col min="3330" max="3330" width="10.44140625" style="10" customWidth="1"/>
    <col min="3331" max="3331" width="41" style="10" customWidth="1"/>
    <col min="3332" max="3332" width="0" style="10" hidden="1" customWidth="1"/>
    <col min="3333" max="3333" width="19" style="10" customWidth="1"/>
    <col min="3334" max="3334" width="7.33203125" style="10" customWidth="1"/>
    <col min="3335" max="3335" width="12.44140625" style="10" customWidth="1"/>
    <col min="3336" max="3336" width="9.6640625" style="10" customWidth="1"/>
    <col min="3337" max="3337" width="27.6640625" style="10" customWidth="1"/>
    <col min="3338" max="3338" width="27" style="10" customWidth="1"/>
    <col min="3339" max="3339" width="24.88671875" style="10" customWidth="1"/>
    <col min="3340" max="3340" width="26" style="10" customWidth="1"/>
    <col min="3341" max="3341" width="17.6640625" style="10" customWidth="1"/>
    <col min="3342" max="3342" width="47.88671875" style="10" customWidth="1"/>
    <col min="3343" max="3343" width="22.6640625" style="10" customWidth="1"/>
    <col min="3344" max="3344" width="55.6640625" style="10" customWidth="1"/>
    <col min="3345" max="3345" width="9.109375" style="10" customWidth="1"/>
    <col min="3346" max="3346" width="26.5546875" style="10" customWidth="1"/>
    <col min="3347" max="3348" width="9.109375" style="10"/>
    <col min="3349" max="3350" width="14.5546875" style="10" customWidth="1"/>
    <col min="3351" max="3585" width="9.109375" style="10"/>
    <col min="3586" max="3586" width="10.44140625" style="10" customWidth="1"/>
    <col min="3587" max="3587" width="41" style="10" customWidth="1"/>
    <col min="3588" max="3588" width="0" style="10" hidden="1" customWidth="1"/>
    <col min="3589" max="3589" width="19" style="10" customWidth="1"/>
    <col min="3590" max="3590" width="7.33203125" style="10" customWidth="1"/>
    <col min="3591" max="3591" width="12.44140625" style="10" customWidth="1"/>
    <col min="3592" max="3592" width="9.6640625" style="10" customWidth="1"/>
    <col min="3593" max="3593" width="27.6640625" style="10" customWidth="1"/>
    <col min="3594" max="3594" width="27" style="10" customWidth="1"/>
    <col min="3595" max="3595" width="24.88671875" style="10" customWidth="1"/>
    <col min="3596" max="3596" width="26" style="10" customWidth="1"/>
    <col min="3597" max="3597" width="17.6640625" style="10" customWidth="1"/>
    <col min="3598" max="3598" width="47.88671875" style="10" customWidth="1"/>
    <col min="3599" max="3599" width="22.6640625" style="10" customWidth="1"/>
    <col min="3600" max="3600" width="55.6640625" style="10" customWidth="1"/>
    <col min="3601" max="3601" width="9.109375" style="10" customWidth="1"/>
    <col min="3602" max="3602" width="26.5546875" style="10" customWidth="1"/>
    <col min="3603" max="3604" width="9.109375" style="10"/>
    <col min="3605" max="3606" width="14.5546875" style="10" customWidth="1"/>
    <col min="3607" max="3841" width="9.109375" style="10"/>
    <col min="3842" max="3842" width="10.44140625" style="10" customWidth="1"/>
    <col min="3843" max="3843" width="41" style="10" customWidth="1"/>
    <col min="3844" max="3844" width="0" style="10" hidden="1" customWidth="1"/>
    <col min="3845" max="3845" width="19" style="10" customWidth="1"/>
    <col min="3846" max="3846" width="7.33203125" style="10" customWidth="1"/>
    <col min="3847" max="3847" width="12.44140625" style="10" customWidth="1"/>
    <col min="3848" max="3848" width="9.6640625" style="10" customWidth="1"/>
    <col min="3849" max="3849" width="27.6640625" style="10" customWidth="1"/>
    <col min="3850" max="3850" width="27" style="10" customWidth="1"/>
    <col min="3851" max="3851" width="24.88671875" style="10" customWidth="1"/>
    <col min="3852" max="3852" width="26" style="10" customWidth="1"/>
    <col min="3853" max="3853" width="17.6640625" style="10" customWidth="1"/>
    <col min="3854" max="3854" width="47.88671875" style="10" customWidth="1"/>
    <col min="3855" max="3855" width="22.6640625" style="10" customWidth="1"/>
    <col min="3856" max="3856" width="55.6640625" style="10" customWidth="1"/>
    <col min="3857" max="3857" width="9.109375" style="10" customWidth="1"/>
    <col min="3858" max="3858" width="26.5546875" style="10" customWidth="1"/>
    <col min="3859" max="3860" width="9.109375" style="10"/>
    <col min="3861" max="3862" width="14.5546875" style="10" customWidth="1"/>
    <col min="3863" max="4097" width="9.109375" style="10"/>
    <col min="4098" max="4098" width="10.44140625" style="10" customWidth="1"/>
    <col min="4099" max="4099" width="41" style="10" customWidth="1"/>
    <col min="4100" max="4100" width="0" style="10" hidden="1" customWidth="1"/>
    <col min="4101" max="4101" width="19" style="10" customWidth="1"/>
    <col min="4102" max="4102" width="7.33203125" style="10" customWidth="1"/>
    <col min="4103" max="4103" width="12.44140625" style="10" customWidth="1"/>
    <col min="4104" max="4104" width="9.6640625" style="10" customWidth="1"/>
    <col min="4105" max="4105" width="27.6640625" style="10" customWidth="1"/>
    <col min="4106" max="4106" width="27" style="10" customWidth="1"/>
    <col min="4107" max="4107" width="24.88671875" style="10" customWidth="1"/>
    <col min="4108" max="4108" width="26" style="10" customWidth="1"/>
    <col min="4109" max="4109" width="17.6640625" style="10" customWidth="1"/>
    <col min="4110" max="4110" width="47.88671875" style="10" customWidth="1"/>
    <col min="4111" max="4111" width="22.6640625" style="10" customWidth="1"/>
    <col min="4112" max="4112" width="55.6640625" style="10" customWidth="1"/>
    <col min="4113" max="4113" width="9.109375" style="10" customWidth="1"/>
    <col min="4114" max="4114" width="26.5546875" style="10" customWidth="1"/>
    <col min="4115" max="4116" width="9.109375" style="10"/>
    <col min="4117" max="4118" width="14.5546875" style="10" customWidth="1"/>
    <col min="4119" max="4353" width="9.109375" style="10"/>
    <col min="4354" max="4354" width="10.44140625" style="10" customWidth="1"/>
    <col min="4355" max="4355" width="41" style="10" customWidth="1"/>
    <col min="4356" max="4356" width="0" style="10" hidden="1" customWidth="1"/>
    <col min="4357" max="4357" width="19" style="10" customWidth="1"/>
    <col min="4358" max="4358" width="7.33203125" style="10" customWidth="1"/>
    <col min="4359" max="4359" width="12.44140625" style="10" customWidth="1"/>
    <col min="4360" max="4360" width="9.6640625" style="10" customWidth="1"/>
    <col min="4361" max="4361" width="27.6640625" style="10" customWidth="1"/>
    <col min="4362" max="4362" width="27" style="10" customWidth="1"/>
    <col min="4363" max="4363" width="24.88671875" style="10" customWidth="1"/>
    <col min="4364" max="4364" width="26" style="10" customWidth="1"/>
    <col min="4365" max="4365" width="17.6640625" style="10" customWidth="1"/>
    <col min="4366" max="4366" width="47.88671875" style="10" customWidth="1"/>
    <col min="4367" max="4367" width="22.6640625" style="10" customWidth="1"/>
    <col min="4368" max="4368" width="55.6640625" style="10" customWidth="1"/>
    <col min="4369" max="4369" width="9.109375" style="10" customWidth="1"/>
    <col min="4370" max="4370" width="26.5546875" style="10" customWidth="1"/>
    <col min="4371" max="4372" width="9.109375" style="10"/>
    <col min="4373" max="4374" width="14.5546875" style="10" customWidth="1"/>
    <col min="4375" max="4609" width="9.109375" style="10"/>
    <col min="4610" max="4610" width="10.44140625" style="10" customWidth="1"/>
    <col min="4611" max="4611" width="41" style="10" customWidth="1"/>
    <col min="4612" max="4612" width="0" style="10" hidden="1" customWidth="1"/>
    <col min="4613" max="4613" width="19" style="10" customWidth="1"/>
    <col min="4614" max="4614" width="7.33203125" style="10" customWidth="1"/>
    <col min="4615" max="4615" width="12.44140625" style="10" customWidth="1"/>
    <col min="4616" max="4616" width="9.6640625" style="10" customWidth="1"/>
    <col min="4617" max="4617" width="27.6640625" style="10" customWidth="1"/>
    <col min="4618" max="4618" width="27" style="10" customWidth="1"/>
    <col min="4619" max="4619" width="24.88671875" style="10" customWidth="1"/>
    <col min="4620" max="4620" width="26" style="10" customWidth="1"/>
    <col min="4621" max="4621" width="17.6640625" style="10" customWidth="1"/>
    <col min="4622" max="4622" width="47.88671875" style="10" customWidth="1"/>
    <col min="4623" max="4623" width="22.6640625" style="10" customWidth="1"/>
    <col min="4624" max="4624" width="55.6640625" style="10" customWidth="1"/>
    <col min="4625" max="4625" width="9.109375" style="10" customWidth="1"/>
    <col min="4626" max="4626" width="26.5546875" style="10" customWidth="1"/>
    <col min="4627" max="4628" width="9.109375" style="10"/>
    <col min="4629" max="4630" width="14.5546875" style="10" customWidth="1"/>
    <col min="4631" max="4865" width="9.109375" style="10"/>
    <col min="4866" max="4866" width="10.44140625" style="10" customWidth="1"/>
    <col min="4867" max="4867" width="41" style="10" customWidth="1"/>
    <col min="4868" max="4868" width="0" style="10" hidden="1" customWidth="1"/>
    <col min="4869" max="4869" width="19" style="10" customWidth="1"/>
    <col min="4870" max="4870" width="7.33203125" style="10" customWidth="1"/>
    <col min="4871" max="4871" width="12.44140625" style="10" customWidth="1"/>
    <col min="4872" max="4872" width="9.6640625" style="10" customWidth="1"/>
    <col min="4873" max="4873" width="27.6640625" style="10" customWidth="1"/>
    <col min="4874" max="4874" width="27" style="10" customWidth="1"/>
    <col min="4875" max="4875" width="24.88671875" style="10" customWidth="1"/>
    <col min="4876" max="4876" width="26" style="10" customWidth="1"/>
    <col min="4877" max="4877" width="17.6640625" style="10" customWidth="1"/>
    <col min="4878" max="4878" width="47.88671875" style="10" customWidth="1"/>
    <col min="4879" max="4879" width="22.6640625" style="10" customWidth="1"/>
    <col min="4880" max="4880" width="55.6640625" style="10" customWidth="1"/>
    <col min="4881" max="4881" width="9.109375" style="10" customWidth="1"/>
    <col min="4882" max="4882" width="26.5546875" style="10" customWidth="1"/>
    <col min="4883" max="4884" width="9.109375" style="10"/>
    <col min="4885" max="4886" width="14.5546875" style="10" customWidth="1"/>
    <col min="4887" max="5121" width="9.109375" style="10"/>
    <col min="5122" max="5122" width="10.44140625" style="10" customWidth="1"/>
    <col min="5123" max="5123" width="41" style="10" customWidth="1"/>
    <col min="5124" max="5124" width="0" style="10" hidden="1" customWidth="1"/>
    <col min="5125" max="5125" width="19" style="10" customWidth="1"/>
    <col min="5126" max="5126" width="7.33203125" style="10" customWidth="1"/>
    <col min="5127" max="5127" width="12.44140625" style="10" customWidth="1"/>
    <col min="5128" max="5128" width="9.6640625" style="10" customWidth="1"/>
    <col min="5129" max="5129" width="27.6640625" style="10" customWidth="1"/>
    <col min="5130" max="5130" width="27" style="10" customWidth="1"/>
    <col min="5131" max="5131" width="24.88671875" style="10" customWidth="1"/>
    <col min="5132" max="5132" width="26" style="10" customWidth="1"/>
    <col min="5133" max="5133" width="17.6640625" style="10" customWidth="1"/>
    <col min="5134" max="5134" width="47.88671875" style="10" customWidth="1"/>
    <col min="5135" max="5135" width="22.6640625" style="10" customWidth="1"/>
    <col min="5136" max="5136" width="55.6640625" style="10" customWidth="1"/>
    <col min="5137" max="5137" width="9.109375" style="10" customWidth="1"/>
    <col min="5138" max="5138" width="26.5546875" style="10" customWidth="1"/>
    <col min="5139" max="5140" width="9.109375" style="10"/>
    <col min="5141" max="5142" width="14.5546875" style="10" customWidth="1"/>
    <col min="5143" max="5377" width="9.109375" style="10"/>
    <col min="5378" max="5378" width="10.44140625" style="10" customWidth="1"/>
    <col min="5379" max="5379" width="41" style="10" customWidth="1"/>
    <col min="5380" max="5380" width="0" style="10" hidden="1" customWidth="1"/>
    <col min="5381" max="5381" width="19" style="10" customWidth="1"/>
    <col min="5382" max="5382" width="7.33203125" style="10" customWidth="1"/>
    <col min="5383" max="5383" width="12.44140625" style="10" customWidth="1"/>
    <col min="5384" max="5384" width="9.6640625" style="10" customWidth="1"/>
    <col min="5385" max="5385" width="27.6640625" style="10" customWidth="1"/>
    <col min="5386" max="5386" width="27" style="10" customWidth="1"/>
    <col min="5387" max="5387" width="24.88671875" style="10" customWidth="1"/>
    <col min="5388" max="5388" width="26" style="10" customWidth="1"/>
    <col min="5389" max="5389" width="17.6640625" style="10" customWidth="1"/>
    <col min="5390" max="5390" width="47.88671875" style="10" customWidth="1"/>
    <col min="5391" max="5391" width="22.6640625" style="10" customWidth="1"/>
    <col min="5392" max="5392" width="55.6640625" style="10" customWidth="1"/>
    <col min="5393" max="5393" width="9.109375" style="10" customWidth="1"/>
    <col min="5394" max="5394" width="26.5546875" style="10" customWidth="1"/>
    <col min="5395" max="5396" width="9.109375" style="10"/>
    <col min="5397" max="5398" width="14.5546875" style="10" customWidth="1"/>
    <col min="5399" max="5633" width="9.109375" style="10"/>
    <col min="5634" max="5634" width="10.44140625" style="10" customWidth="1"/>
    <col min="5635" max="5635" width="41" style="10" customWidth="1"/>
    <col min="5636" max="5636" width="0" style="10" hidden="1" customWidth="1"/>
    <col min="5637" max="5637" width="19" style="10" customWidth="1"/>
    <col min="5638" max="5638" width="7.33203125" style="10" customWidth="1"/>
    <col min="5639" max="5639" width="12.44140625" style="10" customWidth="1"/>
    <col min="5640" max="5640" width="9.6640625" style="10" customWidth="1"/>
    <col min="5641" max="5641" width="27.6640625" style="10" customWidth="1"/>
    <col min="5642" max="5642" width="27" style="10" customWidth="1"/>
    <col min="5643" max="5643" width="24.88671875" style="10" customWidth="1"/>
    <col min="5644" max="5644" width="26" style="10" customWidth="1"/>
    <col min="5645" max="5645" width="17.6640625" style="10" customWidth="1"/>
    <col min="5646" max="5646" width="47.88671875" style="10" customWidth="1"/>
    <col min="5647" max="5647" width="22.6640625" style="10" customWidth="1"/>
    <col min="5648" max="5648" width="55.6640625" style="10" customWidth="1"/>
    <col min="5649" max="5649" width="9.109375" style="10" customWidth="1"/>
    <col min="5650" max="5650" width="26.5546875" style="10" customWidth="1"/>
    <col min="5651" max="5652" width="9.109375" style="10"/>
    <col min="5653" max="5654" width="14.5546875" style="10" customWidth="1"/>
    <col min="5655" max="5889" width="9.109375" style="10"/>
    <col min="5890" max="5890" width="10.44140625" style="10" customWidth="1"/>
    <col min="5891" max="5891" width="41" style="10" customWidth="1"/>
    <col min="5892" max="5892" width="0" style="10" hidden="1" customWidth="1"/>
    <col min="5893" max="5893" width="19" style="10" customWidth="1"/>
    <col min="5894" max="5894" width="7.33203125" style="10" customWidth="1"/>
    <col min="5895" max="5895" width="12.44140625" style="10" customWidth="1"/>
    <col min="5896" max="5896" width="9.6640625" style="10" customWidth="1"/>
    <col min="5897" max="5897" width="27.6640625" style="10" customWidth="1"/>
    <col min="5898" max="5898" width="27" style="10" customWidth="1"/>
    <col min="5899" max="5899" width="24.88671875" style="10" customWidth="1"/>
    <col min="5900" max="5900" width="26" style="10" customWidth="1"/>
    <col min="5901" max="5901" width="17.6640625" style="10" customWidth="1"/>
    <col min="5902" max="5902" width="47.88671875" style="10" customWidth="1"/>
    <col min="5903" max="5903" width="22.6640625" style="10" customWidth="1"/>
    <col min="5904" max="5904" width="55.6640625" style="10" customWidth="1"/>
    <col min="5905" max="5905" width="9.109375" style="10" customWidth="1"/>
    <col min="5906" max="5906" width="26.5546875" style="10" customWidth="1"/>
    <col min="5907" max="5908" width="9.109375" style="10"/>
    <col min="5909" max="5910" width="14.5546875" style="10" customWidth="1"/>
    <col min="5911" max="6145" width="9.109375" style="10"/>
    <col min="6146" max="6146" width="10.44140625" style="10" customWidth="1"/>
    <col min="6147" max="6147" width="41" style="10" customWidth="1"/>
    <col min="6148" max="6148" width="0" style="10" hidden="1" customWidth="1"/>
    <col min="6149" max="6149" width="19" style="10" customWidth="1"/>
    <col min="6150" max="6150" width="7.33203125" style="10" customWidth="1"/>
    <col min="6151" max="6151" width="12.44140625" style="10" customWidth="1"/>
    <col min="6152" max="6152" width="9.6640625" style="10" customWidth="1"/>
    <col min="6153" max="6153" width="27.6640625" style="10" customWidth="1"/>
    <col min="6154" max="6154" width="27" style="10" customWidth="1"/>
    <col min="6155" max="6155" width="24.88671875" style="10" customWidth="1"/>
    <col min="6156" max="6156" width="26" style="10" customWidth="1"/>
    <col min="6157" max="6157" width="17.6640625" style="10" customWidth="1"/>
    <col min="6158" max="6158" width="47.88671875" style="10" customWidth="1"/>
    <col min="6159" max="6159" width="22.6640625" style="10" customWidth="1"/>
    <col min="6160" max="6160" width="55.6640625" style="10" customWidth="1"/>
    <col min="6161" max="6161" width="9.109375" style="10" customWidth="1"/>
    <col min="6162" max="6162" width="26.5546875" style="10" customWidth="1"/>
    <col min="6163" max="6164" width="9.109375" style="10"/>
    <col min="6165" max="6166" width="14.5546875" style="10" customWidth="1"/>
    <col min="6167" max="6401" width="9.109375" style="10"/>
    <col min="6402" max="6402" width="10.44140625" style="10" customWidth="1"/>
    <col min="6403" max="6403" width="41" style="10" customWidth="1"/>
    <col min="6404" max="6404" width="0" style="10" hidden="1" customWidth="1"/>
    <col min="6405" max="6405" width="19" style="10" customWidth="1"/>
    <col min="6406" max="6406" width="7.33203125" style="10" customWidth="1"/>
    <col min="6407" max="6407" width="12.44140625" style="10" customWidth="1"/>
    <col min="6408" max="6408" width="9.6640625" style="10" customWidth="1"/>
    <col min="6409" max="6409" width="27.6640625" style="10" customWidth="1"/>
    <col min="6410" max="6410" width="27" style="10" customWidth="1"/>
    <col min="6411" max="6411" width="24.88671875" style="10" customWidth="1"/>
    <col min="6412" max="6412" width="26" style="10" customWidth="1"/>
    <col min="6413" max="6413" width="17.6640625" style="10" customWidth="1"/>
    <col min="6414" max="6414" width="47.88671875" style="10" customWidth="1"/>
    <col min="6415" max="6415" width="22.6640625" style="10" customWidth="1"/>
    <col min="6416" max="6416" width="55.6640625" style="10" customWidth="1"/>
    <col min="6417" max="6417" width="9.109375" style="10" customWidth="1"/>
    <col min="6418" max="6418" width="26.5546875" style="10" customWidth="1"/>
    <col min="6419" max="6420" width="9.109375" style="10"/>
    <col min="6421" max="6422" width="14.5546875" style="10" customWidth="1"/>
    <col min="6423" max="6657" width="9.109375" style="10"/>
    <col min="6658" max="6658" width="10.44140625" style="10" customWidth="1"/>
    <col min="6659" max="6659" width="41" style="10" customWidth="1"/>
    <col min="6660" max="6660" width="0" style="10" hidden="1" customWidth="1"/>
    <col min="6661" max="6661" width="19" style="10" customWidth="1"/>
    <col min="6662" max="6662" width="7.33203125" style="10" customWidth="1"/>
    <col min="6663" max="6663" width="12.44140625" style="10" customWidth="1"/>
    <col min="6664" max="6664" width="9.6640625" style="10" customWidth="1"/>
    <col min="6665" max="6665" width="27.6640625" style="10" customWidth="1"/>
    <col min="6666" max="6666" width="27" style="10" customWidth="1"/>
    <col min="6667" max="6667" width="24.88671875" style="10" customWidth="1"/>
    <col min="6668" max="6668" width="26" style="10" customWidth="1"/>
    <col min="6669" max="6669" width="17.6640625" style="10" customWidth="1"/>
    <col min="6670" max="6670" width="47.88671875" style="10" customWidth="1"/>
    <col min="6671" max="6671" width="22.6640625" style="10" customWidth="1"/>
    <col min="6672" max="6672" width="55.6640625" style="10" customWidth="1"/>
    <col min="6673" max="6673" width="9.109375" style="10" customWidth="1"/>
    <col min="6674" max="6674" width="26.5546875" style="10" customWidth="1"/>
    <col min="6675" max="6676" width="9.109375" style="10"/>
    <col min="6677" max="6678" width="14.5546875" style="10" customWidth="1"/>
    <col min="6679" max="6913" width="9.109375" style="10"/>
    <col min="6914" max="6914" width="10.44140625" style="10" customWidth="1"/>
    <col min="6915" max="6915" width="41" style="10" customWidth="1"/>
    <col min="6916" max="6916" width="0" style="10" hidden="1" customWidth="1"/>
    <col min="6917" max="6917" width="19" style="10" customWidth="1"/>
    <col min="6918" max="6918" width="7.33203125" style="10" customWidth="1"/>
    <col min="6919" max="6919" width="12.44140625" style="10" customWidth="1"/>
    <col min="6920" max="6920" width="9.6640625" style="10" customWidth="1"/>
    <col min="6921" max="6921" width="27.6640625" style="10" customWidth="1"/>
    <col min="6922" max="6922" width="27" style="10" customWidth="1"/>
    <col min="6923" max="6923" width="24.88671875" style="10" customWidth="1"/>
    <col min="6924" max="6924" width="26" style="10" customWidth="1"/>
    <col min="6925" max="6925" width="17.6640625" style="10" customWidth="1"/>
    <col min="6926" max="6926" width="47.88671875" style="10" customWidth="1"/>
    <col min="6927" max="6927" width="22.6640625" style="10" customWidth="1"/>
    <col min="6928" max="6928" width="55.6640625" style="10" customWidth="1"/>
    <col min="6929" max="6929" width="9.109375" style="10" customWidth="1"/>
    <col min="6930" max="6930" width="26.5546875" style="10" customWidth="1"/>
    <col min="6931" max="6932" width="9.109375" style="10"/>
    <col min="6933" max="6934" width="14.5546875" style="10" customWidth="1"/>
    <col min="6935" max="7169" width="9.109375" style="10"/>
    <col min="7170" max="7170" width="10.44140625" style="10" customWidth="1"/>
    <col min="7171" max="7171" width="41" style="10" customWidth="1"/>
    <col min="7172" max="7172" width="0" style="10" hidden="1" customWidth="1"/>
    <col min="7173" max="7173" width="19" style="10" customWidth="1"/>
    <col min="7174" max="7174" width="7.33203125" style="10" customWidth="1"/>
    <col min="7175" max="7175" width="12.44140625" style="10" customWidth="1"/>
    <col min="7176" max="7176" width="9.6640625" style="10" customWidth="1"/>
    <col min="7177" max="7177" width="27.6640625" style="10" customWidth="1"/>
    <col min="7178" max="7178" width="27" style="10" customWidth="1"/>
    <col min="7179" max="7179" width="24.88671875" style="10" customWidth="1"/>
    <col min="7180" max="7180" width="26" style="10" customWidth="1"/>
    <col min="7181" max="7181" width="17.6640625" style="10" customWidth="1"/>
    <col min="7182" max="7182" width="47.88671875" style="10" customWidth="1"/>
    <col min="7183" max="7183" width="22.6640625" style="10" customWidth="1"/>
    <col min="7184" max="7184" width="55.6640625" style="10" customWidth="1"/>
    <col min="7185" max="7185" width="9.109375" style="10" customWidth="1"/>
    <col min="7186" max="7186" width="26.5546875" style="10" customWidth="1"/>
    <col min="7187" max="7188" width="9.109375" style="10"/>
    <col min="7189" max="7190" width="14.5546875" style="10" customWidth="1"/>
    <col min="7191" max="7425" width="9.109375" style="10"/>
    <col min="7426" max="7426" width="10.44140625" style="10" customWidth="1"/>
    <col min="7427" max="7427" width="41" style="10" customWidth="1"/>
    <col min="7428" max="7428" width="0" style="10" hidden="1" customWidth="1"/>
    <col min="7429" max="7429" width="19" style="10" customWidth="1"/>
    <col min="7430" max="7430" width="7.33203125" style="10" customWidth="1"/>
    <col min="7431" max="7431" width="12.44140625" style="10" customWidth="1"/>
    <col min="7432" max="7432" width="9.6640625" style="10" customWidth="1"/>
    <col min="7433" max="7433" width="27.6640625" style="10" customWidth="1"/>
    <col min="7434" max="7434" width="27" style="10" customWidth="1"/>
    <col min="7435" max="7435" width="24.88671875" style="10" customWidth="1"/>
    <col min="7436" max="7436" width="26" style="10" customWidth="1"/>
    <col min="7437" max="7437" width="17.6640625" style="10" customWidth="1"/>
    <col min="7438" max="7438" width="47.88671875" style="10" customWidth="1"/>
    <col min="7439" max="7439" width="22.6640625" style="10" customWidth="1"/>
    <col min="7440" max="7440" width="55.6640625" style="10" customWidth="1"/>
    <col min="7441" max="7441" width="9.109375" style="10" customWidth="1"/>
    <col min="7442" max="7442" width="26.5546875" style="10" customWidth="1"/>
    <col min="7443" max="7444" width="9.109375" style="10"/>
    <col min="7445" max="7446" width="14.5546875" style="10" customWidth="1"/>
    <col min="7447" max="7681" width="9.109375" style="10"/>
    <col min="7682" max="7682" width="10.44140625" style="10" customWidth="1"/>
    <col min="7683" max="7683" width="41" style="10" customWidth="1"/>
    <col min="7684" max="7684" width="0" style="10" hidden="1" customWidth="1"/>
    <col min="7685" max="7685" width="19" style="10" customWidth="1"/>
    <col min="7686" max="7686" width="7.33203125" style="10" customWidth="1"/>
    <col min="7687" max="7687" width="12.44140625" style="10" customWidth="1"/>
    <col min="7688" max="7688" width="9.6640625" style="10" customWidth="1"/>
    <col min="7689" max="7689" width="27.6640625" style="10" customWidth="1"/>
    <col min="7690" max="7690" width="27" style="10" customWidth="1"/>
    <col min="7691" max="7691" width="24.88671875" style="10" customWidth="1"/>
    <col min="7692" max="7692" width="26" style="10" customWidth="1"/>
    <col min="7693" max="7693" width="17.6640625" style="10" customWidth="1"/>
    <col min="7694" max="7694" width="47.88671875" style="10" customWidth="1"/>
    <col min="7695" max="7695" width="22.6640625" style="10" customWidth="1"/>
    <col min="7696" max="7696" width="55.6640625" style="10" customWidth="1"/>
    <col min="7697" max="7697" width="9.109375" style="10" customWidth="1"/>
    <col min="7698" max="7698" width="26.5546875" style="10" customWidth="1"/>
    <col min="7699" max="7700" width="9.109375" style="10"/>
    <col min="7701" max="7702" width="14.5546875" style="10" customWidth="1"/>
    <col min="7703" max="7937" width="9.109375" style="10"/>
    <col min="7938" max="7938" width="10.44140625" style="10" customWidth="1"/>
    <col min="7939" max="7939" width="41" style="10" customWidth="1"/>
    <col min="7940" max="7940" width="0" style="10" hidden="1" customWidth="1"/>
    <col min="7941" max="7941" width="19" style="10" customWidth="1"/>
    <col min="7942" max="7942" width="7.33203125" style="10" customWidth="1"/>
    <col min="7943" max="7943" width="12.44140625" style="10" customWidth="1"/>
    <col min="7944" max="7944" width="9.6640625" style="10" customWidth="1"/>
    <col min="7945" max="7945" width="27.6640625" style="10" customWidth="1"/>
    <col min="7946" max="7946" width="27" style="10" customWidth="1"/>
    <col min="7947" max="7947" width="24.88671875" style="10" customWidth="1"/>
    <col min="7948" max="7948" width="26" style="10" customWidth="1"/>
    <col min="7949" max="7949" width="17.6640625" style="10" customWidth="1"/>
    <col min="7950" max="7950" width="47.88671875" style="10" customWidth="1"/>
    <col min="7951" max="7951" width="22.6640625" style="10" customWidth="1"/>
    <col min="7952" max="7952" width="55.6640625" style="10" customWidth="1"/>
    <col min="7953" max="7953" width="9.109375" style="10" customWidth="1"/>
    <col min="7954" max="7954" width="26.5546875" style="10" customWidth="1"/>
    <col min="7955" max="7956" width="9.109375" style="10"/>
    <col min="7957" max="7958" width="14.5546875" style="10" customWidth="1"/>
    <col min="7959" max="8193" width="9.109375" style="10"/>
    <col min="8194" max="8194" width="10.44140625" style="10" customWidth="1"/>
    <col min="8195" max="8195" width="41" style="10" customWidth="1"/>
    <col min="8196" max="8196" width="0" style="10" hidden="1" customWidth="1"/>
    <col min="8197" max="8197" width="19" style="10" customWidth="1"/>
    <col min="8198" max="8198" width="7.33203125" style="10" customWidth="1"/>
    <col min="8199" max="8199" width="12.44140625" style="10" customWidth="1"/>
    <col min="8200" max="8200" width="9.6640625" style="10" customWidth="1"/>
    <col min="8201" max="8201" width="27.6640625" style="10" customWidth="1"/>
    <col min="8202" max="8202" width="27" style="10" customWidth="1"/>
    <col min="8203" max="8203" width="24.88671875" style="10" customWidth="1"/>
    <col min="8204" max="8204" width="26" style="10" customWidth="1"/>
    <col min="8205" max="8205" width="17.6640625" style="10" customWidth="1"/>
    <col min="8206" max="8206" width="47.88671875" style="10" customWidth="1"/>
    <col min="8207" max="8207" width="22.6640625" style="10" customWidth="1"/>
    <col min="8208" max="8208" width="55.6640625" style="10" customWidth="1"/>
    <col min="8209" max="8209" width="9.109375" style="10" customWidth="1"/>
    <col min="8210" max="8210" width="26.5546875" style="10" customWidth="1"/>
    <col min="8211" max="8212" width="9.109375" style="10"/>
    <col min="8213" max="8214" width="14.5546875" style="10" customWidth="1"/>
    <col min="8215" max="8449" width="9.109375" style="10"/>
    <col min="8450" max="8450" width="10.44140625" style="10" customWidth="1"/>
    <col min="8451" max="8451" width="41" style="10" customWidth="1"/>
    <col min="8452" max="8452" width="0" style="10" hidden="1" customWidth="1"/>
    <col min="8453" max="8453" width="19" style="10" customWidth="1"/>
    <col min="8454" max="8454" width="7.33203125" style="10" customWidth="1"/>
    <col min="8455" max="8455" width="12.44140625" style="10" customWidth="1"/>
    <col min="8456" max="8456" width="9.6640625" style="10" customWidth="1"/>
    <col min="8457" max="8457" width="27.6640625" style="10" customWidth="1"/>
    <col min="8458" max="8458" width="27" style="10" customWidth="1"/>
    <col min="8459" max="8459" width="24.88671875" style="10" customWidth="1"/>
    <col min="8460" max="8460" width="26" style="10" customWidth="1"/>
    <col min="8461" max="8461" width="17.6640625" style="10" customWidth="1"/>
    <col min="8462" max="8462" width="47.88671875" style="10" customWidth="1"/>
    <col min="8463" max="8463" width="22.6640625" style="10" customWidth="1"/>
    <col min="8464" max="8464" width="55.6640625" style="10" customWidth="1"/>
    <col min="8465" max="8465" width="9.109375" style="10" customWidth="1"/>
    <col min="8466" max="8466" width="26.5546875" style="10" customWidth="1"/>
    <col min="8467" max="8468" width="9.109375" style="10"/>
    <col min="8469" max="8470" width="14.5546875" style="10" customWidth="1"/>
    <col min="8471" max="8705" width="9.109375" style="10"/>
    <col min="8706" max="8706" width="10.44140625" style="10" customWidth="1"/>
    <col min="8707" max="8707" width="41" style="10" customWidth="1"/>
    <col min="8708" max="8708" width="0" style="10" hidden="1" customWidth="1"/>
    <col min="8709" max="8709" width="19" style="10" customWidth="1"/>
    <col min="8710" max="8710" width="7.33203125" style="10" customWidth="1"/>
    <col min="8711" max="8711" width="12.44140625" style="10" customWidth="1"/>
    <col min="8712" max="8712" width="9.6640625" style="10" customWidth="1"/>
    <col min="8713" max="8713" width="27.6640625" style="10" customWidth="1"/>
    <col min="8714" max="8714" width="27" style="10" customWidth="1"/>
    <col min="8715" max="8715" width="24.88671875" style="10" customWidth="1"/>
    <col min="8716" max="8716" width="26" style="10" customWidth="1"/>
    <col min="8717" max="8717" width="17.6640625" style="10" customWidth="1"/>
    <col min="8718" max="8718" width="47.88671875" style="10" customWidth="1"/>
    <col min="8719" max="8719" width="22.6640625" style="10" customWidth="1"/>
    <col min="8720" max="8720" width="55.6640625" style="10" customWidth="1"/>
    <col min="8721" max="8721" width="9.109375" style="10" customWidth="1"/>
    <col min="8722" max="8722" width="26.5546875" style="10" customWidth="1"/>
    <col min="8723" max="8724" width="9.109375" style="10"/>
    <col min="8725" max="8726" width="14.5546875" style="10" customWidth="1"/>
    <col min="8727" max="8961" width="9.109375" style="10"/>
    <col min="8962" max="8962" width="10.44140625" style="10" customWidth="1"/>
    <col min="8963" max="8963" width="41" style="10" customWidth="1"/>
    <col min="8964" max="8964" width="0" style="10" hidden="1" customWidth="1"/>
    <col min="8965" max="8965" width="19" style="10" customWidth="1"/>
    <col min="8966" max="8966" width="7.33203125" style="10" customWidth="1"/>
    <col min="8967" max="8967" width="12.44140625" style="10" customWidth="1"/>
    <col min="8968" max="8968" width="9.6640625" style="10" customWidth="1"/>
    <col min="8969" max="8969" width="27.6640625" style="10" customWidth="1"/>
    <col min="8970" max="8970" width="27" style="10" customWidth="1"/>
    <col min="8971" max="8971" width="24.88671875" style="10" customWidth="1"/>
    <col min="8972" max="8972" width="26" style="10" customWidth="1"/>
    <col min="8973" max="8973" width="17.6640625" style="10" customWidth="1"/>
    <col min="8974" max="8974" width="47.88671875" style="10" customWidth="1"/>
    <col min="8975" max="8975" width="22.6640625" style="10" customWidth="1"/>
    <col min="8976" max="8976" width="55.6640625" style="10" customWidth="1"/>
    <col min="8977" max="8977" width="9.109375" style="10" customWidth="1"/>
    <col min="8978" max="8978" width="26.5546875" style="10" customWidth="1"/>
    <col min="8979" max="8980" width="9.109375" style="10"/>
    <col min="8981" max="8982" width="14.5546875" style="10" customWidth="1"/>
    <col min="8983" max="9217" width="9.109375" style="10"/>
    <col min="9218" max="9218" width="10.44140625" style="10" customWidth="1"/>
    <col min="9219" max="9219" width="41" style="10" customWidth="1"/>
    <col min="9220" max="9220" width="0" style="10" hidden="1" customWidth="1"/>
    <col min="9221" max="9221" width="19" style="10" customWidth="1"/>
    <col min="9222" max="9222" width="7.33203125" style="10" customWidth="1"/>
    <col min="9223" max="9223" width="12.44140625" style="10" customWidth="1"/>
    <col min="9224" max="9224" width="9.6640625" style="10" customWidth="1"/>
    <col min="9225" max="9225" width="27.6640625" style="10" customWidth="1"/>
    <col min="9226" max="9226" width="27" style="10" customWidth="1"/>
    <col min="9227" max="9227" width="24.88671875" style="10" customWidth="1"/>
    <col min="9228" max="9228" width="26" style="10" customWidth="1"/>
    <col min="9229" max="9229" width="17.6640625" style="10" customWidth="1"/>
    <col min="9230" max="9230" width="47.88671875" style="10" customWidth="1"/>
    <col min="9231" max="9231" width="22.6640625" style="10" customWidth="1"/>
    <col min="9232" max="9232" width="55.6640625" style="10" customWidth="1"/>
    <col min="9233" max="9233" width="9.109375" style="10" customWidth="1"/>
    <col min="9234" max="9234" width="26.5546875" style="10" customWidth="1"/>
    <col min="9235" max="9236" width="9.109375" style="10"/>
    <col min="9237" max="9238" width="14.5546875" style="10" customWidth="1"/>
    <col min="9239" max="9473" width="9.109375" style="10"/>
    <col min="9474" max="9474" width="10.44140625" style="10" customWidth="1"/>
    <col min="9475" max="9475" width="41" style="10" customWidth="1"/>
    <col min="9476" max="9476" width="0" style="10" hidden="1" customWidth="1"/>
    <col min="9477" max="9477" width="19" style="10" customWidth="1"/>
    <col min="9478" max="9478" width="7.33203125" style="10" customWidth="1"/>
    <col min="9479" max="9479" width="12.44140625" style="10" customWidth="1"/>
    <col min="9480" max="9480" width="9.6640625" style="10" customWidth="1"/>
    <col min="9481" max="9481" width="27.6640625" style="10" customWidth="1"/>
    <col min="9482" max="9482" width="27" style="10" customWidth="1"/>
    <col min="9483" max="9483" width="24.88671875" style="10" customWidth="1"/>
    <col min="9484" max="9484" width="26" style="10" customWidth="1"/>
    <col min="9485" max="9485" width="17.6640625" style="10" customWidth="1"/>
    <col min="9486" max="9486" width="47.88671875" style="10" customWidth="1"/>
    <col min="9487" max="9487" width="22.6640625" style="10" customWidth="1"/>
    <col min="9488" max="9488" width="55.6640625" style="10" customWidth="1"/>
    <col min="9489" max="9489" width="9.109375" style="10" customWidth="1"/>
    <col min="9490" max="9490" width="26.5546875" style="10" customWidth="1"/>
    <col min="9491" max="9492" width="9.109375" style="10"/>
    <col min="9493" max="9494" width="14.5546875" style="10" customWidth="1"/>
    <col min="9495" max="9729" width="9.109375" style="10"/>
    <col min="9730" max="9730" width="10.44140625" style="10" customWidth="1"/>
    <col min="9731" max="9731" width="41" style="10" customWidth="1"/>
    <col min="9732" max="9732" width="0" style="10" hidden="1" customWidth="1"/>
    <col min="9733" max="9733" width="19" style="10" customWidth="1"/>
    <col min="9734" max="9734" width="7.33203125" style="10" customWidth="1"/>
    <col min="9735" max="9735" width="12.44140625" style="10" customWidth="1"/>
    <col min="9736" max="9736" width="9.6640625" style="10" customWidth="1"/>
    <col min="9737" max="9737" width="27.6640625" style="10" customWidth="1"/>
    <col min="9738" max="9738" width="27" style="10" customWidth="1"/>
    <col min="9739" max="9739" width="24.88671875" style="10" customWidth="1"/>
    <col min="9740" max="9740" width="26" style="10" customWidth="1"/>
    <col min="9741" max="9741" width="17.6640625" style="10" customWidth="1"/>
    <col min="9742" max="9742" width="47.88671875" style="10" customWidth="1"/>
    <col min="9743" max="9743" width="22.6640625" style="10" customWidth="1"/>
    <col min="9744" max="9744" width="55.6640625" style="10" customWidth="1"/>
    <col min="9745" max="9745" width="9.109375" style="10" customWidth="1"/>
    <col min="9746" max="9746" width="26.5546875" style="10" customWidth="1"/>
    <col min="9747" max="9748" width="9.109375" style="10"/>
    <col min="9749" max="9750" width="14.5546875" style="10" customWidth="1"/>
    <col min="9751" max="9985" width="9.109375" style="10"/>
    <col min="9986" max="9986" width="10.44140625" style="10" customWidth="1"/>
    <col min="9987" max="9987" width="41" style="10" customWidth="1"/>
    <col min="9988" max="9988" width="0" style="10" hidden="1" customWidth="1"/>
    <col min="9989" max="9989" width="19" style="10" customWidth="1"/>
    <col min="9990" max="9990" width="7.33203125" style="10" customWidth="1"/>
    <col min="9991" max="9991" width="12.44140625" style="10" customWidth="1"/>
    <col min="9992" max="9992" width="9.6640625" style="10" customWidth="1"/>
    <col min="9993" max="9993" width="27.6640625" style="10" customWidth="1"/>
    <col min="9994" max="9994" width="27" style="10" customWidth="1"/>
    <col min="9995" max="9995" width="24.88671875" style="10" customWidth="1"/>
    <col min="9996" max="9996" width="26" style="10" customWidth="1"/>
    <col min="9997" max="9997" width="17.6640625" style="10" customWidth="1"/>
    <col min="9998" max="9998" width="47.88671875" style="10" customWidth="1"/>
    <col min="9999" max="9999" width="22.6640625" style="10" customWidth="1"/>
    <col min="10000" max="10000" width="55.6640625" style="10" customWidth="1"/>
    <col min="10001" max="10001" width="9.109375" style="10" customWidth="1"/>
    <col min="10002" max="10002" width="26.5546875" style="10" customWidth="1"/>
    <col min="10003" max="10004" width="9.109375" style="10"/>
    <col min="10005" max="10006" width="14.5546875" style="10" customWidth="1"/>
    <col min="10007" max="10241" width="9.109375" style="10"/>
    <col min="10242" max="10242" width="10.44140625" style="10" customWidth="1"/>
    <col min="10243" max="10243" width="41" style="10" customWidth="1"/>
    <col min="10244" max="10244" width="0" style="10" hidden="1" customWidth="1"/>
    <col min="10245" max="10245" width="19" style="10" customWidth="1"/>
    <col min="10246" max="10246" width="7.33203125" style="10" customWidth="1"/>
    <col min="10247" max="10247" width="12.44140625" style="10" customWidth="1"/>
    <col min="10248" max="10248" width="9.6640625" style="10" customWidth="1"/>
    <col min="10249" max="10249" width="27.6640625" style="10" customWidth="1"/>
    <col min="10250" max="10250" width="27" style="10" customWidth="1"/>
    <col min="10251" max="10251" width="24.88671875" style="10" customWidth="1"/>
    <col min="10252" max="10252" width="26" style="10" customWidth="1"/>
    <col min="10253" max="10253" width="17.6640625" style="10" customWidth="1"/>
    <col min="10254" max="10254" width="47.88671875" style="10" customWidth="1"/>
    <col min="10255" max="10255" width="22.6640625" style="10" customWidth="1"/>
    <col min="10256" max="10256" width="55.6640625" style="10" customWidth="1"/>
    <col min="10257" max="10257" width="9.109375" style="10" customWidth="1"/>
    <col min="10258" max="10258" width="26.5546875" style="10" customWidth="1"/>
    <col min="10259" max="10260" width="9.109375" style="10"/>
    <col min="10261" max="10262" width="14.5546875" style="10" customWidth="1"/>
    <col min="10263" max="10497" width="9.109375" style="10"/>
    <col min="10498" max="10498" width="10.44140625" style="10" customWidth="1"/>
    <col min="10499" max="10499" width="41" style="10" customWidth="1"/>
    <col min="10500" max="10500" width="0" style="10" hidden="1" customWidth="1"/>
    <col min="10501" max="10501" width="19" style="10" customWidth="1"/>
    <col min="10502" max="10502" width="7.33203125" style="10" customWidth="1"/>
    <col min="10503" max="10503" width="12.44140625" style="10" customWidth="1"/>
    <col min="10504" max="10504" width="9.6640625" style="10" customWidth="1"/>
    <col min="10505" max="10505" width="27.6640625" style="10" customWidth="1"/>
    <col min="10506" max="10506" width="27" style="10" customWidth="1"/>
    <col min="10507" max="10507" width="24.88671875" style="10" customWidth="1"/>
    <col min="10508" max="10508" width="26" style="10" customWidth="1"/>
    <col min="10509" max="10509" width="17.6640625" style="10" customWidth="1"/>
    <col min="10510" max="10510" width="47.88671875" style="10" customWidth="1"/>
    <col min="10511" max="10511" width="22.6640625" style="10" customWidth="1"/>
    <col min="10512" max="10512" width="55.6640625" style="10" customWidth="1"/>
    <col min="10513" max="10513" width="9.109375" style="10" customWidth="1"/>
    <col min="10514" max="10514" width="26.5546875" style="10" customWidth="1"/>
    <col min="10515" max="10516" width="9.109375" style="10"/>
    <col min="10517" max="10518" width="14.5546875" style="10" customWidth="1"/>
    <col min="10519" max="10753" width="9.109375" style="10"/>
    <col min="10754" max="10754" width="10.44140625" style="10" customWidth="1"/>
    <col min="10755" max="10755" width="41" style="10" customWidth="1"/>
    <col min="10756" max="10756" width="0" style="10" hidden="1" customWidth="1"/>
    <col min="10757" max="10757" width="19" style="10" customWidth="1"/>
    <col min="10758" max="10758" width="7.33203125" style="10" customWidth="1"/>
    <col min="10759" max="10759" width="12.44140625" style="10" customWidth="1"/>
    <col min="10760" max="10760" width="9.6640625" style="10" customWidth="1"/>
    <col min="10761" max="10761" width="27.6640625" style="10" customWidth="1"/>
    <col min="10762" max="10762" width="27" style="10" customWidth="1"/>
    <col min="10763" max="10763" width="24.88671875" style="10" customWidth="1"/>
    <col min="10764" max="10764" width="26" style="10" customWidth="1"/>
    <col min="10765" max="10765" width="17.6640625" style="10" customWidth="1"/>
    <col min="10766" max="10766" width="47.88671875" style="10" customWidth="1"/>
    <col min="10767" max="10767" width="22.6640625" style="10" customWidth="1"/>
    <col min="10768" max="10768" width="55.6640625" style="10" customWidth="1"/>
    <col min="10769" max="10769" width="9.109375" style="10" customWidth="1"/>
    <col min="10770" max="10770" width="26.5546875" style="10" customWidth="1"/>
    <col min="10771" max="10772" width="9.109375" style="10"/>
    <col min="10773" max="10774" width="14.5546875" style="10" customWidth="1"/>
    <col min="10775" max="11009" width="9.109375" style="10"/>
    <col min="11010" max="11010" width="10.44140625" style="10" customWidth="1"/>
    <col min="11011" max="11011" width="41" style="10" customWidth="1"/>
    <col min="11012" max="11012" width="0" style="10" hidden="1" customWidth="1"/>
    <col min="11013" max="11013" width="19" style="10" customWidth="1"/>
    <col min="11014" max="11014" width="7.33203125" style="10" customWidth="1"/>
    <col min="11015" max="11015" width="12.44140625" style="10" customWidth="1"/>
    <col min="11016" max="11016" width="9.6640625" style="10" customWidth="1"/>
    <col min="11017" max="11017" width="27.6640625" style="10" customWidth="1"/>
    <col min="11018" max="11018" width="27" style="10" customWidth="1"/>
    <col min="11019" max="11019" width="24.88671875" style="10" customWidth="1"/>
    <col min="11020" max="11020" width="26" style="10" customWidth="1"/>
    <col min="11021" max="11021" width="17.6640625" style="10" customWidth="1"/>
    <col min="11022" max="11022" width="47.88671875" style="10" customWidth="1"/>
    <col min="11023" max="11023" width="22.6640625" style="10" customWidth="1"/>
    <col min="11024" max="11024" width="55.6640625" style="10" customWidth="1"/>
    <col min="11025" max="11025" width="9.109375" style="10" customWidth="1"/>
    <col min="11026" max="11026" width="26.5546875" style="10" customWidth="1"/>
    <col min="11027" max="11028" width="9.109375" style="10"/>
    <col min="11029" max="11030" width="14.5546875" style="10" customWidth="1"/>
    <col min="11031" max="11265" width="9.109375" style="10"/>
    <col min="11266" max="11266" width="10.44140625" style="10" customWidth="1"/>
    <col min="11267" max="11267" width="41" style="10" customWidth="1"/>
    <col min="11268" max="11268" width="0" style="10" hidden="1" customWidth="1"/>
    <col min="11269" max="11269" width="19" style="10" customWidth="1"/>
    <col min="11270" max="11270" width="7.33203125" style="10" customWidth="1"/>
    <col min="11271" max="11271" width="12.44140625" style="10" customWidth="1"/>
    <col min="11272" max="11272" width="9.6640625" style="10" customWidth="1"/>
    <col min="11273" max="11273" width="27.6640625" style="10" customWidth="1"/>
    <col min="11274" max="11274" width="27" style="10" customWidth="1"/>
    <col min="11275" max="11275" width="24.88671875" style="10" customWidth="1"/>
    <col min="11276" max="11276" width="26" style="10" customWidth="1"/>
    <col min="11277" max="11277" width="17.6640625" style="10" customWidth="1"/>
    <col min="11278" max="11278" width="47.88671875" style="10" customWidth="1"/>
    <col min="11279" max="11279" width="22.6640625" style="10" customWidth="1"/>
    <col min="11280" max="11280" width="55.6640625" style="10" customWidth="1"/>
    <col min="11281" max="11281" width="9.109375" style="10" customWidth="1"/>
    <col min="11282" max="11282" width="26.5546875" style="10" customWidth="1"/>
    <col min="11283" max="11284" width="9.109375" style="10"/>
    <col min="11285" max="11286" width="14.5546875" style="10" customWidth="1"/>
    <col min="11287" max="11521" width="9.109375" style="10"/>
    <col min="11522" max="11522" width="10.44140625" style="10" customWidth="1"/>
    <col min="11523" max="11523" width="41" style="10" customWidth="1"/>
    <col min="11524" max="11524" width="0" style="10" hidden="1" customWidth="1"/>
    <col min="11525" max="11525" width="19" style="10" customWidth="1"/>
    <col min="11526" max="11526" width="7.33203125" style="10" customWidth="1"/>
    <col min="11527" max="11527" width="12.44140625" style="10" customWidth="1"/>
    <col min="11528" max="11528" width="9.6640625" style="10" customWidth="1"/>
    <col min="11529" max="11529" width="27.6640625" style="10" customWidth="1"/>
    <col min="11530" max="11530" width="27" style="10" customWidth="1"/>
    <col min="11531" max="11531" width="24.88671875" style="10" customWidth="1"/>
    <col min="11532" max="11532" width="26" style="10" customWidth="1"/>
    <col min="11533" max="11533" width="17.6640625" style="10" customWidth="1"/>
    <col min="11534" max="11534" width="47.88671875" style="10" customWidth="1"/>
    <col min="11535" max="11535" width="22.6640625" style="10" customWidth="1"/>
    <col min="11536" max="11536" width="55.6640625" style="10" customWidth="1"/>
    <col min="11537" max="11537" width="9.109375" style="10" customWidth="1"/>
    <col min="11538" max="11538" width="26.5546875" style="10" customWidth="1"/>
    <col min="11539" max="11540" width="9.109375" style="10"/>
    <col min="11541" max="11542" width="14.5546875" style="10" customWidth="1"/>
    <col min="11543" max="11777" width="9.109375" style="10"/>
    <col min="11778" max="11778" width="10.44140625" style="10" customWidth="1"/>
    <col min="11779" max="11779" width="41" style="10" customWidth="1"/>
    <col min="11780" max="11780" width="0" style="10" hidden="1" customWidth="1"/>
    <col min="11781" max="11781" width="19" style="10" customWidth="1"/>
    <col min="11782" max="11782" width="7.33203125" style="10" customWidth="1"/>
    <col min="11783" max="11783" width="12.44140625" style="10" customWidth="1"/>
    <col min="11784" max="11784" width="9.6640625" style="10" customWidth="1"/>
    <col min="11785" max="11785" width="27.6640625" style="10" customWidth="1"/>
    <col min="11786" max="11786" width="27" style="10" customWidth="1"/>
    <col min="11787" max="11787" width="24.88671875" style="10" customWidth="1"/>
    <col min="11788" max="11788" width="26" style="10" customWidth="1"/>
    <col min="11789" max="11789" width="17.6640625" style="10" customWidth="1"/>
    <col min="11790" max="11790" width="47.88671875" style="10" customWidth="1"/>
    <col min="11791" max="11791" width="22.6640625" style="10" customWidth="1"/>
    <col min="11792" max="11792" width="55.6640625" style="10" customWidth="1"/>
    <col min="11793" max="11793" width="9.109375" style="10" customWidth="1"/>
    <col min="11794" max="11794" width="26.5546875" style="10" customWidth="1"/>
    <col min="11795" max="11796" width="9.109375" style="10"/>
    <col min="11797" max="11798" width="14.5546875" style="10" customWidth="1"/>
    <col min="11799" max="12033" width="9.109375" style="10"/>
    <col min="12034" max="12034" width="10.44140625" style="10" customWidth="1"/>
    <col min="12035" max="12035" width="41" style="10" customWidth="1"/>
    <col min="12036" max="12036" width="0" style="10" hidden="1" customWidth="1"/>
    <col min="12037" max="12037" width="19" style="10" customWidth="1"/>
    <col min="12038" max="12038" width="7.33203125" style="10" customWidth="1"/>
    <col min="12039" max="12039" width="12.44140625" style="10" customWidth="1"/>
    <col min="12040" max="12040" width="9.6640625" style="10" customWidth="1"/>
    <col min="12041" max="12041" width="27.6640625" style="10" customWidth="1"/>
    <col min="12042" max="12042" width="27" style="10" customWidth="1"/>
    <col min="12043" max="12043" width="24.88671875" style="10" customWidth="1"/>
    <col min="12044" max="12044" width="26" style="10" customWidth="1"/>
    <col min="12045" max="12045" width="17.6640625" style="10" customWidth="1"/>
    <col min="12046" max="12046" width="47.88671875" style="10" customWidth="1"/>
    <col min="12047" max="12047" width="22.6640625" style="10" customWidth="1"/>
    <col min="12048" max="12048" width="55.6640625" style="10" customWidth="1"/>
    <col min="12049" max="12049" width="9.109375" style="10" customWidth="1"/>
    <col min="12050" max="12050" width="26.5546875" style="10" customWidth="1"/>
    <col min="12051" max="12052" width="9.109375" style="10"/>
    <col min="12053" max="12054" width="14.5546875" style="10" customWidth="1"/>
    <col min="12055" max="12289" width="9.109375" style="10"/>
    <col min="12290" max="12290" width="10.44140625" style="10" customWidth="1"/>
    <col min="12291" max="12291" width="41" style="10" customWidth="1"/>
    <col min="12292" max="12292" width="0" style="10" hidden="1" customWidth="1"/>
    <col min="12293" max="12293" width="19" style="10" customWidth="1"/>
    <col min="12294" max="12294" width="7.33203125" style="10" customWidth="1"/>
    <col min="12295" max="12295" width="12.44140625" style="10" customWidth="1"/>
    <col min="12296" max="12296" width="9.6640625" style="10" customWidth="1"/>
    <col min="12297" max="12297" width="27.6640625" style="10" customWidth="1"/>
    <col min="12298" max="12298" width="27" style="10" customWidth="1"/>
    <col min="12299" max="12299" width="24.88671875" style="10" customWidth="1"/>
    <col min="12300" max="12300" width="26" style="10" customWidth="1"/>
    <col min="12301" max="12301" width="17.6640625" style="10" customWidth="1"/>
    <col min="12302" max="12302" width="47.88671875" style="10" customWidth="1"/>
    <col min="12303" max="12303" width="22.6640625" style="10" customWidth="1"/>
    <col min="12304" max="12304" width="55.6640625" style="10" customWidth="1"/>
    <col min="12305" max="12305" width="9.109375" style="10" customWidth="1"/>
    <col min="12306" max="12306" width="26.5546875" style="10" customWidth="1"/>
    <col min="12307" max="12308" width="9.109375" style="10"/>
    <col min="12309" max="12310" width="14.5546875" style="10" customWidth="1"/>
    <col min="12311" max="12545" width="9.109375" style="10"/>
    <col min="12546" max="12546" width="10.44140625" style="10" customWidth="1"/>
    <col min="12547" max="12547" width="41" style="10" customWidth="1"/>
    <col min="12548" max="12548" width="0" style="10" hidden="1" customWidth="1"/>
    <col min="12549" max="12549" width="19" style="10" customWidth="1"/>
    <col min="12550" max="12550" width="7.33203125" style="10" customWidth="1"/>
    <col min="12551" max="12551" width="12.44140625" style="10" customWidth="1"/>
    <col min="12552" max="12552" width="9.6640625" style="10" customWidth="1"/>
    <col min="12553" max="12553" width="27.6640625" style="10" customWidth="1"/>
    <col min="12554" max="12554" width="27" style="10" customWidth="1"/>
    <col min="12555" max="12555" width="24.88671875" style="10" customWidth="1"/>
    <col min="12556" max="12556" width="26" style="10" customWidth="1"/>
    <col min="12557" max="12557" width="17.6640625" style="10" customWidth="1"/>
    <col min="12558" max="12558" width="47.88671875" style="10" customWidth="1"/>
    <col min="12559" max="12559" width="22.6640625" style="10" customWidth="1"/>
    <col min="12560" max="12560" width="55.6640625" style="10" customWidth="1"/>
    <col min="12561" max="12561" width="9.109375" style="10" customWidth="1"/>
    <col min="12562" max="12562" width="26.5546875" style="10" customWidth="1"/>
    <col min="12563" max="12564" width="9.109375" style="10"/>
    <col min="12565" max="12566" width="14.5546875" style="10" customWidth="1"/>
    <col min="12567" max="12801" width="9.109375" style="10"/>
    <col min="12802" max="12802" width="10.44140625" style="10" customWidth="1"/>
    <col min="12803" max="12803" width="41" style="10" customWidth="1"/>
    <col min="12804" max="12804" width="0" style="10" hidden="1" customWidth="1"/>
    <col min="12805" max="12805" width="19" style="10" customWidth="1"/>
    <col min="12806" max="12806" width="7.33203125" style="10" customWidth="1"/>
    <col min="12807" max="12807" width="12.44140625" style="10" customWidth="1"/>
    <col min="12808" max="12808" width="9.6640625" style="10" customWidth="1"/>
    <col min="12809" max="12809" width="27.6640625" style="10" customWidth="1"/>
    <col min="12810" max="12810" width="27" style="10" customWidth="1"/>
    <col min="12811" max="12811" width="24.88671875" style="10" customWidth="1"/>
    <col min="12812" max="12812" width="26" style="10" customWidth="1"/>
    <col min="12813" max="12813" width="17.6640625" style="10" customWidth="1"/>
    <col min="12814" max="12814" width="47.88671875" style="10" customWidth="1"/>
    <col min="12815" max="12815" width="22.6640625" style="10" customWidth="1"/>
    <col min="12816" max="12816" width="55.6640625" style="10" customWidth="1"/>
    <col min="12817" max="12817" width="9.109375" style="10" customWidth="1"/>
    <col min="12818" max="12818" width="26.5546875" style="10" customWidth="1"/>
    <col min="12819" max="12820" width="9.109375" style="10"/>
    <col min="12821" max="12822" width="14.5546875" style="10" customWidth="1"/>
    <col min="12823" max="13057" width="9.109375" style="10"/>
    <col min="13058" max="13058" width="10.44140625" style="10" customWidth="1"/>
    <col min="13059" max="13059" width="41" style="10" customWidth="1"/>
    <col min="13060" max="13060" width="0" style="10" hidden="1" customWidth="1"/>
    <col min="13061" max="13061" width="19" style="10" customWidth="1"/>
    <col min="13062" max="13062" width="7.33203125" style="10" customWidth="1"/>
    <col min="13063" max="13063" width="12.44140625" style="10" customWidth="1"/>
    <col min="13064" max="13064" width="9.6640625" style="10" customWidth="1"/>
    <col min="13065" max="13065" width="27.6640625" style="10" customWidth="1"/>
    <col min="13066" max="13066" width="27" style="10" customWidth="1"/>
    <col min="13067" max="13067" width="24.88671875" style="10" customWidth="1"/>
    <col min="13068" max="13068" width="26" style="10" customWidth="1"/>
    <col min="13069" max="13069" width="17.6640625" style="10" customWidth="1"/>
    <col min="13070" max="13070" width="47.88671875" style="10" customWidth="1"/>
    <col min="13071" max="13071" width="22.6640625" style="10" customWidth="1"/>
    <col min="13072" max="13072" width="55.6640625" style="10" customWidth="1"/>
    <col min="13073" max="13073" width="9.109375" style="10" customWidth="1"/>
    <col min="13074" max="13074" width="26.5546875" style="10" customWidth="1"/>
    <col min="13075" max="13076" width="9.109375" style="10"/>
    <col min="13077" max="13078" width="14.5546875" style="10" customWidth="1"/>
    <col min="13079" max="13313" width="9.109375" style="10"/>
    <col min="13314" max="13314" width="10.44140625" style="10" customWidth="1"/>
    <col min="13315" max="13315" width="41" style="10" customWidth="1"/>
    <col min="13316" max="13316" width="0" style="10" hidden="1" customWidth="1"/>
    <col min="13317" max="13317" width="19" style="10" customWidth="1"/>
    <col min="13318" max="13318" width="7.33203125" style="10" customWidth="1"/>
    <col min="13319" max="13319" width="12.44140625" style="10" customWidth="1"/>
    <col min="13320" max="13320" width="9.6640625" style="10" customWidth="1"/>
    <col min="13321" max="13321" width="27.6640625" style="10" customWidth="1"/>
    <col min="13322" max="13322" width="27" style="10" customWidth="1"/>
    <col min="13323" max="13323" width="24.88671875" style="10" customWidth="1"/>
    <col min="13324" max="13324" width="26" style="10" customWidth="1"/>
    <col min="13325" max="13325" width="17.6640625" style="10" customWidth="1"/>
    <col min="13326" max="13326" width="47.88671875" style="10" customWidth="1"/>
    <col min="13327" max="13327" width="22.6640625" style="10" customWidth="1"/>
    <col min="13328" max="13328" width="55.6640625" style="10" customWidth="1"/>
    <col min="13329" max="13329" width="9.109375" style="10" customWidth="1"/>
    <col min="13330" max="13330" width="26.5546875" style="10" customWidth="1"/>
    <col min="13331" max="13332" width="9.109375" style="10"/>
    <col min="13333" max="13334" width="14.5546875" style="10" customWidth="1"/>
    <col min="13335" max="13569" width="9.109375" style="10"/>
    <col min="13570" max="13570" width="10.44140625" style="10" customWidth="1"/>
    <col min="13571" max="13571" width="41" style="10" customWidth="1"/>
    <col min="13572" max="13572" width="0" style="10" hidden="1" customWidth="1"/>
    <col min="13573" max="13573" width="19" style="10" customWidth="1"/>
    <col min="13574" max="13574" width="7.33203125" style="10" customWidth="1"/>
    <col min="13575" max="13575" width="12.44140625" style="10" customWidth="1"/>
    <col min="13576" max="13576" width="9.6640625" style="10" customWidth="1"/>
    <col min="13577" max="13577" width="27.6640625" style="10" customWidth="1"/>
    <col min="13578" max="13578" width="27" style="10" customWidth="1"/>
    <col min="13579" max="13579" width="24.88671875" style="10" customWidth="1"/>
    <col min="13580" max="13580" width="26" style="10" customWidth="1"/>
    <col min="13581" max="13581" width="17.6640625" style="10" customWidth="1"/>
    <col min="13582" max="13582" width="47.88671875" style="10" customWidth="1"/>
    <col min="13583" max="13583" width="22.6640625" style="10" customWidth="1"/>
    <col min="13584" max="13584" width="55.6640625" style="10" customWidth="1"/>
    <col min="13585" max="13585" width="9.109375" style="10" customWidth="1"/>
    <col min="13586" max="13586" width="26.5546875" style="10" customWidth="1"/>
    <col min="13587" max="13588" width="9.109375" style="10"/>
    <col min="13589" max="13590" width="14.5546875" style="10" customWidth="1"/>
    <col min="13591" max="13825" width="9.109375" style="10"/>
    <col min="13826" max="13826" width="10.44140625" style="10" customWidth="1"/>
    <col min="13827" max="13827" width="41" style="10" customWidth="1"/>
    <col min="13828" max="13828" width="0" style="10" hidden="1" customWidth="1"/>
    <col min="13829" max="13829" width="19" style="10" customWidth="1"/>
    <col min="13830" max="13830" width="7.33203125" style="10" customWidth="1"/>
    <col min="13831" max="13831" width="12.44140625" style="10" customWidth="1"/>
    <col min="13832" max="13832" width="9.6640625" style="10" customWidth="1"/>
    <col min="13833" max="13833" width="27.6640625" style="10" customWidth="1"/>
    <col min="13834" max="13834" width="27" style="10" customWidth="1"/>
    <col min="13835" max="13835" width="24.88671875" style="10" customWidth="1"/>
    <col min="13836" max="13836" width="26" style="10" customWidth="1"/>
    <col min="13837" max="13837" width="17.6640625" style="10" customWidth="1"/>
    <col min="13838" max="13838" width="47.88671875" style="10" customWidth="1"/>
    <col min="13839" max="13839" width="22.6640625" style="10" customWidth="1"/>
    <col min="13840" max="13840" width="55.6640625" style="10" customWidth="1"/>
    <col min="13841" max="13841" width="9.109375" style="10" customWidth="1"/>
    <col min="13842" max="13842" width="26.5546875" style="10" customWidth="1"/>
    <col min="13843" max="13844" width="9.109375" style="10"/>
    <col min="13845" max="13846" width="14.5546875" style="10" customWidth="1"/>
    <col min="13847" max="14081" width="9.109375" style="10"/>
    <col min="14082" max="14082" width="10.44140625" style="10" customWidth="1"/>
    <col min="14083" max="14083" width="41" style="10" customWidth="1"/>
    <col min="14084" max="14084" width="0" style="10" hidden="1" customWidth="1"/>
    <col min="14085" max="14085" width="19" style="10" customWidth="1"/>
    <col min="14086" max="14086" width="7.33203125" style="10" customWidth="1"/>
    <col min="14087" max="14087" width="12.44140625" style="10" customWidth="1"/>
    <col min="14088" max="14088" width="9.6640625" style="10" customWidth="1"/>
    <col min="14089" max="14089" width="27.6640625" style="10" customWidth="1"/>
    <col min="14090" max="14090" width="27" style="10" customWidth="1"/>
    <col min="14091" max="14091" width="24.88671875" style="10" customWidth="1"/>
    <col min="14092" max="14092" width="26" style="10" customWidth="1"/>
    <col min="14093" max="14093" width="17.6640625" style="10" customWidth="1"/>
    <col min="14094" max="14094" width="47.88671875" style="10" customWidth="1"/>
    <col min="14095" max="14095" width="22.6640625" style="10" customWidth="1"/>
    <col min="14096" max="14096" width="55.6640625" style="10" customWidth="1"/>
    <col min="14097" max="14097" width="9.109375" style="10" customWidth="1"/>
    <col min="14098" max="14098" width="26.5546875" style="10" customWidth="1"/>
    <col min="14099" max="14100" width="9.109375" style="10"/>
    <col min="14101" max="14102" width="14.5546875" style="10" customWidth="1"/>
    <col min="14103" max="14337" width="9.109375" style="10"/>
    <col min="14338" max="14338" width="10.44140625" style="10" customWidth="1"/>
    <col min="14339" max="14339" width="41" style="10" customWidth="1"/>
    <col min="14340" max="14340" width="0" style="10" hidden="1" customWidth="1"/>
    <col min="14341" max="14341" width="19" style="10" customWidth="1"/>
    <col min="14342" max="14342" width="7.33203125" style="10" customWidth="1"/>
    <col min="14343" max="14343" width="12.44140625" style="10" customWidth="1"/>
    <col min="14344" max="14344" width="9.6640625" style="10" customWidth="1"/>
    <col min="14345" max="14345" width="27.6640625" style="10" customWidth="1"/>
    <col min="14346" max="14346" width="27" style="10" customWidth="1"/>
    <col min="14347" max="14347" width="24.88671875" style="10" customWidth="1"/>
    <col min="14348" max="14348" width="26" style="10" customWidth="1"/>
    <col min="14349" max="14349" width="17.6640625" style="10" customWidth="1"/>
    <col min="14350" max="14350" width="47.88671875" style="10" customWidth="1"/>
    <col min="14351" max="14351" width="22.6640625" style="10" customWidth="1"/>
    <col min="14352" max="14352" width="55.6640625" style="10" customWidth="1"/>
    <col min="14353" max="14353" width="9.109375" style="10" customWidth="1"/>
    <col min="14354" max="14354" width="26.5546875" style="10" customWidth="1"/>
    <col min="14355" max="14356" width="9.109375" style="10"/>
    <col min="14357" max="14358" width="14.5546875" style="10" customWidth="1"/>
    <col min="14359" max="14593" width="9.109375" style="10"/>
    <col min="14594" max="14594" width="10.44140625" style="10" customWidth="1"/>
    <col min="14595" max="14595" width="41" style="10" customWidth="1"/>
    <col min="14596" max="14596" width="0" style="10" hidden="1" customWidth="1"/>
    <col min="14597" max="14597" width="19" style="10" customWidth="1"/>
    <col min="14598" max="14598" width="7.33203125" style="10" customWidth="1"/>
    <col min="14599" max="14599" width="12.44140625" style="10" customWidth="1"/>
    <col min="14600" max="14600" width="9.6640625" style="10" customWidth="1"/>
    <col min="14601" max="14601" width="27.6640625" style="10" customWidth="1"/>
    <col min="14602" max="14602" width="27" style="10" customWidth="1"/>
    <col min="14603" max="14603" width="24.88671875" style="10" customWidth="1"/>
    <col min="14604" max="14604" width="26" style="10" customWidth="1"/>
    <col min="14605" max="14605" width="17.6640625" style="10" customWidth="1"/>
    <col min="14606" max="14606" width="47.88671875" style="10" customWidth="1"/>
    <col min="14607" max="14607" width="22.6640625" style="10" customWidth="1"/>
    <col min="14608" max="14608" width="55.6640625" style="10" customWidth="1"/>
    <col min="14609" max="14609" width="9.109375" style="10" customWidth="1"/>
    <col min="14610" max="14610" width="26.5546875" style="10" customWidth="1"/>
    <col min="14611" max="14612" width="9.109375" style="10"/>
    <col min="14613" max="14614" width="14.5546875" style="10" customWidth="1"/>
    <col min="14615" max="14849" width="9.109375" style="10"/>
    <col min="14850" max="14850" width="10.44140625" style="10" customWidth="1"/>
    <col min="14851" max="14851" width="41" style="10" customWidth="1"/>
    <col min="14852" max="14852" width="0" style="10" hidden="1" customWidth="1"/>
    <col min="14853" max="14853" width="19" style="10" customWidth="1"/>
    <col min="14854" max="14854" width="7.33203125" style="10" customWidth="1"/>
    <col min="14855" max="14855" width="12.44140625" style="10" customWidth="1"/>
    <col min="14856" max="14856" width="9.6640625" style="10" customWidth="1"/>
    <col min="14857" max="14857" width="27.6640625" style="10" customWidth="1"/>
    <col min="14858" max="14858" width="27" style="10" customWidth="1"/>
    <col min="14859" max="14859" width="24.88671875" style="10" customWidth="1"/>
    <col min="14860" max="14860" width="26" style="10" customWidth="1"/>
    <col min="14861" max="14861" width="17.6640625" style="10" customWidth="1"/>
    <col min="14862" max="14862" width="47.88671875" style="10" customWidth="1"/>
    <col min="14863" max="14863" width="22.6640625" style="10" customWidth="1"/>
    <col min="14864" max="14864" width="55.6640625" style="10" customWidth="1"/>
    <col min="14865" max="14865" width="9.109375" style="10" customWidth="1"/>
    <col min="14866" max="14866" width="26.5546875" style="10" customWidth="1"/>
    <col min="14867" max="14868" width="9.109375" style="10"/>
    <col min="14869" max="14870" width="14.5546875" style="10" customWidth="1"/>
    <col min="14871" max="15105" width="9.109375" style="10"/>
    <col min="15106" max="15106" width="10.44140625" style="10" customWidth="1"/>
    <col min="15107" max="15107" width="41" style="10" customWidth="1"/>
    <col min="15108" max="15108" width="0" style="10" hidden="1" customWidth="1"/>
    <col min="15109" max="15109" width="19" style="10" customWidth="1"/>
    <col min="15110" max="15110" width="7.33203125" style="10" customWidth="1"/>
    <col min="15111" max="15111" width="12.44140625" style="10" customWidth="1"/>
    <col min="15112" max="15112" width="9.6640625" style="10" customWidth="1"/>
    <col min="15113" max="15113" width="27.6640625" style="10" customWidth="1"/>
    <col min="15114" max="15114" width="27" style="10" customWidth="1"/>
    <col min="15115" max="15115" width="24.88671875" style="10" customWidth="1"/>
    <col min="15116" max="15116" width="26" style="10" customWidth="1"/>
    <col min="15117" max="15117" width="17.6640625" style="10" customWidth="1"/>
    <col min="15118" max="15118" width="47.88671875" style="10" customWidth="1"/>
    <col min="15119" max="15119" width="22.6640625" style="10" customWidth="1"/>
    <col min="15120" max="15120" width="55.6640625" style="10" customWidth="1"/>
    <col min="15121" max="15121" width="9.109375" style="10" customWidth="1"/>
    <col min="15122" max="15122" width="26.5546875" style="10" customWidth="1"/>
    <col min="15123" max="15124" width="9.109375" style="10"/>
    <col min="15125" max="15126" width="14.5546875" style="10" customWidth="1"/>
    <col min="15127" max="15361" width="9.109375" style="10"/>
    <col min="15362" max="15362" width="10.44140625" style="10" customWidth="1"/>
    <col min="15363" max="15363" width="41" style="10" customWidth="1"/>
    <col min="15364" max="15364" width="0" style="10" hidden="1" customWidth="1"/>
    <col min="15365" max="15365" width="19" style="10" customWidth="1"/>
    <col min="15366" max="15366" width="7.33203125" style="10" customWidth="1"/>
    <col min="15367" max="15367" width="12.44140625" style="10" customWidth="1"/>
    <col min="15368" max="15368" width="9.6640625" style="10" customWidth="1"/>
    <col min="15369" max="15369" width="27.6640625" style="10" customWidth="1"/>
    <col min="15370" max="15370" width="27" style="10" customWidth="1"/>
    <col min="15371" max="15371" width="24.88671875" style="10" customWidth="1"/>
    <col min="15372" max="15372" width="26" style="10" customWidth="1"/>
    <col min="15373" max="15373" width="17.6640625" style="10" customWidth="1"/>
    <col min="15374" max="15374" width="47.88671875" style="10" customWidth="1"/>
    <col min="15375" max="15375" width="22.6640625" style="10" customWidth="1"/>
    <col min="15376" max="15376" width="55.6640625" style="10" customWidth="1"/>
    <col min="15377" max="15377" width="9.109375" style="10" customWidth="1"/>
    <col min="15378" max="15378" width="26.5546875" style="10" customWidth="1"/>
    <col min="15379" max="15380" width="9.109375" style="10"/>
    <col min="15381" max="15382" width="14.5546875" style="10" customWidth="1"/>
    <col min="15383" max="15617" width="9.109375" style="10"/>
    <col min="15618" max="15618" width="10.44140625" style="10" customWidth="1"/>
    <col min="15619" max="15619" width="41" style="10" customWidth="1"/>
    <col min="15620" max="15620" width="0" style="10" hidden="1" customWidth="1"/>
    <col min="15621" max="15621" width="19" style="10" customWidth="1"/>
    <col min="15622" max="15622" width="7.33203125" style="10" customWidth="1"/>
    <col min="15623" max="15623" width="12.44140625" style="10" customWidth="1"/>
    <col min="15624" max="15624" width="9.6640625" style="10" customWidth="1"/>
    <col min="15625" max="15625" width="27.6640625" style="10" customWidth="1"/>
    <col min="15626" max="15626" width="27" style="10" customWidth="1"/>
    <col min="15627" max="15627" width="24.88671875" style="10" customWidth="1"/>
    <col min="15628" max="15628" width="26" style="10" customWidth="1"/>
    <col min="15629" max="15629" width="17.6640625" style="10" customWidth="1"/>
    <col min="15630" max="15630" width="47.88671875" style="10" customWidth="1"/>
    <col min="15631" max="15631" width="22.6640625" style="10" customWidth="1"/>
    <col min="15632" max="15632" width="55.6640625" style="10" customWidth="1"/>
    <col min="15633" max="15633" width="9.109375" style="10" customWidth="1"/>
    <col min="15634" max="15634" width="26.5546875" style="10" customWidth="1"/>
    <col min="15635" max="15636" width="9.109375" style="10"/>
    <col min="15637" max="15638" width="14.5546875" style="10" customWidth="1"/>
    <col min="15639" max="15873" width="9.109375" style="10"/>
    <col min="15874" max="15874" width="10.44140625" style="10" customWidth="1"/>
    <col min="15875" max="15875" width="41" style="10" customWidth="1"/>
    <col min="15876" max="15876" width="0" style="10" hidden="1" customWidth="1"/>
    <col min="15877" max="15877" width="19" style="10" customWidth="1"/>
    <col min="15878" max="15878" width="7.33203125" style="10" customWidth="1"/>
    <col min="15879" max="15879" width="12.44140625" style="10" customWidth="1"/>
    <col min="15880" max="15880" width="9.6640625" style="10" customWidth="1"/>
    <col min="15881" max="15881" width="27.6640625" style="10" customWidth="1"/>
    <col min="15882" max="15882" width="27" style="10" customWidth="1"/>
    <col min="15883" max="15883" width="24.88671875" style="10" customWidth="1"/>
    <col min="15884" max="15884" width="26" style="10" customWidth="1"/>
    <col min="15885" max="15885" width="17.6640625" style="10" customWidth="1"/>
    <col min="15886" max="15886" width="47.88671875" style="10" customWidth="1"/>
    <col min="15887" max="15887" width="22.6640625" style="10" customWidth="1"/>
    <col min="15888" max="15888" width="55.6640625" style="10" customWidth="1"/>
    <col min="15889" max="15889" width="9.109375" style="10" customWidth="1"/>
    <col min="15890" max="15890" width="26.5546875" style="10" customWidth="1"/>
    <col min="15891" max="15892" width="9.109375" style="10"/>
    <col min="15893" max="15894" width="14.5546875" style="10" customWidth="1"/>
    <col min="15895" max="16129" width="9.109375" style="10"/>
    <col min="16130" max="16130" width="10.44140625" style="10" customWidth="1"/>
    <col min="16131" max="16131" width="41" style="10" customWidth="1"/>
    <col min="16132" max="16132" width="0" style="10" hidden="1" customWidth="1"/>
    <col min="16133" max="16133" width="19" style="10" customWidth="1"/>
    <col min="16134" max="16134" width="7.33203125" style="10" customWidth="1"/>
    <col min="16135" max="16135" width="12.44140625" style="10" customWidth="1"/>
    <col min="16136" max="16136" width="9.6640625" style="10" customWidth="1"/>
    <col min="16137" max="16137" width="27.6640625" style="10" customWidth="1"/>
    <col min="16138" max="16138" width="27" style="10" customWidth="1"/>
    <col min="16139" max="16139" width="24.88671875" style="10" customWidth="1"/>
    <col min="16140" max="16140" width="26" style="10" customWidth="1"/>
    <col min="16141" max="16141" width="17.6640625" style="10" customWidth="1"/>
    <col min="16142" max="16142" width="47.88671875" style="10" customWidth="1"/>
    <col min="16143" max="16143" width="22.6640625" style="10" customWidth="1"/>
    <col min="16144" max="16144" width="55.6640625" style="10" customWidth="1"/>
    <col min="16145" max="16145" width="9.109375" style="10" customWidth="1"/>
    <col min="16146" max="16146" width="26.5546875" style="10" customWidth="1"/>
    <col min="16147" max="16148" width="9.109375" style="10"/>
    <col min="16149" max="16150" width="14.5546875" style="10" customWidth="1"/>
    <col min="16151" max="16384" width="9.109375" style="10"/>
  </cols>
  <sheetData>
    <row r="1" spans="1:31" ht="55.5" customHeight="1" thickBot="1" x14ac:dyDescent="0.35">
      <c r="A1" s="120" t="s">
        <v>37</v>
      </c>
      <c r="B1" s="121" t="s">
        <v>278</v>
      </c>
      <c r="C1" s="121" t="s">
        <v>24</v>
      </c>
      <c r="D1" s="121" t="s">
        <v>25</v>
      </c>
      <c r="E1" s="120" t="s">
        <v>27</v>
      </c>
      <c r="F1" s="120" t="s">
        <v>279</v>
      </c>
      <c r="G1" s="122" t="s">
        <v>280</v>
      </c>
      <c r="H1" s="145" t="s">
        <v>712</v>
      </c>
      <c r="I1" s="121" t="s">
        <v>40</v>
      </c>
      <c r="J1" s="121" t="s">
        <v>17</v>
      </c>
      <c r="K1" s="121" t="s">
        <v>38</v>
      </c>
      <c r="L1" s="121" t="s">
        <v>39</v>
      </c>
      <c r="M1" s="121" t="s">
        <v>41</v>
      </c>
      <c r="N1" s="122" t="s">
        <v>42</v>
      </c>
      <c r="O1" s="122" t="s">
        <v>286</v>
      </c>
      <c r="P1" s="119"/>
      <c r="Q1" s="148" t="s">
        <v>281</v>
      </c>
      <c r="R1" s="149"/>
      <c r="S1" s="149"/>
      <c r="T1" s="148" t="s">
        <v>282</v>
      </c>
      <c r="U1" s="149"/>
      <c r="V1" s="149"/>
      <c r="W1" s="148" t="s">
        <v>283</v>
      </c>
      <c r="X1" s="149"/>
      <c r="Y1" s="149"/>
      <c r="Z1" s="148" t="s">
        <v>284</v>
      </c>
      <c r="AA1" s="149"/>
      <c r="AB1" s="149"/>
      <c r="AC1" s="148" t="s">
        <v>285</v>
      </c>
      <c r="AD1" s="149"/>
      <c r="AE1" s="150"/>
    </row>
    <row r="2" spans="1:31" ht="13.5" customHeight="1" x14ac:dyDescent="0.3">
      <c r="A2" s="11">
        <v>1</v>
      </c>
      <c r="B2" s="12">
        <v>2</v>
      </c>
      <c r="C2" s="11">
        <v>3</v>
      </c>
      <c r="D2" s="12">
        <v>4</v>
      </c>
      <c r="E2" s="11">
        <v>5</v>
      </c>
      <c r="F2" s="11">
        <v>6</v>
      </c>
      <c r="G2" s="11">
        <v>7</v>
      </c>
      <c r="H2" s="11">
        <v>8</v>
      </c>
      <c r="I2" s="11">
        <v>9</v>
      </c>
      <c r="J2" s="11">
        <v>10</v>
      </c>
      <c r="K2" s="11">
        <v>11</v>
      </c>
      <c r="L2" s="11">
        <v>12</v>
      </c>
      <c r="M2" s="11">
        <v>13</v>
      </c>
      <c r="N2" s="11">
        <v>14</v>
      </c>
      <c r="O2" s="11">
        <v>15</v>
      </c>
      <c r="P2" s="11">
        <v>16</v>
      </c>
      <c r="Q2" s="11">
        <v>17</v>
      </c>
      <c r="R2" s="11">
        <v>18</v>
      </c>
      <c r="S2" s="11">
        <v>19</v>
      </c>
      <c r="T2" s="11">
        <v>20</v>
      </c>
      <c r="U2" s="11">
        <v>21</v>
      </c>
      <c r="V2" s="11">
        <v>22</v>
      </c>
      <c r="W2" s="11">
        <v>23</v>
      </c>
      <c r="X2" s="11">
        <v>24</v>
      </c>
      <c r="Y2" s="11">
        <v>25</v>
      </c>
      <c r="Z2" s="11">
        <v>26</v>
      </c>
      <c r="AA2" s="11">
        <v>27</v>
      </c>
      <c r="AB2" s="11">
        <v>28</v>
      </c>
      <c r="AC2" s="11">
        <v>29</v>
      </c>
      <c r="AD2" s="11">
        <v>30</v>
      </c>
      <c r="AE2" s="11">
        <v>31</v>
      </c>
    </row>
    <row r="3" spans="1:31" ht="43.2" x14ac:dyDescent="0.3">
      <c r="A3" s="137">
        <v>1</v>
      </c>
      <c r="B3" s="138" t="s">
        <v>339</v>
      </c>
      <c r="C3" s="9" t="s">
        <v>467</v>
      </c>
      <c r="D3" s="9" t="s">
        <v>506</v>
      </c>
      <c r="E3" s="9" t="s">
        <v>525</v>
      </c>
      <c r="F3" s="9" t="s">
        <v>526</v>
      </c>
      <c r="G3" s="25" t="s">
        <v>600</v>
      </c>
      <c r="H3" s="38" t="s">
        <v>713</v>
      </c>
      <c r="I3" s="123" t="s">
        <v>602</v>
      </c>
      <c r="J3" s="138" t="s">
        <v>622</v>
      </c>
      <c r="K3" s="9" t="s">
        <v>624</v>
      </c>
      <c r="L3" s="9" t="s">
        <v>649</v>
      </c>
      <c r="M3" s="9" t="s">
        <v>656</v>
      </c>
      <c r="N3" s="9" t="s">
        <v>658</v>
      </c>
      <c r="O3" s="18" t="s">
        <v>34</v>
      </c>
      <c r="P3" s="8"/>
      <c r="Q3" s="18"/>
      <c r="R3" s="139"/>
      <c r="S3" s="139"/>
    </row>
    <row r="4" spans="1:31" ht="72" x14ac:dyDescent="0.3">
      <c r="A4" s="132">
        <v>2</v>
      </c>
      <c r="B4" s="133" t="s">
        <v>340</v>
      </c>
      <c r="C4" s="128" t="s">
        <v>468</v>
      </c>
      <c r="D4" s="128" t="s">
        <v>507</v>
      </c>
      <c r="E4" s="128" t="s">
        <v>525</v>
      </c>
      <c r="F4" s="128" t="s">
        <v>527</v>
      </c>
      <c r="G4" s="8" t="s">
        <v>600</v>
      </c>
      <c r="H4" s="124" t="s">
        <v>713</v>
      </c>
      <c r="I4" s="134" t="s">
        <v>603</v>
      </c>
      <c r="J4" s="135" t="s">
        <v>622</v>
      </c>
      <c r="K4" s="128" t="s">
        <v>625</v>
      </c>
      <c r="L4" s="128" t="s">
        <v>649</v>
      </c>
      <c r="M4" s="128" t="s">
        <v>656</v>
      </c>
      <c r="N4" s="128" t="s">
        <v>659</v>
      </c>
      <c r="O4" s="18" t="s">
        <v>34</v>
      </c>
      <c r="P4" s="126" t="s">
        <v>45</v>
      </c>
      <c r="Q4" s="136" t="str">
        <f>CONCATENATE(P4," ",B4)</f>
        <v>АВК: Кабель ППГнг(А)-FRHF 3х2,5</v>
      </c>
      <c r="R4" s="136" t="str">
        <f>CONCATENATE("№",A4,"/",'АВК ЭОМ'!N1," от ",G4)</f>
        <v>№2/ЭОМ от 15.06.2023г.</v>
      </c>
      <c r="S4" s="124" t="s">
        <v>44</v>
      </c>
      <c r="T4" s="39"/>
      <c r="U4" s="17"/>
      <c r="V4" s="17" t="str">
        <f>D4</f>
        <v>АО "Ивановский кабельный завод"</v>
      </c>
      <c r="W4" s="39"/>
      <c r="X4" s="17"/>
      <c r="Y4" s="39"/>
      <c r="Z4" s="39"/>
      <c r="AA4" s="17"/>
      <c r="AB4" s="39"/>
      <c r="AC4" s="39"/>
      <c r="AD4" s="17"/>
      <c r="AE4" s="39"/>
    </row>
    <row r="5" spans="1:31" ht="43.2" x14ac:dyDescent="0.3">
      <c r="A5" s="137">
        <v>3</v>
      </c>
      <c r="B5" s="133" t="s">
        <v>341</v>
      </c>
      <c r="C5" s="128" t="s">
        <v>469</v>
      </c>
      <c r="D5" s="128" t="s">
        <v>508</v>
      </c>
      <c r="E5" s="128" t="s">
        <v>525</v>
      </c>
      <c r="F5" s="128" t="s">
        <v>528</v>
      </c>
      <c r="G5" s="8" t="s">
        <v>600</v>
      </c>
      <c r="H5" s="124" t="s">
        <v>713</v>
      </c>
      <c r="I5" s="134" t="s">
        <v>604</v>
      </c>
      <c r="J5" s="135" t="s">
        <v>622</v>
      </c>
      <c r="K5" s="128" t="s">
        <v>626</v>
      </c>
      <c r="L5" s="128" t="s">
        <v>649</v>
      </c>
      <c r="M5" s="128" t="s">
        <v>656</v>
      </c>
      <c r="N5" s="128" t="s">
        <v>660</v>
      </c>
      <c r="O5" s="18" t="s">
        <v>34</v>
      </c>
      <c r="P5" s="126"/>
      <c r="Q5" s="136"/>
      <c r="R5" s="136"/>
      <c r="S5" s="124"/>
      <c r="T5" s="39"/>
      <c r="U5" s="17"/>
      <c r="V5" s="17"/>
      <c r="W5" s="39"/>
      <c r="X5" s="17"/>
      <c r="Y5" s="39"/>
      <c r="Z5" s="39"/>
      <c r="AA5" s="17"/>
      <c r="AB5" s="39"/>
      <c r="AC5" s="39"/>
      <c r="AD5" s="17"/>
      <c r="AE5" s="39"/>
    </row>
    <row r="6" spans="1:31" ht="43.2" x14ac:dyDescent="0.3">
      <c r="A6" s="132">
        <v>4</v>
      </c>
      <c r="B6" s="129" t="s">
        <v>342</v>
      </c>
      <c r="C6" s="9" t="s">
        <v>470</v>
      </c>
      <c r="D6" s="9" t="s">
        <v>509</v>
      </c>
      <c r="E6" s="9" t="s">
        <v>525</v>
      </c>
      <c r="F6" s="9" t="s">
        <v>529</v>
      </c>
      <c r="G6" s="8" t="s">
        <v>600</v>
      </c>
      <c r="H6" s="124" t="s">
        <v>713</v>
      </c>
      <c r="I6" s="123" t="s">
        <v>605</v>
      </c>
      <c r="J6" s="25" t="s">
        <v>622</v>
      </c>
      <c r="K6" s="9" t="s">
        <v>627</v>
      </c>
      <c r="L6" s="128" t="s">
        <v>650</v>
      </c>
      <c r="M6" s="9" t="s">
        <v>656</v>
      </c>
      <c r="N6" s="9" t="s">
        <v>661</v>
      </c>
      <c r="O6" s="18" t="s">
        <v>34</v>
      </c>
      <c r="P6" s="126"/>
      <c r="Q6" s="17"/>
      <c r="R6" s="34"/>
      <c r="S6" s="35"/>
      <c r="T6" s="37"/>
      <c r="U6" s="15"/>
      <c r="V6" s="15"/>
      <c r="W6" s="37"/>
      <c r="X6" s="15"/>
      <c r="Y6" s="37"/>
      <c r="Z6" s="37"/>
      <c r="AA6" s="15"/>
      <c r="AB6" s="37"/>
      <c r="AC6" s="37"/>
      <c r="AD6" s="15"/>
      <c r="AE6" s="37"/>
    </row>
    <row r="7" spans="1:31" ht="43.2" x14ac:dyDescent="0.3">
      <c r="A7" s="137">
        <v>5</v>
      </c>
      <c r="B7" s="129" t="s">
        <v>343</v>
      </c>
      <c r="C7" s="17" t="s">
        <v>471</v>
      </c>
      <c r="D7" s="17" t="s">
        <v>510</v>
      </c>
      <c r="E7" s="9" t="s">
        <v>525</v>
      </c>
      <c r="F7" s="17" t="s">
        <v>530</v>
      </c>
      <c r="G7" s="8" t="s">
        <v>600</v>
      </c>
      <c r="H7" s="124" t="s">
        <v>713</v>
      </c>
      <c r="I7" s="125" t="s">
        <v>606</v>
      </c>
      <c r="J7" s="25" t="s">
        <v>622</v>
      </c>
      <c r="K7" s="17" t="s">
        <v>628</v>
      </c>
      <c r="L7" s="128" t="s">
        <v>650</v>
      </c>
      <c r="M7" s="9" t="s">
        <v>656</v>
      </c>
      <c r="N7" s="17" t="s">
        <v>662</v>
      </c>
      <c r="O7" s="18" t="s">
        <v>34</v>
      </c>
      <c r="P7" s="126"/>
      <c r="Q7" s="17"/>
      <c r="R7" s="34"/>
      <c r="S7" s="35"/>
      <c r="T7" s="37"/>
      <c r="U7" s="15"/>
      <c r="V7" s="15"/>
      <c r="W7" s="37"/>
      <c r="X7" s="15"/>
      <c r="Y7" s="37"/>
      <c r="Z7" s="37"/>
      <c r="AA7" s="15"/>
      <c r="AB7" s="37"/>
      <c r="AC7" s="37"/>
      <c r="AD7" s="15"/>
      <c r="AE7" s="37"/>
    </row>
    <row r="8" spans="1:31" ht="43.2" x14ac:dyDescent="0.3">
      <c r="A8" s="132">
        <v>6</v>
      </c>
      <c r="B8" s="130" t="s">
        <v>344</v>
      </c>
      <c r="C8" s="17" t="s">
        <v>472</v>
      </c>
      <c r="D8" s="17" t="s">
        <v>511</v>
      </c>
      <c r="E8" s="17" t="s">
        <v>525</v>
      </c>
      <c r="F8" s="17" t="s">
        <v>531</v>
      </c>
      <c r="G8" s="8" t="s">
        <v>600</v>
      </c>
      <c r="H8" s="124" t="s">
        <v>713</v>
      </c>
      <c r="I8" s="125" t="s">
        <v>607</v>
      </c>
      <c r="J8" s="25" t="s">
        <v>622</v>
      </c>
      <c r="K8" s="17" t="s">
        <v>629</v>
      </c>
      <c r="L8" s="128" t="s">
        <v>650</v>
      </c>
      <c r="M8" s="9" t="s">
        <v>656</v>
      </c>
      <c r="N8" s="17" t="s">
        <v>663</v>
      </c>
      <c r="O8" s="18" t="s">
        <v>34</v>
      </c>
      <c r="P8" s="16"/>
      <c r="Q8" s="34"/>
      <c r="R8" s="34"/>
      <c r="S8" s="35"/>
      <c r="T8" s="37"/>
      <c r="U8" s="15"/>
      <c r="V8" s="15"/>
      <c r="W8" s="37"/>
      <c r="X8" s="15"/>
      <c r="Y8" s="37"/>
      <c r="Z8" s="37"/>
      <c r="AA8" s="15"/>
      <c r="AB8" s="37"/>
      <c r="AC8" s="37"/>
      <c r="AD8" s="15"/>
      <c r="AE8" s="37"/>
    </row>
    <row r="9" spans="1:31" ht="43.2" x14ac:dyDescent="0.3">
      <c r="A9" s="137">
        <v>7</v>
      </c>
      <c r="B9" s="140" t="s">
        <v>345</v>
      </c>
      <c r="C9" s="17" t="s">
        <v>473</v>
      </c>
      <c r="D9" s="17" t="s">
        <v>506</v>
      </c>
      <c r="E9" s="17" t="s">
        <v>525</v>
      </c>
      <c r="F9" s="17" t="s">
        <v>532</v>
      </c>
      <c r="G9" s="141" t="s">
        <v>600</v>
      </c>
      <c r="H9" s="124" t="s">
        <v>713</v>
      </c>
      <c r="I9" s="125" t="s">
        <v>608</v>
      </c>
      <c r="J9" s="38" t="s">
        <v>622</v>
      </c>
      <c r="K9" s="17" t="s">
        <v>629</v>
      </c>
      <c r="L9" s="9" t="s">
        <v>650</v>
      </c>
      <c r="M9" s="142" t="s">
        <v>656</v>
      </c>
      <c r="N9" s="17" t="s">
        <v>664</v>
      </c>
      <c r="O9" s="18" t="s">
        <v>34</v>
      </c>
      <c r="P9" s="16"/>
      <c r="Q9" s="34"/>
      <c r="R9" s="34"/>
      <c r="S9" s="35"/>
      <c r="T9" s="37"/>
      <c r="U9" s="15"/>
      <c r="V9" s="15"/>
      <c r="W9" s="143"/>
      <c r="X9" s="9"/>
      <c r="Y9" s="143"/>
      <c r="Z9" s="143"/>
      <c r="AA9" s="9"/>
      <c r="AB9" s="143"/>
      <c r="AC9" s="37"/>
      <c r="AD9" s="9"/>
      <c r="AE9" s="143"/>
    </row>
    <row r="10" spans="1:31" ht="43.2" x14ac:dyDescent="0.3">
      <c r="A10" s="132">
        <v>8</v>
      </c>
      <c r="B10" s="146" t="s">
        <v>346</v>
      </c>
      <c r="C10" s="147" t="s">
        <v>474</v>
      </c>
      <c r="D10" s="9" t="s">
        <v>506</v>
      </c>
      <c r="E10" s="9" t="s">
        <v>525</v>
      </c>
      <c r="F10" s="9" t="s">
        <v>533</v>
      </c>
      <c r="G10" s="8" t="s">
        <v>600</v>
      </c>
      <c r="H10" s="124" t="s">
        <v>713</v>
      </c>
      <c r="I10" s="123" t="s">
        <v>609</v>
      </c>
      <c r="J10" s="25" t="s">
        <v>622</v>
      </c>
      <c r="K10" s="9" t="s">
        <v>624</v>
      </c>
      <c r="L10" s="128" t="s">
        <v>649</v>
      </c>
      <c r="M10" s="9" t="s">
        <v>656</v>
      </c>
      <c r="N10" s="17" t="s">
        <v>665</v>
      </c>
      <c r="O10" s="18" t="s">
        <v>34</v>
      </c>
      <c r="P10" s="16"/>
      <c r="Q10" s="34"/>
      <c r="R10" s="34"/>
      <c r="S10" s="35"/>
      <c r="T10" s="37"/>
      <c r="U10" s="15"/>
      <c r="V10" s="15"/>
      <c r="W10" s="37"/>
      <c r="X10" s="15"/>
      <c r="Y10" s="37"/>
      <c r="Z10" s="37"/>
      <c r="AA10" s="15"/>
      <c r="AB10" s="37"/>
      <c r="AC10" s="37"/>
      <c r="AD10" s="15"/>
      <c r="AE10" s="37"/>
    </row>
    <row r="11" spans="1:31" ht="43.2" x14ac:dyDescent="0.3">
      <c r="A11" s="137">
        <v>9</v>
      </c>
      <c r="B11" s="138" t="s">
        <v>347</v>
      </c>
      <c r="C11" s="9" t="s">
        <v>475</v>
      </c>
      <c r="D11" s="9" t="s">
        <v>506</v>
      </c>
      <c r="E11" s="9" t="s">
        <v>525</v>
      </c>
      <c r="F11" s="9" t="s">
        <v>534</v>
      </c>
      <c r="G11" s="8" t="s">
        <v>600</v>
      </c>
      <c r="H11" s="124" t="s">
        <v>713</v>
      </c>
      <c r="I11" s="123" t="s">
        <v>610</v>
      </c>
      <c r="J11" s="25" t="s">
        <v>622</v>
      </c>
      <c r="K11" s="9" t="s">
        <v>624</v>
      </c>
      <c r="L11" s="128" t="s">
        <v>649</v>
      </c>
      <c r="M11" s="9" t="s">
        <v>656</v>
      </c>
      <c r="N11" s="9" t="s">
        <v>666</v>
      </c>
      <c r="O11" s="18" t="s">
        <v>34</v>
      </c>
      <c r="P11" s="16"/>
      <c r="Q11" s="9"/>
      <c r="R11" s="34"/>
      <c r="S11" s="35"/>
      <c r="T11" s="37"/>
      <c r="U11" s="15"/>
      <c r="V11" s="15"/>
      <c r="W11" s="37"/>
      <c r="X11" s="15"/>
      <c r="Y11" s="37"/>
      <c r="Z11" s="37"/>
      <c r="AA11" s="15"/>
      <c r="AB11" s="37"/>
      <c r="AC11" s="37"/>
      <c r="AD11" s="15"/>
      <c r="AE11" s="37"/>
    </row>
    <row r="12" spans="1:31" ht="63" customHeight="1" x14ac:dyDescent="0.3">
      <c r="A12" s="132">
        <v>10</v>
      </c>
      <c r="B12" s="131" t="s">
        <v>348</v>
      </c>
      <c r="C12" s="38" t="s">
        <v>476</v>
      </c>
      <c r="D12" s="127" t="s">
        <v>506</v>
      </c>
      <c r="E12" s="9" t="s">
        <v>525</v>
      </c>
      <c r="F12" s="131" t="s">
        <v>535</v>
      </c>
      <c r="G12" s="8" t="s">
        <v>600</v>
      </c>
      <c r="H12" s="124" t="s">
        <v>713</v>
      </c>
      <c r="I12" s="125" t="s">
        <v>611</v>
      </c>
      <c r="J12" s="25" t="s">
        <v>622</v>
      </c>
      <c r="K12" s="131" t="s">
        <v>624</v>
      </c>
      <c r="L12" s="128" t="s">
        <v>649</v>
      </c>
      <c r="M12" s="9" t="s">
        <v>656</v>
      </c>
      <c r="N12" s="9" t="s">
        <v>667</v>
      </c>
      <c r="O12" s="18" t="s">
        <v>34</v>
      </c>
      <c r="P12" s="128"/>
      <c r="Q12" s="34"/>
      <c r="R12" s="34"/>
      <c r="S12" s="35"/>
      <c r="T12" s="37"/>
      <c r="U12" s="15"/>
      <c r="V12" s="15"/>
      <c r="W12" s="37"/>
      <c r="X12" s="15"/>
      <c r="Y12" s="37"/>
      <c r="Z12" s="37"/>
      <c r="AA12" s="15"/>
      <c r="AB12" s="37"/>
      <c r="AC12" s="37"/>
      <c r="AD12" s="15"/>
      <c r="AE12" s="37"/>
    </row>
    <row r="13" spans="1:31" ht="63" customHeight="1" x14ac:dyDescent="0.3">
      <c r="A13" s="137">
        <v>11</v>
      </c>
      <c r="B13" s="131" t="s">
        <v>349</v>
      </c>
      <c r="C13" s="38" t="s">
        <v>477</v>
      </c>
      <c r="D13" s="127" t="s">
        <v>512</v>
      </c>
      <c r="E13" s="9" t="s">
        <v>525</v>
      </c>
      <c r="F13" s="131" t="s">
        <v>536</v>
      </c>
      <c r="G13" s="8" t="s">
        <v>600</v>
      </c>
      <c r="H13" s="124" t="s">
        <v>713</v>
      </c>
      <c r="I13" s="125" t="s">
        <v>602</v>
      </c>
      <c r="J13" s="25" t="s">
        <v>623</v>
      </c>
      <c r="K13" s="131" t="s">
        <v>630</v>
      </c>
      <c r="L13" s="128" t="s">
        <v>649</v>
      </c>
      <c r="M13" s="9" t="s">
        <v>657</v>
      </c>
      <c r="N13" s="9" t="s">
        <v>668</v>
      </c>
      <c r="O13" s="18" t="s">
        <v>34</v>
      </c>
      <c r="P13" s="128"/>
      <c r="Q13" s="34"/>
      <c r="R13" s="34"/>
      <c r="S13" s="35"/>
      <c r="T13" s="37"/>
      <c r="U13" s="15"/>
      <c r="V13" s="15"/>
      <c r="W13" s="37"/>
      <c r="X13" s="15"/>
      <c r="Y13" s="37"/>
      <c r="Z13" s="37"/>
      <c r="AA13" s="15"/>
      <c r="AB13" s="37"/>
      <c r="AC13" s="37"/>
      <c r="AD13" s="15"/>
      <c r="AE13" s="37"/>
    </row>
    <row r="14" spans="1:31" ht="72" x14ac:dyDescent="0.3">
      <c r="A14" s="132">
        <v>12</v>
      </c>
      <c r="B14" s="131" t="s">
        <v>350</v>
      </c>
      <c r="C14" s="38" t="s">
        <v>478</v>
      </c>
      <c r="D14" s="127" t="s">
        <v>507</v>
      </c>
      <c r="E14" s="9" t="s">
        <v>525</v>
      </c>
      <c r="F14" s="131" t="s">
        <v>537</v>
      </c>
      <c r="G14" s="8" t="s">
        <v>600</v>
      </c>
      <c r="H14" s="124" t="s">
        <v>713</v>
      </c>
      <c r="I14" s="125" t="s">
        <v>612</v>
      </c>
      <c r="J14" s="25" t="s">
        <v>623</v>
      </c>
      <c r="K14" s="131" t="s">
        <v>625</v>
      </c>
      <c r="L14" s="128" t="s">
        <v>649</v>
      </c>
      <c r="M14" s="9" t="s">
        <v>657</v>
      </c>
      <c r="N14" s="9" t="s">
        <v>669</v>
      </c>
      <c r="O14" s="18" t="s">
        <v>34</v>
      </c>
      <c r="P14" s="128"/>
      <c r="Q14" s="34"/>
      <c r="R14" s="34"/>
      <c r="S14" s="35"/>
      <c r="T14" s="37"/>
      <c r="U14" s="15"/>
      <c r="V14" s="15"/>
      <c r="W14" s="37"/>
      <c r="X14" s="15"/>
      <c r="Y14" s="37"/>
      <c r="Z14" s="37"/>
      <c r="AA14" s="15"/>
      <c r="AB14" s="37"/>
      <c r="AC14" s="37"/>
      <c r="AD14" s="15"/>
      <c r="AE14" s="37"/>
    </row>
    <row r="15" spans="1:31" ht="43.2" x14ac:dyDescent="0.3">
      <c r="A15" s="132">
        <v>13</v>
      </c>
      <c r="B15" s="131" t="s">
        <v>351</v>
      </c>
      <c r="C15" s="38" t="s">
        <v>479</v>
      </c>
      <c r="D15" s="127" t="s">
        <v>510</v>
      </c>
      <c r="E15" s="9" t="s">
        <v>525</v>
      </c>
      <c r="F15" s="131" t="s">
        <v>538</v>
      </c>
      <c r="G15" s="8" t="s">
        <v>600</v>
      </c>
      <c r="H15" s="124" t="s">
        <v>713</v>
      </c>
      <c r="I15" s="125" t="s">
        <v>613</v>
      </c>
      <c r="J15" s="25" t="s">
        <v>623</v>
      </c>
      <c r="K15" s="131" t="s">
        <v>628</v>
      </c>
      <c r="L15" s="128" t="s">
        <v>649</v>
      </c>
      <c r="M15" s="9" t="s">
        <v>657</v>
      </c>
      <c r="N15" s="9" t="s">
        <v>670</v>
      </c>
      <c r="O15" s="18" t="s">
        <v>34</v>
      </c>
      <c r="P15" s="128"/>
      <c r="Q15" s="34"/>
      <c r="R15" s="34"/>
      <c r="S15" s="35"/>
      <c r="T15" s="37"/>
      <c r="U15" s="15"/>
      <c r="V15" s="15"/>
      <c r="W15" s="37"/>
      <c r="X15" s="15"/>
      <c r="Y15" s="37"/>
      <c r="Z15" s="37"/>
      <c r="AA15" s="15"/>
      <c r="AB15" s="37"/>
      <c r="AC15" s="37"/>
      <c r="AD15" s="15"/>
      <c r="AE15" s="37"/>
    </row>
    <row r="16" spans="1:31" ht="43.2" x14ac:dyDescent="0.3">
      <c r="A16" s="132">
        <v>14</v>
      </c>
      <c r="B16" s="131" t="s">
        <v>352</v>
      </c>
      <c r="C16" s="38" t="s">
        <v>480</v>
      </c>
      <c r="D16" s="127" t="s">
        <v>506</v>
      </c>
      <c r="E16" s="9" t="s">
        <v>525</v>
      </c>
      <c r="F16" s="131" t="s">
        <v>539</v>
      </c>
      <c r="G16" s="8" t="s">
        <v>600</v>
      </c>
      <c r="H16" s="124" t="s">
        <v>713</v>
      </c>
      <c r="I16" s="125" t="s">
        <v>614</v>
      </c>
      <c r="J16" s="25" t="s">
        <v>623</v>
      </c>
      <c r="K16" s="131" t="s">
        <v>624</v>
      </c>
      <c r="L16" s="128" t="s">
        <v>649</v>
      </c>
      <c r="M16" s="9" t="s">
        <v>657</v>
      </c>
      <c r="N16" s="9" t="s">
        <v>671</v>
      </c>
      <c r="O16" s="18" t="s">
        <v>34</v>
      </c>
      <c r="P16" s="128"/>
      <c r="Q16" s="34"/>
      <c r="R16" s="34"/>
      <c r="S16" s="35"/>
      <c r="T16" s="37"/>
      <c r="U16" s="15"/>
      <c r="V16" s="15"/>
      <c r="W16" s="37"/>
      <c r="X16" s="15"/>
      <c r="Y16" s="37"/>
      <c r="Z16" s="37"/>
      <c r="AA16" s="15"/>
      <c r="AB16" s="37"/>
      <c r="AC16" s="37"/>
      <c r="AD16" s="15"/>
      <c r="AE16" s="37"/>
    </row>
    <row r="17" spans="1:31" ht="43.2" x14ac:dyDescent="0.3">
      <c r="A17" s="132">
        <v>15</v>
      </c>
      <c r="B17" s="131" t="s">
        <v>353</v>
      </c>
      <c r="C17" s="38" t="s">
        <v>481</v>
      </c>
      <c r="D17" s="127" t="s">
        <v>506</v>
      </c>
      <c r="E17" s="9" t="s">
        <v>525</v>
      </c>
      <c r="F17" s="131" t="s">
        <v>529</v>
      </c>
      <c r="G17" s="8" t="s">
        <v>600</v>
      </c>
      <c r="H17" s="124" t="s">
        <v>713</v>
      </c>
      <c r="I17" s="125" t="s">
        <v>615</v>
      </c>
      <c r="J17" s="25" t="s">
        <v>623</v>
      </c>
      <c r="K17" s="131" t="s">
        <v>624</v>
      </c>
      <c r="L17" s="128" t="s">
        <v>649</v>
      </c>
      <c r="M17" s="9" t="s">
        <v>657</v>
      </c>
      <c r="N17" s="9" t="s">
        <v>672</v>
      </c>
      <c r="O17" s="18" t="s">
        <v>34</v>
      </c>
      <c r="P17" s="128"/>
      <c r="Q17" s="34"/>
      <c r="R17" s="34"/>
      <c r="S17" s="35"/>
      <c r="T17" s="37"/>
      <c r="U17" s="15"/>
      <c r="V17" s="15"/>
      <c r="W17" s="37"/>
      <c r="X17" s="15"/>
      <c r="Y17" s="37"/>
      <c r="Z17" s="37"/>
      <c r="AA17" s="15"/>
      <c r="AB17" s="37"/>
      <c r="AC17" s="37"/>
      <c r="AD17" s="15"/>
      <c r="AE17" s="37"/>
    </row>
    <row r="18" spans="1:31" ht="43.2" x14ac:dyDescent="0.3">
      <c r="A18" s="132">
        <v>16</v>
      </c>
      <c r="B18" s="131" t="s">
        <v>354</v>
      </c>
      <c r="C18" s="38" t="s">
        <v>482</v>
      </c>
      <c r="D18" s="127" t="s">
        <v>506</v>
      </c>
      <c r="E18" s="9" t="s">
        <v>525</v>
      </c>
      <c r="F18" s="131" t="s">
        <v>540</v>
      </c>
      <c r="G18" s="8" t="s">
        <v>600</v>
      </c>
      <c r="H18" s="124" t="s">
        <v>713</v>
      </c>
      <c r="I18" s="125" t="s">
        <v>616</v>
      </c>
      <c r="J18" s="25" t="s">
        <v>623</v>
      </c>
      <c r="K18" s="131" t="s">
        <v>624</v>
      </c>
      <c r="L18" s="128" t="s">
        <v>649</v>
      </c>
      <c r="M18" s="9" t="s">
        <v>657</v>
      </c>
      <c r="N18" s="9" t="s">
        <v>673</v>
      </c>
      <c r="O18" s="18" t="s">
        <v>34</v>
      </c>
      <c r="P18" s="128"/>
      <c r="Q18" s="34"/>
      <c r="R18" s="34"/>
      <c r="S18" s="35"/>
      <c r="T18" s="37"/>
      <c r="U18" s="15"/>
      <c r="V18" s="15"/>
      <c r="W18" s="37"/>
      <c r="X18" s="15"/>
      <c r="Y18" s="37"/>
      <c r="Z18" s="37"/>
      <c r="AA18" s="15"/>
      <c r="AB18" s="37"/>
      <c r="AC18" s="37"/>
      <c r="AD18" s="15"/>
      <c r="AE18" s="37"/>
    </row>
    <row r="19" spans="1:31" ht="43.2" x14ac:dyDescent="0.3">
      <c r="A19" s="132">
        <v>17</v>
      </c>
      <c r="B19" s="131" t="s">
        <v>355</v>
      </c>
      <c r="C19" s="38" t="s">
        <v>483</v>
      </c>
      <c r="D19" s="127" t="s">
        <v>506</v>
      </c>
      <c r="E19" s="9" t="s">
        <v>525</v>
      </c>
      <c r="F19" s="131" t="s">
        <v>535</v>
      </c>
      <c r="G19" s="8" t="s">
        <v>600</v>
      </c>
      <c r="H19" s="124" t="s">
        <v>713</v>
      </c>
      <c r="I19" s="125" t="s">
        <v>617</v>
      </c>
      <c r="J19" s="25" t="s">
        <v>623</v>
      </c>
      <c r="K19" s="131" t="s">
        <v>624</v>
      </c>
      <c r="L19" s="128" t="s">
        <v>649</v>
      </c>
      <c r="M19" s="9" t="s">
        <v>657</v>
      </c>
      <c r="N19" s="9" t="s">
        <v>674</v>
      </c>
      <c r="O19" s="18" t="s">
        <v>34</v>
      </c>
      <c r="P19" s="128"/>
      <c r="Q19" s="34"/>
      <c r="R19" s="34"/>
      <c r="S19" s="35"/>
      <c r="T19" s="37"/>
      <c r="U19" s="15"/>
      <c r="V19" s="15"/>
      <c r="W19" s="37"/>
      <c r="X19" s="15"/>
      <c r="Y19" s="37"/>
      <c r="Z19" s="37"/>
      <c r="AA19" s="15"/>
      <c r="AB19" s="37"/>
      <c r="AC19" s="37"/>
      <c r="AD19" s="15"/>
      <c r="AE19" s="37"/>
    </row>
    <row r="20" spans="1:31" ht="43.2" x14ac:dyDescent="0.3">
      <c r="A20" s="132">
        <v>18</v>
      </c>
      <c r="B20" s="131" t="s">
        <v>356</v>
      </c>
      <c r="C20" s="38" t="s">
        <v>484</v>
      </c>
      <c r="D20" s="127" t="s">
        <v>506</v>
      </c>
      <c r="E20" s="9" t="s">
        <v>525</v>
      </c>
      <c r="F20" s="131" t="s">
        <v>541</v>
      </c>
      <c r="G20" s="8" t="s">
        <v>600</v>
      </c>
      <c r="H20" s="124" t="s">
        <v>713</v>
      </c>
      <c r="I20" s="125" t="s">
        <v>618</v>
      </c>
      <c r="J20" s="25" t="s">
        <v>623</v>
      </c>
      <c r="K20" s="131" t="s">
        <v>624</v>
      </c>
      <c r="L20" s="128" t="s">
        <v>649</v>
      </c>
      <c r="M20" s="9" t="s">
        <v>657</v>
      </c>
      <c r="N20" s="9" t="s">
        <v>675</v>
      </c>
      <c r="O20" s="18" t="s">
        <v>34</v>
      </c>
      <c r="P20" s="128"/>
      <c r="Q20" s="34"/>
      <c r="R20" s="34"/>
      <c r="S20" s="35"/>
      <c r="T20" s="37"/>
      <c r="U20" s="15"/>
      <c r="V20" s="15"/>
      <c r="W20" s="37"/>
      <c r="X20" s="15"/>
      <c r="Y20" s="37"/>
      <c r="Z20" s="37"/>
      <c r="AA20" s="15"/>
      <c r="AB20" s="37"/>
      <c r="AC20" s="37"/>
      <c r="AD20" s="15"/>
      <c r="AE20" s="37"/>
    </row>
    <row r="21" spans="1:31" ht="43.2" x14ac:dyDescent="0.3">
      <c r="A21" s="132">
        <v>19</v>
      </c>
      <c r="B21" s="131" t="s">
        <v>357</v>
      </c>
      <c r="C21" s="38" t="s">
        <v>485</v>
      </c>
      <c r="D21" s="127" t="s">
        <v>506</v>
      </c>
      <c r="E21" s="9" t="s">
        <v>525</v>
      </c>
      <c r="F21" s="131" t="s">
        <v>542</v>
      </c>
      <c r="G21" s="8" t="s">
        <v>600</v>
      </c>
      <c r="H21" s="124" t="s">
        <v>713</v>
      </c>
      <c r="I21" s="125" t="s">
        <v>619</v>
      </c>
      <c r="J21" s="25" t="s">
        <v>623</v>
      </c>
      <c r="K21" s="131" t="s">
        <v>624</v>
      </c>
      <c r="L21" s="128" t="s">
        <v>649</v>
      </c>
      <c r="M21" s="9" t="s">
        <v>657</v>
      </c>
      <c r="N21" s="9" t="s">
        <v>676</v>
      </c>
      <c r="O21" s="18" t="s">
        <v>34</v>
      </c>
      <c r="P21" s="128"/>
      <c r="Q21" s="34"/>
      <c r="R21" s="34"/>
      <c r="S21" s="35"/>
      <c r="T21" s="37"/>
      <c r="U21" s="15"/>
      <c r="V21" s="15"/>
      <c r="W21" s="37"/>
      <c r="X21" s="15"/>
      <c r="Y21" s="37"/>
      <c r="Z21" s="37"/>
      <c r="AA21" s="15"/>
      <c r="AB21" s="37"/>
      <c r="AC21" s="37"/>
      <c r="AD21" s="15"/>
      <c r="AE21" s="37"/>
    </row>
    <row r="22" spans="1:31" ht="43.2" x14ac:dyDescent="0.3">
      <c r="A22" s="132">
        <v>20</v>
      </c>
      <c r="B22" s="131" t="s">
        <v>358</v>
      </c>
      <c r="C22" s="38" t="s">
        <v>34</v>
      </c>
      <c r="D22" s="127" t="s">
        <v>513</v>
      </c>
      <c r="E22" s="9" t="s">
        <v>525</v>
      </c>
      <c r="F22" s="131" t="s">
        <v>543</v>
      </c>
      <c r="G22" s="8" t="s">
        <v>600</v>
      </c>
      <c r="H22" s="124" t="s">
        <v>713</v>
      </c>
      <c r="I22" s="125" t="s">
        <v>34</v>
      </c>
      <c r="J22" s="25" t="s">
        <v>623</v>
      </c>
      <c r="K22" s="131" t="s">
        <v>631</v>
      </c>
      <c r="L22" s="128" t="s">
        <v>651</v>
      </c>
      <c r="M22" s="9" t="s">
        <v>657</v>
      </c>
      <c r="N22" s="9" t="s">
        <v>677</v>
      </c>
      <c r="O22" s="18" t="s">
        <v>34</v>
      </c>
      <c r="P22" s="128"/>
      <c r="Q22" s="34"/>
      <c r="R22" s="34"/>
      <c r="S22" s="35"/>
      <c r="T22" s="37"/>
      <c r="U22" s="15"/>
      <c r="V22" s="15"/>
      <c r="W22" s="37"/>
      <c r="X22" s="15"/>
      <c r="Y22" s="37"/>
      <c r="Z22" s="37"/>
      <c r="AA22" s="15"/>
      <c r="AB22" s="37"/>
      <c r="AC22" s="37"/>
      <c r="AD22" s="15"/>
      <c r="AE22" s="37"/>
    </row>
    <row r="23" spans="1:31" ht="43.2" x14ac:dyDescent="0.3">
      <c r="A23" s="132">
        <v>21</v>
      </c>
      <c r="B23" s="131" t="s">
        <v>359</v>
      </c>
      <c r="C23" s="38" t="s">
        <v>34</v>
      </c>
      <c r="D23" s="127" t="s">
        <v>513</v>
      </c>
      <c r="E23" s="9" t="s">
        <v>525</v>
      </c>
      <c r="F23" s="131" t="s">
        <v>544</v>
      </c>
      <c r="G23" s="8" t="s">
        <v>600</v>
      </c>
      <c r="H23" s="124" t="s">
        <v>713</v>
      </c>
      <c r="I23" s="125" t="s">
        <v>34</v>
      </c>
      <c r="J23" s="25" t="s">
        <v>623</v>
      </c>
      <c r="K23" s="131" t="s">
        <v>631</v>
      </c>
      <c r="L23" s="128" t="s">
        <v>651</v>
      </c>
      <c r="M23" s="9" t="s">
        <v>657</v>
      </c>
      <c r="N23" s="9" t="s">
        <v>677</v>
      </c>
      <c r="O23" s="18" t="s">
        <v>34</v>
      </c>
      <c r="P23" s="128"/>
      <c r="Q23" s="34"/>
      <c r="R23" s="34"/>
      <c r="S23" s="35"/>
      <c r="T23" s="37"/>
      <c r="U23" s="15"/>
      <c r="V23" s="15"/>
      <c r="W23" s="37"/>
      <c r="X23" s="15"/>
      <c r="Y23" s="37"/>
      <c r="Z23" s="37"/>
      <c r="AA23" s="15"/>
      <c r="AB23" s="37"/>
      <c r="AC23" s="37"/>
      <c r="AD23" s="15"/>
      <c r="AE23" s="37"/>
    </row>
    <row r="24" spans="1:31" ht="43.2" x14ac:dyDescent="0.3">
      <c r="A24" s="132">
        <v>22</v>
      </c>
      <c r="B24" s="131" t="s">
        <v>360</v>
      </c>
      <c r="C24" s="38" t="s">
        <v>34</v>
      </c>
      <c r="D24" s="127" t="s">
        <v>513</v>
      </c>
      <c r="E24" s="9" t="s">
        <v>525</v>
      </c>
      <c r="F24" s="131" t="s">
        <v>545</v>
      </c>
      <c r="G24" s="8" t="s">
        <v>600</v>
      </c>
      <c r="H24" s="124" t="s">
        <v>713</v>
      </c>
      <c r="I24" s="125" t="s">
        <v>34</v>
      </c>
      <c r="J24" s="25" t="s">
        <v>623</v>
      </c>
      <c r="K24" s="131" t="s">
        <v>631</v>
      </c>
      <c r="L24" s="128" t="s">
        <v>651</v>
      </c>
      <c r="M24" s="9" t="s">
        <v>657</v>
      </c>
      <c r="N24" s="9" t="s">
        <v>677</v>
      </c>
      <c r="O24" s="18" t="s">
        <v>34</v>
      </c>
      <c r="P24" s="128"/>
      <c r="Q24" s="34"/>
      <c r="R24" s="34"/>
      <c r="S24" s="35"/>
      <c r="T24" s="37"/>
      <c r="U24" s="15"/>
      <c r="V24" s="15"/>
      <c r="W24" s="37"/>
      <c r="X24" s="15"/>
      <c r="Y24" s="37"/>
      <c r="Z24" s="37"/>
      <c r="AA24" s="15"/>
      <c r="AB24" s="37"/>
      <c r="AC24" s="37"/>
      <c r="AD24" s="15"/>
      <c r="AE24" s="37"/>
    </row>
    <row r="25" spans="1:31" ht="43.2" x14ac:dyDescent="0.3">
      <c r="A25" s="132">
        <v>23</v>
      </c>
      <c r="B25" s="131" t="s">
        <v>361</v>
      </c>
      <c r="C25" s="38" t="s">
        <v>34</v>
      </c>
      <c r="D25" s="127" t="s">
        <v>513</v>
      </c>
      <c r="E25" s="9" t="s">
        <v>525</v>
      </c>
      <c r="F25" s="131" t="s">
        <v>546</v>
      </c>
      <c r="G25" s="8" t="s">
        <v>600</v>
      </c>
      <c r="H25" s="124" t="s">
        <v>713</v>
      </c>
      <c r="I25" s="125" t="s">
        <v>34</v>
      </c>
      <c r="J25" s="25" t="s">
        <v>623</v>
      </c>
      <c r="K25" s="131" t="s">
        <v>631</v>
      </c>
      <c r="L25" s="128" t="s">
        <v>651</v>
      </c>
      <c r="M25" s="9" t="s">
        <v>657</v>
      </c>
      <c r="N25" s="9" t="s">
        <v>677</v>
      </c>
      <c r="O25" s="18" t="s">
        <v>34</v>
      </c>
      <c r="P25" s="128"/>
      <c r="Q25" s="34"/>
      <c r="R25" s="34"/>
      <c r="S25" s="35"/>
      <c r="T25" s="37"/>
      <c r="U25" s="15"/>
      <c r="V25" s="15"/>
      <c r="W25" s="37"/>
      <c r="X25" s="15"/>
      <c r="Y25" s="37"/>
      <c r="Z25" s="37"/>
      <c r="AA25" s="15"/>
      <c r="AB25" s="37"/>
      <c r="AC25" s="37"/>
      <c r="AD25" s="15"/>
      <c r="AE25" s="37"/>
    </row>
    <row r="26" spans="1:31" ht="43.2" x14ac:dyDescent="0.3">
      <c r="A26" s="132">
        <v>24</v>
      </c>
      <c r="B26" s="131" t="s">
        <v>362</v>
      </c>
      <c r="C26" s="38" t="s">
        <v>34</v>
      </c>
      <c r="D26" s="127" t="s">
        <v>513</v>
      </c>
      <c r="E26" s="9" t="s">
        <v>525</v>
      </c>
      <c r="F26" s="131" t="s">
        <v>546</v>
      </c>
      <c r="G26" s="8" t="s">
        <v>600</v>
      </c>
      <c r="H26" s="124" t="s">
        <v>713</v>
      </c>
      <c r="I26" s="125" t="s">
        <v>34</v>
      </c>
      <c r="J26" s="25" t="s">
        <v>623</v>
      </c>
      <c r="K26" s="131" t="s">
        <v>631</v>
      </c>
      <c r="L26" s="128" t="s">
        <v>651</v>
      </c>
      <c r="M26" s="9" t="s">
        <v>657</v>
      </c>
      <c r="N26" s="9" t="s">
        <v>677</v>
      </c>
      <c r="O26" s="18" t="s">
        <v>34</v>
      </c>
      <c r="P26" s="128"/>
      <c r="Q26" s="34"/>
      <c r="R26" s="34"/>
      <c r="S26" s="35"/>
      <c r="T26" s="37"/>
      <c r="U26" s="15"/>
      <c r="V26" s="15"/>
      <c r="W26" s="37"/>
      <c r="X26" s="15"/>
      <c r="Y26" s="37"/>
      <c r="Z26" s="37"/>
      <c r="AA26" s="15"/>
      <c r="AB26" s="37"/>
      <c r="AC26" s="37"/>
      <c r="AD26" s="15"/>
      <c r="AE26" s="37"/>
    </row>
    <row r="27" spans="1:31" ht="28.8" x14ac:dyDescent="0.3">
      <c r="A27" s="132">
        <v>25</v>
      </c>
      <c r="B27" s="131" t="s">
        <v>363</v>
      </c>
      <c r="C27" s="38" t="s">
        <v>34</v>
      </c>
      <c r="D27" s="127" t="s">
        <v>514</v>
      </c>
      <c r="E27" s="9" t="s">
        <v>525</v>
      </c>
      <c r="F27" s="131" t="s">
        <v>545</v>
      </c>
      <c r="G27" s="8" t="s">
        <v>600</v>
      </c>
      <c r="H27" s="124" t="s">
        <v>713</v>
      </c>
      <c r="I27" s="125" t="s">
        <v>34</v>
      </c>
      <c r="J27" s="25" t="s">
        <v>623</v>
      </c>
      <c r="K27" s="131" t="s">
        <v>34</v>
      </c>
      <c r="L27" s="128" t="s">
        <v>651</v>
      </c>
      <c r="M27" s="9" t="s">
        <v>657</v>
      </c>
      <c r="N27" s="9" t="s">
        <v>678</v>
      </c>
      <c r="O27" s="18" t="s">
        <v>34</v>
      </c>
      <c r="P27" s="128"/>
      <c r="Q27" s="34"/>
      <c r="R27" s="34"/>
      <c r="S27" s="35"/>
      <c r="T27" s="37"/>
      <c r="U27" s="15"/>
      <c r="V27" s="15"/>
      <c r="W27" s="37"/>
      <c r="X27" s="15"/>
      <c r="Y27" s="37"/>
      <c r="Z27" s="37"/>
      <c r="AA27" s="15"/>
      <c r="AB27" s="37"/>
      <c r="AC27" s="37"/>
      <c r="AD27" s="15"/>
      <c r="AE27" s="37"/>
    </row>
    <row r="28" spans="1:31" ht="28.8" x14ac:dyDescent="0.3">
      <c r="A28" s="132">
        <v>26</v>
      </c>
      <c r="B28" s="131" t="s">
        <v>364</v>
      </c>
      <c r="C28" s="38" t="s">
        <v>34</v>
      </c>
      <c r="D28" s="127" t="s">
        <v>513</v>
      </c>
      <c r="E28" s="9" t="s">
        <v>525</v>
      </c>
      <c r="F28" s="131" t="s">
        <v>547</v>
      </c>
      <c r="G28" s="8" t="s">
        <v>600</v>
      </c>
      <c r="H28" s="124" t="s">
        <v>713</v>
      </c>
      <c r="I28" s="125" t="s">
        <v>34</v>
      </c>
      <c r="J28" s="25" t="s">
        <v>623</v>
      </c>
      <c r="K28" s="131" t="s">
        <v>34</v>
      </c>
      <c r="L28" s="128" t="s">
        <v>651</v>
      </c>
      <c r="M28" s="9" t="s">
        <v>657</v>
      </c>
      <c r="N28" s="9" t="s">
        <v>679</v>
      </c>
      <c r="O28" s="18" t="s">
        <v>34</v>
      </c>
      <c r="P28" s="128"/>
      <c r="Q28" s="34"/>
      <c r="R28" s="34"/>
      <c r="S28" s="35"/>
      <c r="T28" s="37"/>
      <c r="U28" s="15"/>
      <c r="V28" s="15"/>
      <c r="W28" s="37"/>
      <c r="X28" s="15"/>
      <c r="Y28" s="37"/>
      <c r="Z28" s="37"/>
      <c r="AA28" s="15"/>
      <c r="AB28" s="37"/>
      <c r="AC28" s="37"/>
      <c r="AD28" s="15"/>
      <c r="AE28" s="37"/>
    </row>
    <row r="29" spans="1:31" ht="28.8" x14ac:dyDescent="0.3">
      <c r="A29" s="132">
        <v>27</v>
      </c>
      <c r="B29" s="131" t="s">
        <v>365</v>
      </c>
      <c r="C29" s="38" t="s">
        <v>34</v>
      </c>
      <c r="D29" s="127" t="s">
        <v>513</v>
      </c>
      <c r="E29" s="9" t="s">
        <v>525</v>
      </c>
      <c r="F29" s="131" t="s">
        <v>548</v>
      </c>
      <c r="G29" s="8" t="s">
        <v>600</v>
      </c>
      <c r="H29" s="124" t="s">
        <v>713</v>
      </c>
      <c r="I29" s="125" t="s">
        <v>34</v>
      </c>
      <c r="J29" s="25" t="s">
        <v>623</v>
      </c>
      <c r="K29" s="131" t="s">
        <v>34</v>
      </c>
      <c r="L29" s="128" t="s">
        <v>651</v>
      </c>
      <c r="M29" s="9" t="s">
        <v>657</v>
      </c>
      <c r="N29" s="9" t="s">
        <v>679</v>
      </c>
      <c r="O29" s="18" t="s">
        <v>34</v>
      </c>
      <c r="P29" s="128"/>
      <c r="Q29" s="34"/>
      <c r="R29" s="34"/>
      <c r="S29" s="35"/>
      <c r="T29" s="37"/>
      <c r="U29" s="15"/>
      <c r="V29" s="15"/>
      <c r="W29" s="37"/>
      <c r="X29" s="15"/>
      <c r="Y29" s="37"/>
      <c r="Z29" s="37"/>
      <c r="AA29" s="15"/>
      <c r="AB29" s="37"/>
      <c r="AC29" s="37"/>
      <c r="AD29" s="15"/>
      <c r="AE29" s="37"/>
    </row>
    <row r="30" spans="1:31" ht="28.8" x14ac:dyDescent="0.3">
      <c r="A30" s="132">
        <v>28</v>
      </c>
      <c r="B30" s="131" t="s">
        <v>366</v>
      </c>
      <c r="C30" s="38" t="s">
        <v>34</v>
      </c>
      <c r="D30" s="127" t="s">
        <v>513</v>
      </c>
      <c r="E30" s="9" t="s">
        <v>525</v>
      </c>
      <c r="F30" s="131" t="s">
        <v>549</v>
      </c>
      <c r="G30" s="8" t="s">
        <v>600</v>
      </c>
      <c r="H30" s="124" t="s">
        <v>713</v>
      </c>
      <c r="I30" s="125" t="s">
        <v>34</v>
      </c>
      <c r="J30" s="25" t="s">
        <v>623</v>
      </c>
      <c r="K30" s="131" t="s">
        <v>34</v>
      </c>
      <c r="L30" s="128" t="s">
        <v>651</v>
      </c>
      <c r="M30" s="9" t="s">
        <v>657</v>
      </c>
      <c r="N30" s="9" t="s">
        <v>679</v>
      </c>
      <c r="O30" s="18" t="s">
        <v>34</v>
      </c>
      <c r="P30" s="128"/>
      <c r="Q30" s="34"/>
      <c r="R30" s="34"/>
      <c r="S30" s="35"/>
      <c r="T30" s="37"/>
      <c r="U30" s="15"/>
      <c r="V30" s="15"/>
      <c r="W30" s="37"/>
      <c r="X30" s="15"/>
      <c r="Y30" s="37"/>
      <c r="Z30" s="37"/>
      <c r="AA30" s="15"/>
      <c r="AB30" s="37"/>
      <c r="AC30" s="37"/>
      <c r="AD30" s="15"/>
      <c r="AE30" s="37"/>
    </row>
    <row r="31" spans="1:31" ht="28.8" x14ac:dyDescent="0.3">
      <c r="A31" s="132">
        <v>29</v>
      </c>
      <c r="B31" s="131" t="s">
        <v>367</v>
      </c>
      <c r="C31" s="38" t="s">
        <v>34</v>
      </c>
      <c r="D31" s="127" t="s">
        <v>513</v>
      </c>
      <c r="E31" s="9" t="s">
        <v>525</v>
      </c>
      <c r="F31" s="131" t="s">
        <v>550</v>
      </c>
      <c r="G31" s="8" t="s">
        <v>600</v>
      </c>
      <c r="H31" s="124" t="s">
        <v>713</v>
      </c>
      <c r="I31" s="125" t="s">
        <v>34</v>
      </c>
      <c r="J31" s="25" t="s">
        <v>623</v>
      </c>
      <c r="K31" s="131" t="s">
        <v>34</v>
      </c>
      <c r="L31" s="128" t="s">
        <v>651</v>
      </c>
      <c r="M31" s="9" t="s">
        <v>657</v>
      </c>
      <c r="N31" s="9" t="s">
        <v>679</v>
      </c>
      <c r="O31" s="18" t="s">
        <v>34</v>
      </c>
      <c r="P31" s="128"/>
      <c r="Q31" s="34"/>
      <c r="R31" s="34"/>
      <c r="S31" s="35"/>
      <c r="T31" s="37"/>
      <c r="U31" s="15"/>
      <c r="V31" s="15"/>
      <c r="W31" s="37"/>
      <c r="X31" s="15"/>
      <c r="Y31" s="37"/>
      <c r="Z31" s="37"/>
      <c r="AA31" s="15"/>
      <c r="AB31" s="37"/>
      <c r="AC31" s="37"/>
      <c r="AD31" s="15"/>
      <c r="AE31" s="37"/>
    </row>
    <row r="32" spans="1:31" ht="28.8" x14ac:dyDescent="0.3">
      <c r="A32" s="132">
        <v>30</v>
      </c>
      <c r="B32" s="131" t="s">
        <v>368</v>
      </c>
      <c r="C32" s="38" t="s">
        <v>34</v>
      </c>
      <c r="D32" s="127" t="s">
        <v>513</v>
      </c>
      <c r="E32" s="9" t="s">
        <v>525</v>
      </c>
      <c r="F32" s="131" t="s">
        <v>550</v>
      </c>
      <c r="G32" s="8" t="s">
        <v>600</v>
      </c>
      <c r="H32" s="124" t="s">
        <v>713</v>
      </c>
      <c r="I32" s="125" t="s">
        <v>34</v>
      </c>
      <c r="J32" s="25" t="s">
        <v>623</v>
      </c>
      <c r="K32" s="131" t="s">
        <v>34</v>
      </c>
      <c r="L32" s="128" t="s">
        <v>651</v>
      </c>
      <c r="M32" s="9" t="s">
        <v>657</v>
      </c>
      <c r="N32" s="9" t="s">
        <v>679</v>
      </c>
      <c r="O32" s="18" t="s">
        <v>34</v>
      </c>
      <c r="P32" s="128"/>
      <c r="Q32" s="34"/>
      <c r="R32" s="34"/>
      <c r="S32" s="35"/>
      <c r="T32" s="37"/>
      <c r="U32" s="15"/>
      <c r="V32" s="15"/>
      <c r="W32" s="37"/>
      <c r="X32" s="15"/>
      <c r="Y32" s="37"/>
      <c r="Z32" s="37"/>
      <c r="AA32" s="15"/>
      <c r="AB32" s="37"/>
      <c r="AC32" s="37"/>
      <c r="AD32" s="15"/>
      <c r="AE32" s="37"/>
    </row>
    <row r="33" spans="1:31" ht="28.8" x14ac:dyDescent="0.3">
      <c r="A33" s="132">
        <v>31</v>
      </c>
      <c r="B33" s="131" t="s">
        <v>369</v>
      </c>
      <c r="C33" s="38" t="s">
        <v>34</v>
      </c>
      <c r="D33" s="127" t="s">
        <v>513</v>
      </c>
      <c r="E33" s="9" t="s">
        <v>525</v>
      </c>
      <c r="F33" s="131" t="s">
        <v>551</v>
      </c>
      <c r="G33" s="8" t="s">
        <v>600</v>
      </c>
      <c r="H33" s="124" t="s">
        <v>713</v>
      </c>
      <c r="I33" s="125" t="s">
        <v>34</v>
      </c>
      <c r="J33" s="25" t="s">
        <v>623</v>
      </c>
      <c r="K33" s="131" t="s">
        <v>34</v>
      </c>
      <c r="L33" s="128" t="s">
        <v>651</v>
      </c>
      <c r="M33" s="9" t="s">
        <v>657</v>
      </c>
      <c r="N33" s="9" t="s">
        <v>679</v>
      </c>
      <c r="O33" s="18" t="s">
        <v>34</v>
      </c>
      <c r="P33" s="128"/>
      <c r="Q33" s="34"/>
      <c r="R33" s="34"/>
      <c r="S33" s="35"/>
      <c r="T33" s="37"/>
      <c r="U33" s="15"/>
      <c r="V33" s="15"/>
      <c r="W33" s="37"/>
      <c r="X33" s="15"/>
      <c r="Y33" s="37"/>
      <c r="Z33" s="37"/>
      <c r="AA33" s="15"/>
      <c r="AB33" s="37"/>
      <c r="AC33" s="37"/>
      <c r="AD33" s="15"/>
      <c r="AE33" s="37"/>
    </row>
    <row r="34" spans="1:31" ht="28.8" x14ac:dyDescent="0.3">
      <c r="A34" s="132">
        <v>32</v>
      </c>
      <c r="B34" s="131" t="s">
        <v>370</v>
      </c>
      <c r="C34" s="38" t="s">
        <v>34</v>
      </c>
      <c r="D34" s="127" t="s">
        <v>513</v>
      </c>
      <c r="E34" s="9" t="s">
        <v>525</v>
      </c>
      <c r="F34" s="131" t="s">
        <v>552</v>
      </c>
      <c r="G34" s="8" t="s">
        <v>600</v>
      </c>
      <c r="H34" s="124" t="s">
        <v>713</v>
      </c>
      <c r="I34" s="125" t="s">
        <v>34</v>
      </c>
      <c r="J34" s="25" t="s">
        <v>623</v>
      </c>
      <c r="K34" s="131" t="s">
        <v>34</v>
      </c>
      <c r="L34" s="128" t="s">
        <v>651</v>
      </c>
      <c r="M34" s="9" t="s">
        <v>657</v>
      </c>
      <c r="N34" s="9" t="s">
        <v>679</v>
      </c>
      <c r="O34" s="18" t="s">
        <v>34</v>
      </c>
      <c r="P34" s="128"/>
      <c r="Q34" s="34"/>
      <c r="R34" s="34"/>
      <c r="S34" s="35"/>
      <c r="T34" s="37"/>
      <c r="U34" s="15"/>
      <c r="V34" s="15"/>
      <c r="W34" s="37"/>
      <c r="X34" s="15"/>
      <c r="Y34" s="37"/>
      <c r="Z34" s="37"/>
      <c r="AA34" s="15"/>
      <c r="AB34" s="37"/>
      <c r="AC34" s="37"/>
      <c r="AD34" s="15"/>
      <c r="AE34" s="37"/>
    </row>
    <row r="35" spans="1:31" ht="28.8" x14ac:dyDescent="0.3">
      <c r="A35" s="132">
        <v>33</v>
      </c>
      <c r="B35" s="131" t="s">
        <v>371</v>
      </c>
      <c r="C35" s="38" t="s">
        <v>34</v>
      </c>
      <c r="D35" s="127" t="s">
        <v>514</v>
      </c>
      <c r="E35" s="9" t="s">
        <v>525</v>
      </c>
      <c r="F35" s="131" t="s">
        <v>553</v>
      </c>
      <c r="G35" s="8" t="s">
        <v>600</v>
      </c>
      <c r="H35" s="124" t="s">
        <v>713</v>
      </c>
      <c r="I35" s="125" t="s">
        <v>34</v>
      </c>
      <c r="J35" s="25" t="s">
        <v>623</v>
      </c>
      <c r="K35" s="131" t="s">
        <v>34</v>
      </c>
      <c r="L35" s="128" t="s">
        <v>651</v>
      </c>
      <c r="M35" s="9" t="s">
        <v>657</v>
      </c>
      <c r="N35" s="9" t="s">
        <v>678</v>
      </c>
      <c r="O35" s="18" t="s">
        <v>34</v>
      </c>
      <c r="P35" s="128"/>
      <c r="Q35" s="34"/>
      <c r="R35" s="34"/>
      <c r="S35" s="35"/>
      <c r="T35" s="37"/>
      <c r="U35" s="15"/>
      <c r="V35" s="15"/>
      <c r="W35" s="37"/>
      <c r="X35" s="15"/>
      <c r="Y35" s="37"/>
      <c r="Z35" s="37"/>
      <c r="AA35" s="15"/>
      <c r="AB35" s="37"/>
      <c r="AC35" s="37"/>
      <c r="AD35" s="15"/>
      <c r="AE35" s="37"/>
    </row>
    <row r="36" spans="1:31" ht="28.8" x14ac:dyDescent="0.3">
      <c r="A36" s="132">
        <v>34</v>
      </c>
      <c r="B36" s="131" t="s">
        <v>372</v>
      </c>
      <c r="C36" s="38" t="s">
        <v>34</v>
      </c>
      <c r="D36" s="127" t="s">
        <v>513</v>
      </c>
      <c r="E36" s="9" t="s">
        <v>525</v>
      </c>
      <c r="F36" s="131" t="s">
        <v>551</v>
      </c>
      <c r="G36" s="8" t="s">
        <v>600</v>
      </c>
      <c r="H36" s="124" t="s">
        <v>713</v>
      </c>
      <c r="I36" s="125" t="s">
        <v>34</v>
      </c>
      <c r="J36" s="25" t="s">
        <v>623</v>
      </c>
      <c r="K36" s="131" t="s">
        <v>34</v>
      </c>
      <c r="L36" s="128" t="s">
        <v>651</v>
      </c>
      <c r="M36" s="9" t="s">
        <v>657</v>
      </c>
      <c r="N36" s="9" t="s">
        <v>680</v>
      </c>
      <c r="O36" s="18" t="s">
        <v>34</v>
      </c>
      <c r="P36" s="128"/>
      <c r="Q36" s="34"/>
      <c r="R36" s="34"/>
      <c r="S36" s="35"/>
      <c r="T36" s="37"/>
      <c r="U36" s="15"/>
      <c r="V36" s="15"/>
      <c r="W36" s="37"/>
      <c r="X36" s="15"/>
      <c r="Y36" s="37"/>
      <c r="Z36" s="37"/>
      <c r="AA36" s="15"/>
      <c r="AB36" s="37"/>
      <c r="AC36" s="37"/>
      <c r="AD36" s="15"/>
      <c r="AE36" s="37"/>
    </row>
    <row r="37" spans="1:31" ht="28.8" x14ac:dyDescent="0.3">
      <c r="A37" s="132">
        <v>35</v>
      </c>
      <c r="B37" s="131" t="s">
        <v>373</v>
      </c>
      <c r="C37" s="38" t="s">
        <v>34</v>
      </c>
      <c r="D37" s="127" t="s">
        <v>513</v>
      </c>
      <c r="E37" s="9" t="s">
        <v>525</v>
      </c>
      <c r="F37" s="131" t="s">
        <v>551</v>
      </c>
      <c r="G37" s="8" t="s">
        <v>600</v>
      </c>
      <c r="H37" s="124" t="s">
        <v>713</v>
      </c>
      <c r="I37" s="125" t="s">
        <v>34</v>
      </c>
      <c r="J37" s="25" t="s">
        <v>623</v>
      </c>
      <c r="K37" s="131" t="s">
        <v>34</v>
      </c>
      <c r="L37" s="128" t="s">
        <v>651</v>
      </c>
      <c r="M37" s="9" t="s">
        <v>657</v>
      </c>
      <c r="N37" s="9" t="s">
        <v>681</v>
      </c>
      <c r="O37" s="18" t="s">
        <v>34</v>
      </c>
      <c r="P37" s="128"/>
      <c r="Q37" s="34"/>
      <c r="R37" s="34"/>
      <c r="S37" s="35"/>
      <c r="T37" s="37"/>
      <c r="U37" s="15"/>
      <c r="V37" s="15"/>
      <c r="W37" s="37"/>
      <c r="X37" s="15"/>
      <c r="Y37" s="37"/>
      <c r="Z37" s="37"/>
      <c r="AA37" s="15"/>
      <c r="AB37" s="37"/>
      <c r="AC37" s="37"/>
      <c r="AD37" s="15"/>
      <c r="AE37" s="37"/>
    </row>
    <row r="38" spans="1:31" ht="28.8" x14ac:dyDescent="0.3">
      <c r="A38" s="132">
        <v>36</v>
      </c>
      <c r="B38" s="131" t="s">
        <v>374</v>
      </c>
      <c r="C38" s="38" t="s">
        <v>34</v>
      </c>
      <c r="D38" s="127" t="s">
        <v>515</v>
      </c>
      <c r="E38" s="9" t="s">
        <v>525</v>
      </c>
      <c r="F38" s="131" t="s">
        <v>541</v>
      </c>
      <c r="G38" s="8" t="s">
        <v>600</v>
      </c>
      <c r="H38" s="124" t="s">
        <v>713</v>
      </c>
      <c r="I38" s="125" t="s">
        <v>34</v>
      </c>
      <c r="J38" s="25" t="s">
        <v>623</v>
      </c>
      <c r="K38" s="131" t="s">
        <v>632</v>
      </c>
      <c r="L38" s="128" t="s">
        <v>651</v>
      </c>
      <c r="M38" s="9" t="s">
        <v>657</v>
      </c>
      <c r="N38" s="9" t="s">
        <v>681</v>
      </c>
      <c r="O38" s="18" t="s">
        <v>34</v>
      </c>
      <c r="P38" s="128"/>
      <c r="Q38" s="34"/>
      <c r="R38" s="34"/>
      <c r="S38" s="35"/>
      <c r="T38" s="37"/>
      <c r="U38" s="15"/>
      <c r="V38" s="15"/>
      <c r="W38" s="37"/>
      <c r="X38" s="15"/>
      <c r="Y38" s="37"/>
      <c r="Z38" s="37"/>
      <c r="AA38" s="15"/>
      <c r="AB38" s="37"/>
      <c r="AC38" s="37"/>
      <c r="AD38" s="15"/>
      <c r="AE38" s="37"/>
    </row>
    <row r="39" spans="1:31" ht="28.8" x14ac:dyDescent="0.3">
      <c r="A39" s="132">
        <v>37</v>
      </c>
      <c r="B39" s="131" t="s">
        <v>375</v>
      </c>
      <c r="C39" s="38" t="s">
        <v>34</v>
      </c>
      <c r="D39" s="127" t="s">
        <v>515</v>
      </c>
      <c r="E39" s="9" t="s">
        <v>525</v>
      </c>
      <c r="F39" s="131" t="s">
        <v>532</v>
      </c>
      <c r="G39" s="8" t="s">
        <v>600</v>
      </c>
      <c r="H39" s="124" t="s">
        <v>713</v>
      </c>
      <c r="I39" s="125" t="s">
        <v>34</v>
      </c>
      <c r="J39" s="25" t="s">
        <v>623</v>
      </c>
      <c r="K39" s="131" t="s">
        <v>632</v>
      </c>
      <c r="L39" s="128" t="s">
        <v>651</v>
      </c>
      <c r="M39" s="9" t="s">
        <v>657</v>
      </c>
      <c r="N39" s="9" t="s">
        <v>681</v>
      </c>
      <c r="O39" s="18" t="s">
        <v>34</v>
      </c>
      <c r="P39" s="128"/>
      <c r="Q39" s="34"/>
      <c r="R39" s="34"/>
      <c r="S39" s="35"/>
      <c r="T39" s="37"/>
      <c r="U39" s="15"/>
      <c r="V39" s="15"/>
      <c r="W39" s="37"/>
      <c r="X39" s="15"/>
      <c r="Y39" s="37"/>
      <c r="Z39" s="37"/>
      <c r="AA39" s="15"/>
      <c r="AB39" s="37"/>
      <c r="AC39" s="37"/>
      <c r="AD39" s="15"/>
      <c r="AE39" s="37"/>
    </row>
    <row r="40" spans="1:31" ht="28.8" x14ac:dyDescent="0.3">
      <c r="A40" s="132">
        <v>38</v>
      </c>
      <c r="B40" s="131" t="s">
        <v>376</v>
      </c>
      <c r="C40" s="38" t="s">
        <v>34</v>
      </c>
      <c r="D40" s="127" t="s">
        <v>515</v>
      </c>
      <c r="E40" s="9" t="s">
        <v>525</v>
      </c>
      <c r="F40" s="131" t="s">
        <v>541</v>
      </c>
      <c r="G40" s="8" t="s">
        <v>600</v>
      </c>
      <c r="H40" s="124" t="s">
        <v>713</v>
      </c>
      <c r="I40" s="125" t="s">
        <v>34</v>
      </c>
      <c r="J40" s="25" t="s">
        <v>623</v>
      </c>
      <c r="K40" s="131" t="s">
        <v>632</v>
      </c>
      <c r="L40" s="128" t="s">
        <v>651</v>
      </c>
      <c r="M40" s="9" t="s">
        <v>657</v>
      </c>
      <c r="N40" s="9" t="s">
        <v>681</v>
      </c>
      <c r="O40" s="18" t="s">
        <v>34</v>
      </c>
      <c r="P40" s="128"/>
      <c r="Q40" s="34"/>
      <c r="R40" s="34"/>
      <c r="S40" s="35"/>
      <c r="T40" s="37"/>
      <c r="U40" s="15"/>
      <c r="V40" s="15"/>
      <c r="W40" s="37"/>
      <c r="X40" s="15"/>
      <c r="Y40" s="37"/>
      <c r="Z40" s="37"/>
      <c r="AA40" s="15"/>
      <c r="AB40" s="37"/>
      <c r="AC40" s="37"/>
      <c r="AD40" s="15"/>
      <c r="AE40" s="37"/>
    </row>
    <row r="41" spans="1:31" ht="28.8" x14ac:dyDescent="0.3">
      <c r="A41" s="132">
        <v>39</v>
      </c>
      <c r="B41" s="131" t="s">
        <v>377</v>
      </c>
      <c r="C41" s="38" t="s">
        <v>34</v>
      </c>
      <c r="D41" s="127" t="s">
        <v>515</v>
      </c>
      <c r="E41" s="9" t="s">
        <v>525</v>
      </c>
      <c r="F41" s="131" t="s">
        <v>532</v>
      </c>
      <c r="G41" s="8" t="s">
        <v>600</v>
      </c>
      <c r="H41" s="124" t="s">
        <v>713</v>
      </c>
      <c r="I41" s="125" t="s">
        <v>34</v>
      </c>
      <c r="J41" s="25" t="s">
        <v>623</v>
      </c>
      <c r="K41" s="131" t="s">
        <v>632</v>
      </c>
      <c r="L41" s="128" t="s">
        <v>651</v>
      </c>
      <c r="M41" s="9" t="s">
        <v>657</v>
      </c>
      <c r="N41" s="9" t="s">
        <v>681</v>
      </c>
      <c r="O41" s="18" t="s">
        <v>34</v>
      </c>
      <c r="P41" s="128"/>
      <c r="Q41" s="34"/>
      <c r="R41" s="34"/>
      <c r="S41" s="35"/>
      <c r="T41" s="37"/>
      <c r="U41" s="15"/>
      <c r="V41" s="15"/>
      <c r="W41" s="37"/>
      <c r="X41" s="15"/>
      <c r="Y41" s="37"/>
      <c r="Z41" s="37"/>
      <c r="AA41" s="15"/>
      <c r="AB41" s="37"/>
      <c r="AC41" s="37"/>
      <c r="AD41" s="15"/>
      <c r="AE41" s="37"/>
    </row>
    <row r="42" spans="1:31" ht="28.8" x14ac:dyDescent="0.3">
      <c r="A42" s="132">
        <v>40</v>
      </c>
      <c r="B42" s="131" t="s">
        <v>378</v>
      </c>
      <c r="C42" s="38" t="s">
        <v>34</v>
      </c>
      <c r="D42" s="127" t="s">
        <v>515</v>
      </c>
      <c r="E42" s="9" t="s">
        <v>525</v>
      </c>
      <c r="F42" s="131" t="s">
        <v>554</v>
      </c>
      <c r="G42" s="8" t="s">
        <v>600</v>
      </c>
      <c r="H42" s="124" t="s">
        <v>713</v>
      </c>
      <c r="I42" s="125" t="s">
        <v>34</v>
      </c>
      <c r="J42" s="25" t="s">
        <v>623</v>
      </c>
      <c r="K42" s="131" t="s">
        <v>34</v>
      </c>
      <c r="L42" s="128" t="s">
        <v>651</v>
      </c>
      <c r="M42" s="9" t="s">
        <v>657</v>
      </c>
      <c r="N42" s="9" t="s">
        <v>681</v>
      </c>
      <c r="O42" s="18" t="s">
        <v>34</v>
      </c>
      <c r="P42" s="128"/>
      <c r="Q42" s="34"/>
      <c r="R42" s="34"/>
      <c r="S42" s="35"/>
      <c r="T42" s="37"/>
      <c r="U42" s="15"/>
      <c r="V42" s="15"/>
      <c r="W42" s="37"/>
      <c r="X42" s="15"/>
      <c r="Y42" s="37"/>
      <c r="Z42" s="37"/>
      <c r="AA42" s="15"/>
      <c r="AB42" s="37"/>
      <c r="AC42" s="37"/>
      <c r="AD42" s="15"/>
      <c r="AE42" s="37"/>
    </row>
    <row r="43" spans="1:31" ht="28.8" x14ac:dyDescent="0.3">
      <c r="A43" s="132">
        <v>41</v>
      </c>
      <c r="B43" s="131" t="s">
        <v>379</v>
      </c>
      <c r="C43" s="38" t="s">
        <v>34</v>
      </c>
      <c r="D43" s="127" t="s">
        <v>513</v>
      </c>
      <c r="E43" s="9" t="s">
        <v>525</v>
      </c>
      <c r="F43" s="131" t="s">
        <v>555</v>
      </c>
      <c r="G43" s="8" t="s">
        <v>600</v>
      </c>
      <c r="H43" s="124" t="s">
        <v>713</v>
      </c>
      <c r="I43" s="125" t="s">
        <v>34</v>
      </c>
      <c r="J43" s="25" t="s">
        <v>623</v>
      </c>
      <c r="K43" s="131" t="s">
        <v>34</v>
      </c>
      <c r="L43" s="128" t="s">
        <v>651</v>
      </c>
      <c r="M43" s="9" t="s">
        <v>657</v>
      </c>
      <c r="N43" s="9" t="s">
        <v>680</v>
      </c>
      <c r="O43" s="18" t="s">
        <v>34</v>
      </c>
      <c r="P43" s="128"/>
      <c r="Q43" s="34"/>
      <c r="R43" s="34"/>
      <c r="S43" s="35"/>
      <c r="T43" s="37"/>
      <c r="U43" s="15"/>
      <c r="V43" s="15"/>
      <c r="W43" s="37"/>
      <c r="X43" s="15"/>
      <c r="Y43" s="37"/>
      <c r="Z43" s="37"/>
      <c r="AA43" s="15"/>
      <c r="AB43" s="37"/>
      <c r="AC43" s="37"/>
      <c r="AD43" s="15"/>
      <c r="AE43" s="37"/>
    </row>
    <row r="44" spans="1:31" ht="28.8" x14ac:dyDescent="0.3">
      <c r="A44" s="132">
        <v>42</v>
      </c>
      <c r="B44" s="131" t="s">
        <v>380</v>
      </c>
      <c r="C44" s="38" t="s">
        <v>34</v>
      </c>
      <c r="D44" s="127" t="s">
        <v>513</v>
      </c>
      <c r="E44" s="9" t="s">
        <v>525</v>
      </c>
      <c r="F44" s="131" t="s">
        <v>556</v>
      </c>
      <c r="G44" s="8" t="s">
        <v>600</v>
      </c>
      <c r="H44" s="124" t="s">
        <v>713</v>
      </c>
      <c r="I44" s="125" t="s">
        <v>34</v>
      </c>
      <c r="J44" s="25" t="s">
        <v>623</v>
      </c>
      <c r="K44" s="131" t="s">
        <v>34</v>
      </c>
      <c r="L44" s="128" t="s">
        <v>651</v>
      </c>
      <c r="M44" s="9" t="s">
        <v>657</v>
      </c>
      <c r="N44" s="9" t="s">
        <v>680</v>
      </c>
      <c r="O44" s="18" t="s">
        <v>34</v>
      </c>
      <c r="P44" s="128"/>
      <c r="Q44" s="34"/>
      <c r="R44" s="34"/>
      <c r="S44" s="35"/>
      <c r="T44" s="37"/>
      <c r="U44" s="15"/>
      <c r="V44" s="15"/>
      <c r="W44" s="37"/>
      <c r="X44" s="15"/>
      <c r="Y44" s="37"/>
      <c r="Z44" s="37"/>
      <c r="AA44" s="15"/>
      <c r="AB44" s="37"/>
      <c r="AC44" s="37"/>
      <c r="AD44" s="15"/>
      <c r="AE44" s="37"/>
    </row>
    <row r="45" spans="1:31" ht="28.8" x14ac:dyDescent="0.3">
      <c r="A45" s="132">
        <v>43</v>
      </c>
      <c r="B45" s="131" t="s">
        <v>381</v>
      </c>
      <c r="C45" s="38" t="s">
        <v>34</v>
      </c>
      <c r="D45" s="127" t="s">
        <v>513</v>
      </c>
      <c r="E45" s="9" t="s">
        <v>525</v>
      </c>
      <c r="F45" s="131" t="s">
        <v>557</v>
      </c>
      <c r="G45" s="8" t="s">
        <v>600</v>
      </c>
      <c r="H45" s="124" t="s">
        <v>713</v>
      </c>
      <c r="I45" s="125" t="s">
        <v>34</v>
      </c>
      <c r="J45" s="25" t="s">
        <v>623</v>
      </c>
      <c r="K45" s="131" t="s">
        <v>34</v>
      </c>
      <c r="L45" s="128" t="s">
        <v>651</v>
      </c>
      <c r="M45" s="9" t="s">
        <v>657</v>
      </c>
      <c r="N45" s="9" t="s">
        <v>680</v>
      </c>
      <c r="O45" s="18" t="s">
        <v>34</v>
      </c>
      <c r="P45" s="128"/>
      <c r="Q45" s="34"/>
      <c r="R45" s="34"/>
      <c r="S45" s="35"/>
      <c r="T45" s="37"/>
      <c r="U45" s="15"/>
      <c r="V45" s="15"/>
      <c r="W45" s="37"/>
      <c r="X45" s="15"/>
      <c r="Y45" s="37"/>
      <c r="Z45" s="37"/>
      <c r="AA45" s="15"/>
      <c r="AB45" s="37"/>
      <c r="AC45" s="37"/>
      <c r="AD45" s="15"/>
      <c r="AE45" s="37"/>
    </row>
    <row r="46" spans="1:31" ht="28.8" x14ac:dyDescent="0.3">
      <c r="A46" s="132">
        <v>44</v>
      </c>
      <c r="B46" s="131" t="s">
        <v>382</v>
      </c>
      <c r="C46" s="38" t="s">
        <v>34</v>
      </c>
      <c r="D46" s="127" t="s">
        <v>516</v>
      </c>
      <c r="E46" s="9" t="s">
        <v>525</v>
      </c>
      <c r="F46" s="131" t="s">
        <v>558</v>
      </c>
      <c r="G46" s="8" t="s">
        <v>600</v>
      </c>
      <c r="H46" s="124" t="s">
        <v>713</v>
      </c>
      <c r="I46" s="125" t="s">
        <v>34</v>
      </c>
      <c r="J46" s="25" t="s">
        <v>623</v>
      </c>
      <c r="K46" s="131" t="s">
        <v>34</v>
      </c>
      <c r="L46" s="128" t="s">
        <v>652</v>
      </c>
      <c r="M46" s="9" t="s">
        <v>657</v>
      </c>
      <c r="N46" s="9" t="s">
        <v>682</v>
      </c>
      <c r="O46" s="18" t="s">
        <v>34</v>
      </c>
      <c r="P46" s="128"/>
      <c r="Q46" s="34"/>
      <c r="R46" s="34"/>
      <c r="S46" s="35"/>
      <c r="T46" s="37"/>
      <c r="U46" s="15"/>
      <c r="V46" s="15"/>
      <c r="W46" s="37"/>
      <c r="X46" s="15"/>
      <c r="Y46" s="37"/>
      <c r="Z46" s="37"/>
      <c r="AA46" s="15"/>
      <c r="AB46" s="37"/>
      <c r="AC46" s="37"/>
      <c r="AD46" s="15"/>
      <c r="AE46" s="37"/>
    </row>
    <row r="47" spans="1:31" ht="43.2" x14ac:dyDescent="0.3">
      <c r="A47" s="132">
        <v>45</v>
      </c>
      <c r="B47" s="131" t="s">
        <v>383</v>
      </c>
      <c r="C47" s="38" t="s">
        <v>34</v>
      </c>
      <c r="D47" s="127" t="s">
        <v>513</v>
      </c>
      <c r="E47" s="9" t="s">
        <v>525</v>
      </c>
      <c r="F47" s="131" t="s">
        <v>542</v>
      </c>
      <c r="G47" s="8" t="s">
        <v>600</v>
      </c>
      <c r="H47" s="124" t="s">
        <v>713</v>
      </c>
      <c r="I47" s="125" t="s">
        <v>34</v>
      </c>
      <c r="J47" s="25" t="s">
        <v>623</v>
      </c>
      <c r="K47" s="131" t="s">
        <v>633</v>
      </c>
      <c r="L47" s="128" t="s">
        <v>652</v>
      </c>
      <c r="M47" s="9" t="s">
        <v>657</v>
      </c>
      <c r="N47" s="9" t="s">
        <v>683</v>
      </c>
      <c r="O47" s="18" t="s">
        <v>34</v>
      </c>
      <c r="P47" s="128"/>
      <c r="Q47" s="34"/>
      <c r="R47" s="34"/>
      <c r="S47" s="35"/>
      <c r="T47" s="37"/>
      <c r="U47" s="15"/>
      <c r="V47" s="15"/>
      <c r="W47" s="37"/>
      <c r="X47" s="15"/>
      <c r="Y47" s="37"/>
      <c r="Z47" s="37"/>
      <c r="AA47" s="15"/>
      <c r="AB47" s="37"/>
      <c r="AC47" s="37"/>
      <c r="AD47" s="15"/>
      <c r="AE47" s="37"/>
    </row>
    <row r="48" spans="1:31" ht="43.2" x14ac:dyDescent="0.3">
      <c r="A48" s="132">
        <v>46</v>
      </c>
      <c r="B48" s="131" t="s">
        <v>384</v>
      </c>
      <c r="C48" s="38" t="s">
        <v>34</v>
      </c>
      <c r="D48" s="127" t="s">
        <v>513</v>
      </c>
      <c r="E48" s="9" t="s">
        <v>525</v>
      </c>
      <c r="F48" s="131" t="s">
        <v>559</v>
      </c>
      <c r="G48" s="8" t="s">
        <v>600</v>
      </c>
      <c r="H48" s="124" t="s">
        <v>713</v>
      </c>
      <c r="I48" s="125" t="s">
        <v>34</v>
      </c>
      <c r="J48" s="25" t="s">
        <v>623</v>
      </c>
      <c r="K48" s="131" t="s">
        <v>633</v>
      </c>
      <c r="L48" s="128" t="s">
        <v>652</v>
      </c>
      <c r="M48" s="9" t="s">
        <v>657</v>
      </c>
      <c r="N48" s="9" t="s">
        <v>683</v>
      </c>
      <c r="O48" s="18" t="s">
        <v>34</v>
      </c>
      <c r="P48" s="128"/>
      <c r="Q48" s="34"/>
      <c r="R48" s="34"/>
      <c r="S48" s="35"/>
      <c r="T48" s="37"/>
      <c r="U48" s="15"/>
      <c r="V48" s="15"/>
      <c r="W48" s="37"/>
      <c r="X48" s="15"/>
      <c r="Y48" s="37"/>
      <c r="Z48" s="37"/>
      <c r="AA48" s="15"/>
      <c r="AB48" s="37"/>
      <c r="AC48" s="37"/>
      <c r="AD48" s="15"/>
      <c r="AE48" s="37"/>
    </row>
    <row r="49" spans="1:31" ht="28.8" x14ac:dyDescent="0.3">
      <c r="A49" s="132">
        <v>47</v>
      </c>
      <c r="B49" s="131" t="s">
        <v>385</v>
      </c>
      <c r="C49" s="38" t="s">
        <v>34</v>
      </c>
      <c r="D49" s="127" t="s">
        <v>513</v>
      </c>
      <c r="E49" s="9" t="s">
        <v>525</v>
      </c>
      <c r="F49" s="131" t="s">
        <v>555</v>
      </c>
      <c r="G49" s="8" t="s">
        <v>600</v>
      </c>
      <c r="H49" s="124" t="s">
        <v>713</v>
      </c>
      <c r="I49" s="125" t="s">
        <v>34</v>
      </c>
      <c r="J49" s="25" t="s">
        <v>623</v>
      </c>
      <c r="K49" s="131" t="s">
        <v>34</v>
      </c>
      <c r="L49" s="128" t="s">
        <v>652</v>
      </c>
      <c r="M49" s="9" t="s">
        <v>657</v>
      </c>
      <c r="N49" s="9" t="s">
        <v>683</v>
      </c>
      <c r="O49" s="18" t="s">
        <v>34</v>
      </c>
      <c r="P49" s="128"/>
      <c r="Q49" s="34"/>
      <c r="R49" s="34"/>
      <c r="S49" s="35"/>
      <c r="T49" s="37"/>
      <c r="U49" s="15"/>
      <c r="V49" s="15"/>
      <c r="W49" s="37"/>
      <c r="X49" s="15"/>
      <c r="Y49" s="37"/>
      <c r="Z49" s="37"/>
      <c r="AA49" s="15"/>
      <c r="AB49" s="37"/>
      <c r="AC49" s="37"/>
      <c r="AD49" s="15"/>
      <c r="AE49" s="37"/>
    </row>
    <row r="50" spans="1:31" ht="28.8" x14ac:dyDescent="0.3">
      <c r="A50" s="132">
        <v>48</v>
      </c>
      <c r="B50" s="131" t="s">
        <v>386</v>
      </c>
      <c r="C50" s="38" t="s">
        <v>34</v>
      </c>
      <c r="D50" s="127" t="s">
        <v>513</v>
      </c>
      <c r="E50" s="9" t="s">
        <v>525</v>
      </c>
      <c r="F50" s="131" t="s">
        <v>560</v>
      </c>
      <c r="G50" s="8" t="s">
        <v>600</v>
      </c>
      <c r="H50" s="124" t="s">
        <v>713</v>
      </c>
      <c r="I50" s="125" t="s">
        <v>34</v>
      </c>
      <c r="J50" s="25" t="s">
        <v>623</v>
      </c>
      <c r="K50" s="131" t="s">
        <v>34</v>
      </c>
      <c r="L50" s="128" t="s">
        <v>652</v>
      </c>
      <c r="M50" s="9" t="s">
        <v>657</v>
      </c>
      <c r="N50" s="9" t="s">
        <v>683</v>
      </c>
      <c r="O50" s="18" t="s">
        <v>34</v>
      </c>
      <c r="P50" s="128"/>
      <c r="Q50" s="34"/>
      <c r="R50" s="34"/>
      <c r="S50" s="35"/>
      <c r="T50" s="37"/>
      <c r="U50" s="15"/>
      <c r="V50" s="15"/>
      <c r="W50" s="37"/>
      <c r="X50" s="15"/>
      <c r="Y50" s="37"/>
      <c r="Z50" s="37"/>
      <c r="AA50" s="15"/>
      <c r="AB50" s="37"/>
      <c r="AC50" s="37"/>
      <c r="AD50" s="15"/>
      <c r="AE50" s="37"/>
    </row>
    <row r="51" spans="1:31" ht="28.8" x14ac:dyDescent="0.3">
      <c r="A51" s="132">
        <v>49</v>
      </c>
      <c r="B51" s="131" t="s">
        <v>387</v>
      </c>
      <c r="C51" s="38" t="s">
        <v>34</v>
      </c>
      <c r="D51" s="127" t="s">
        <v>513</v>
      </c>
      <c r="E51" s="9" t="s">
        <v>525</v>
      </c>
      <c r="F51" s="131" t="s">
        <v>561</v>
      </c>
      <c r="G51" s="8" t="s">
        <v>600</v>
      </c>
      <c r="H51" s="124" t="s">
        <v>713</v>
      </c>
      <c r="I51" s="125" t="s">
        <v>34</v>
      </c>
      <c r="J51" s="25" t="s">
        <v>623</v>
      </c>
      <c r="K51" s="131" t="s">
        <v>34</v>
      </c>
      <c r="L51" s="128" t="s">
        <v>652</v>
      </c>
      <c r="M51" s="9" t="s">
        <v>657</v>
      </c>
      <c r="N51" s="9" t="s">
        <v>683</v>
      </c>
      <c r="O51" s="18" t="s">
        <v>34</v>
      </c>
      <c r="P51" s="128"/>
      <c r="Q51" s="34"/>
      <c r="R51" s="34"/>
      <c r="S51" s="35"/>
      <c r="T51" s="37"/>
      <c r="U51" s="15"/>
      <c r="V51" s="15"/>
      <c r="W51" s="37"/>
      <c r="X51" s="15"/>
      <c r="Y51" s="37"/>
      <c r="Z51" s="37"/>
      <c r="AA51" s="15"/>
      <c r="AB51" s="37"/>
      <c r="AC51" s="37"/>
      <c r="AD51" s="15"/>
      <c r="AE51" s="37"/>
    </row>
    <row r="52" spans="1:31" ht="28.8" x14ac:dyDescent="0.3">
      <c r="A52" s="132">
        <v>50</v>
      </c>
      <c r="B52" s="131" t="s">
        <v>388</v>
      </c>
      <c r="C52" s="38" t="s">
        <v>34</v>
      </c>
      <c r="D52" s="127" t="s">
        <v>514</v>
      </c>
      <c r="E52" s="9" t="s">
        <v>525</v>
      </c>
      <c r="F52" s="131" t="s">
        <v>562</v>
      </c>
      <c r="G52" s="8" t="s">
        <v>600</v>
      </c>
      <c r="H52" s="124" t="s">
        <v>713</v>
      </c>
      <c r="I52" s="125" t="s">
        <v>34</v>
      </c>
      <c r="J52" s="25" t="s">
        <v>623</v>
      </c>
      <c r="K52" s="131" t="s">
        <v>34</v>
      </c>
      <c r="L52" s="128" t="s">
        <v>652</v>
      </c>
      <c r="M52" s="9" t="s">
        <v>657</v>
      </c>
      <c r="N52" s="9" t="s">
        <v>678</v>
      </c>
      <c r="O52" s="18" t="s">
        <v>34</v>
      </c>
      <c r="P52" s="128"/>
      <c r="Q52" s="34"/>
      <c r="R52" s="34"/>
      <c r="S52" s="35"/>
      <c r="T52" s="37"/>
      <c r="U52" s="15"/>
      <c r="V52" s="15"/>
      <c r="W52" s="37"/>
      <c r="X52" s="15"/>
      <c r="Y52" s="37"/>
      <c r="Z52" s="37"/>
      <c r="AA52" s="15"/>
      <c r="AB52" s="37"/>
      <c r="AC52" s="37"/>
      <c r="AD52" s="15"/>
      <c r="AE52" s="37"/>
    </row>
    <row r="53" spans="1:31" ht="28.8" x14ac:dyDescent="0.3">
      <c r="A53" s="132">
        <v>51</v>
      </c>
      <c r="B53" s="131" t="s">
        <v>389</v>
      </c>
      <c r="C53" s="38" t="s">
        <v>34</v>
      </c>
      <c r="D53" s="127" t="s">
        <v>514</v>
      </c>
      <c r="E53" s="9" t="s">
        <v>525</v>
      </c>
      <c r="F53" s="131" t="s">
        <v>563</v>
      </c>
      <c r="G53" s="8" t="s">
        <v>600</v>
      </c>
      <c r="H53" s="124" t="s">
        <v>713</v>
      </c>
      <c r="I53" s="125" t="s">
        <v>34</v>
      </c>
      <c r="J53" s="25" t="s">
        <v>623</v>
      </c>
      <c r="K53" s="131" t="s">
        <v>34</v>
      </c>
      <c r="L53" s="128" t="s">
        <v>652</v>
      </c>
      <c r="M53" s="9" t="s">
        <v>657</v>
      </c>
      <c r="N53" s="9" t="s">
        <v>678</v>
      </c>
      <c r="O53" s="18" t="s">
        <v>34</v>
      </c>
      <c r="P53" s="128"/>
      <c r="Q53" s="34"/>
      <c r="R53" s="34"/>
      <c r="S53" s="35"/>
      <c r="T53" s="37"/>
      <c r="U53" s="15"/>
      <c r="V53" s="15"/>
      <c r="W53" s="37"/>
      <c r="X53" s="15"/>
      <c r="Y53" s="37"/>
      <c r="Z53" s="37"/>
      <c r="AA53" s="15"/>
      <c r="AB53" s="37"/>
      <c r="AC53" s="37"/>
      <c r="AD53" s="15"/>
      <c r="AE53" s="37"/>
    </row>
    <row r="54" spans="1:31" ht="43.2" x14ac:dyDescent="0.3">
      <c r="A54" s="132">
        <v>52</v>
      </c>
      <c r="B54" s="131" t="s">
        <v>390</v>
      </c>
      <c r="C54" s="38" t="s">
        <v>34</v>
      </c>
      <c r="D54" s="127" t="s">
        <v>517</v>
      </c>
      <c r="E54" s="9" t="s">
        <v>525</v>
      </c>
      <c r="F54" s="131" t="s">
        <v>564</v>
      </c>
      <c r="G54" s="8" t="s">
        <v>600</v>
      </c>
      <c r="H54" s="124" t="s">
        <v>713</v>
      </c>
      <c r="I54" s="125" t="s">
        <v>34</v>
      </c>
      <c r="J54" s="25" t="s">
        <v>623</v>
      </c>
      <c r="K54" s="131" t="s">
        <v>34</v>
      </c>
      <c r="L54" s="128" t="s">
        <v>652</v>
      </c>
      <c r="M54" s="9" t="s">
        <v>657</v>
      </c>
      <c r="N54" s="9" t="s">
        <v>684</v>
      </c>
      <c r="O54" s="18" t="s">
        <v>34</v>
      </c>
      <c r="P54" s="128"/>
      <c r="Q54" s="34"/>
      <c r="R54" s="34"/>
      <c r="S54" s="35"/>
      <c r="T54" s="37"/>
      <c r="U54" s="15"/>
      <c r="V54" s="15"/>
      <c r="W54" s="37"/>
      <c r="X54" s="15"/>
      <c r="Y54" s="37"/>
      <c r="Z54" s="37"/>
      <c r="AA54" s="15"/>
      <c r="AB54" s="37"/>
      <c r="AC54" s="37"/>
      <c r="AD54" s="15"/>
      <c r="AE54" s="37"/>
    </row>
    <row r="55" spans="1:31" ht="43.2" x14ac:dyDescent="0.3">
      <c r="A55" s="132">
        <v>53</v>
      </c>
      <c r="B55" s="131" t="s">
        <v>391</v>
      </c>
      <c r="C55" s="38" t="s">
        <v>34</v>
      </c>
      <c r="D55" s="127" t="s">
        <v>517</v>
      </c>
      <c r="E55" s="9" t="s">
        <v>525</v>
      </c>
      <c r="F55" s="131" t="s">
        <v>564</v>
      </c>
      <c r="G55" s="8" t="s">
        <v>600</v>
      </c>
      <c r="H55" s="124" t="s">
        <v>713</v>
      </c>
      <c r="I55" s="125" t="s">
        <v>34</v>
      </c>
      <c r="J55" s="25" t="s">
        <v>623</v>
      </c>
      <c r="K55" s="131" t="s">
        <v>34</v>
      </c>
      <c r="L55" s="128" t="s">
        <v>652</v>
      </c>
      <c r="M55" s="9" t="s">
        <v>657</v>
      </c>
      <c r="N55" s="9" t="s">
        <v>684</v>
      </c>
      <c r="O55" s="18" t="s">
        <v>34</v>
      </c>
      <c r="P55" s="128"/>
      <c r="Q55" s="34"/>
      <c r="R55" s="34"/>
      <c r="S55" s="35"/>
      <c r="T55" s="37"/>
      <c r="U55" s="15"/>
      <c r="V55" s="15"/>
      <c r="W55" s="37"/>
      <c r="X55" s="15"/>
      <c r="Y55" s="37"/>
      <c r="Z55" s="37"/>
      <c r="AA55" s="15"/>
      <c r="AB55" s="37"/>
      <c r="AC55" s="37"/>
      <c r="AD55" s="15"/>
      <c r="AE55" s="37"/>
    </row>
    <row r="56" spans="1:31" ht="43.2" x14ac:dyDescent="0.3">
      <c r="A56" s="132">
        <v>54</v>
      </c>
      <c r="B56" s="131" t="s">
        <v>392</v>
      </c>
      <c r="C56" s="38" t="s">
        <v>34</v>
      </c>
      <c r="D56" s="127" t="s">
        <v>517</v>
      </c>
      <c r="E56" s="9" t="s">
        <v>525</v>
      </c>
      <c r="F56" s="131" t="s">
        <v>565</v>
      </c>
      <c r="G56" s="8" t="s">
        <v>600</v>
      </c>
      <c r="H56" s="124" t="s">
        <v>713</v>
      </c>
      <c r="I56" s="125" t="s">
        <v>34</v>
      </c>
      <c r="J56" s="25" t="s">
        <v>623</v>
      </c>
      <c r="K56" s="131" t="s">
        <v>34</v>
      </c>
      <c r="L56" s="128" t="s">
        <v>652</v>
      </c>
      <c r="M56" s="9" t="s">
        <v>657</v>
      </c>
      <c r="N56" s="9" t="s">
        <v>684</v>
      </c>
      <c r="O56" s="18" t="s">
        <v>34</v>
      </c>
      <c r="P56" s="128"/>
      <c r="Q56" s="34"/>
      <c r="R56" s="34"/>
      <c r="S56" s="35"/>
      <c r="T56" s="37"/>
      <c r="U56" s="15"/>
      <c r="V56" s="15"/>
      <c r="W56" s="37"/>
      <c r="X56" s="15"/>
      <c r="Y56" s="37"/>
      <c r="Z56" s="37"/>
      <c r="AA56" s="15"/>
      <c r="AB56" s="37"/>
      <c r="AC56" s="37"/>
      <c r="AD56" s="15"/>
      <c r="AE56" s="37"/>
    </row>
    <row r="57" spans="1:31" ht="302.39999999999998" x14ac:dyDescent="0.3">
      <c r="A57" s="132">
        <v>55</v>
      </c>
      <c r="B57" s="131" t="s">
        <v>393</v>
      </c>
      <c r="C57" s="38" t="s">
        <v>486</v>
      </c>
      <c r="D57" s="127" t="s">
        <v>518</v>
      </c>
      <c r="E57" s="9" t="s">
        <v>525</v>
      </c>
      <c r="F57" s="131" t="s">
        <v>566</v>
      </c>
      <c r="G57" s="8" t="s">
        <v>601</v>
      </c>
      <c r="H57" s="124" t="s">
        <v>713</v>
      </c>
      <c r="I57" s="125" t="s">
        <v>620</v>
      </c>
      <c r="J57" s="25" t="s">
        <v>622</v>
      </c>
      <c r="K57" s="131" t="s">
        <v>634</v>
      </c>
      <c r="L57" s="128" t="s">
        <v>653</v>
      </c>
      <c r="M57" s="9" t="s">
        <v>657</v>
      </c>
      <c r="N57" s="9" t="s">
        <v>685</v>
      </c>
      <c r="O57" s="18" t="s">
        <v>34</v>
      </c>
      <c r="P57" s="128"/>
      <c r="Q57" s="34"/>
      <c r="R57" s="34"/>
      <c r="S57" s="35"/>
      <c r="T57" s="37"/>
      <c r="U57" s="15"/>
      <c r="V57" s="15"/>
      <c r="W57" s="37"/>
      <c r="X57" s="15"/>
      <c r="Y57" s="37"/>
      <c r="Z57" s="37"/>
      <c r="AA57" s="15"/>
      <c r="AB57" s="37"/>
      <c r="AC57" s="37"/>
      <c r="AD57" s="15"/>
      <c r="AE57" s="37"/>
    </row>
    <row r="58" spans="1:31" ht="302.39999999999998" x14ac:dyDescent="0.3">
      <c r="A58" s="132">
        <v>56</v>
      </c>
      <c r="B58" s="131" t="s">
        <v>394</v>
      </c>
      <c r="C58" s="38" t="s">
        <v>487</v>
      </c>
      <c r="D58" s="127" t="s">
        <v>518</v>
      </c>
      <c r="E58" s="9" t="s">
        <v>525</v>
      </c>
      <c r="F58" s="131" t="s">
        <v>567</v>
      </c>
      <c r="G58" s="8" t="s">
        <v>601</v>
      </c>
      <c r="H58" s="124" t="s">
        <v>713</v>
      </c>
      <c r="I58" s="125" t="s">
        <v>620</v>
      </c>
      <c r="J58" s="25" t="s">
        <v>622</v>
      </c>
      <c r="K58" s="131" t="s">
        <v>634</v>
      </c>
      <c r="L58" s="128" t="s">
        <v>653</v>
      </c>
      <c r="M58" s="9" t="s">
        <v>657</v>
      </c>
      <c r="N58" s="9" t="s">
        <v>685</v>
      </c>
      <c r="O58" s="18" t="s">
        <v>34</v>
      </c>
      <c r="P58" s="128"/>
      <c r="Q58" s="34"/>
      <c r="R58" s="34"/>
      <c r="S58" s="35"/>
      <c r="T58" s="37"/>
      <c r="U58" s="15"/>
      <c r="V58" s="15"/>
      <c r="W58" s="37"/>
      <c r="X58" s="15"/>
      <c r="Y58" s="37"/>
      <c r="Z58" s="37"/>
      <c r="AA58" s="15"/>
      <c r="AB58" s="37"/>
      <c r="AC58" s="37"/>
      <c r="AD58" s="15"/>
      <c r="AE58" s="37"/>
    </row>
    <row r="59" spans="1:31" ht="302.39999999999998" x14ac:dyDescent="0.3">
      <c r="A59" s="132">
        <v>57</v>
      </c>
      <c r="B59" s="131" t="s">
        <v>395</v>
      </c>
      <c r="C59" s="38" t="s">
        <v>488</v>
      </c>
      <c r="D59" s="127" t="s">
        <v>518</v>
      </c>
      <c r="E59" s="9" t="s">
        <v>525</v>
      </c>
      <c r="F59" s="131" t="s">
        <v>567</v>
      </c>
      <c r="G59" s="8" t="s">
        <v>601</v>
      </c>
      <c r="H59" s="124" t="s">
        <v>713</v>
      </c>
      <c r="I59" s="125" t="s">
        <v>620</v>
      </c>
      <c r="J59" s="25" t="s">
        <v>622</v>
      </c>
      <c r="K59" s="131" t="s">
        <v>634</v>
      </c>
      <c r="L59" s="128" t="s">
        <v>653</v>
      </c>
      <c r="M59" s="9" t="s">
        <v>657</v>
      </c>
      <c r="N59" s="9" t="s">
        <v>685</v>
      </c>
      <c r="O59" s="18" t="s">
        <v>34</v>
      </c>
      <c r="P59" s="128"/>
      <c r="Q59" s="34"/>
      <c r="R59" s="34"/>
      <c r="S59" s="35"/>
      <c r="T59" s="37"/>
      <c r="U59" s="15"/>
      <c r="V59" s="15"/>
      <c r="W59" s="37"/>
      <c r="X59" s="15"/>
      <c r="Y59" s="37"/>
      <c r="Z59" s="37"/>
      <c r="AA59" s="15"/>
      <c r="AB59" s="37"/>
      <c r="AC59" s="37"/>
      <c r="AD59" s="15"/>
      <c r="AE59" s="37"/>
    </row>
    <row r="60" spans="1:31" ht="302.39999999999998" x14ac:dyDescent="0.3">
      <c r="A60" s="132">
        <v>58</v>
      </c>
      <c r="B60" s="131" t="s">
        <v>396</v>
      </c>
      <c r="C60" s="38" t="s">
        <v>489</v>
      </c>
      <c r="D60" s="127" t="s">
        <v>518</v>
      </c>
      <c r="E60" s="9" t="s">
        <v>525</v>
      </c>
      <c r="F60" s="131" t="s">
        <v>567</v>
      </c>
      <c r="G60" s="8" t="s">
        <v>601</v>
      </c>
      <c r="H60" s="124" t="s">
        <v>713</v>
      </c>
      <c r="I60" s="125" t="s">
        <v>620</v>
      </c>
      <c r="J60" s="25" t="s">
        <v>622</v>
      </c>
      <c r="K60" s="131" t="s">
        <v>634</v>
      </c>
      <c r="L60" s="128" t="s">
        <v>653</v>
      </c>
      <c r="M60" s="9" t="s">
        <v>657</v>
      </c>
      <c r="N60" s="9" t="s">
        <v>685</v>
      </c>
      <c r="O60" s="18" t="s">
        <v>34</v>
      </c>
      <c r="P60" s="128"/>
      <c r="Q60" s="34"/>
      <c r="R60" s="34"/>
      <c r="S60" s="35"/>
      <c r="T60" s="37"/>
      <c r="U60" s="15"/>
      <c r="V60" s="15"/>
      <c r="W60" s="37"/>
      <c r="X60" s="15"/>
      <c r="Y60" s="37"/>
      <c r="Z60" s="37"/>
      <c r="AA60" s="15"/>
      <c r="AB60" s="37"/>
      <c r="AC60" s="37"/>
      <c r="AD60" s="15"/>
      <c r="AE60" s="37"/>
    </row>
    <row r="61" spans="1:31" ht="302.39999999999998" x14ac:dyDescent="0.3">
      <c r="A61" s="132">
        <v>59</v>
      </c>
      <c r="B61" s="131" t="s">
        <v>397</v>
      </c>
      <c r="C61" s="38" t="s">
        <v>490</v>
      </c>
      <c r="D61" s="127" t="s">
        <v>518</v>
      </c>
      <c r="E61" s="9" t="s">
        <v>525</v>
      </c>
      <c r="F61" s="131" t="s">
        <v>567</v>
      </c>
      <c r="G61" s="8" t="s">
        <v>601</v>
      </c>
      <c r="H61" s="124" t="s">
        <v>713</v>
      </c>
      <c r="I61" s="125" t="s">
        <v>620</v>
      </c>
      <c r="J61" s="25" t="s">
        <v>622</v>
      </c>
      <c r="K61" s="131" t="s">
        <v>634</v>
      </c>
      <c r="L61" s="128" t="s">
        <v>653</v>
      </c>
      <c r="M61" s="9" t="s">
        <v>657</v>
      </c>
      <c r="N61" s="9" t="s">
        <v>685</v>
      </c>
      <c r="O61" s="18" t="s">
        <v>34</v>
      </c>
      <c r="P61" s="128"/>
      <c r="Q61" s="34"/>
      <c r="R61" s="34"/>
      <c r="S61" s="35"/>
      <c r="T61" s="37"/>
      <c r="U61" s="15"/>
      <c r="V61" s="15"/>
      <c r="W61" s="37"/>
      <c r="X61" s="15"/>
      <c r="Y61" s="37"/>
      <c r="Z61" s="37"/>
      <c r="AA61" s="15"/>
      <c r="AB61" s="37"/>
      <c r="AC61" s="37"/>
      <c r="AD61" s="15"/>
      <c r="AE61" s="37"/>
    </row>
    <row r="62" spans="1:31" ht="302.39999999999998" x14ac:dyDescent="0.3">
      <c r="A62" s="132">
        <v>60</v>
      </c>
      <c r="B62" s="131" t="s">
        <v>398</v>
      </c>
      <c r="C62" s="38" t="s">
        <v>491</v>
      </c>
      <c r="D62" s="127" t="s">
        <v>518</v>
      </c>
      <c r="E62" s="9" t="s">
        <v>525</v>
      </c>
      <c r="F62" s="131" t="s">
        <v>567</v>
      </c>
      <c r="G62" s="8" t="s">
        <v>601</v>
      </c>
      <c r="H62" s="124" t="s">
        <v>713</v>
      </c>
      <c r="I62" s="125" t="s">
        <v>620</v>
      </c>
      <c r="J62" s="25" t="s">
        <v>622</v>
      </c>
      <c r="K62" s="131" t="s">
        <v>634</v>
      </c>
      <c r="L62" s="128" t="s">
        <v>653</v>
      </c>
      <c r="M62" s="9" t="s">
        <v>657</v>
      </c>
      <c r="N62" s="9" t="s">
        <v>685</v>
      </c>
      <c r="O62" s="18" t="s">
        <v>34</v>
      </c>
      <c r="P62" s="128"/>
      <c r="Q62" s="34"/>
      <c r="R62" s="34"/>
      <c r="S62" s="35"/>
      <c r="T62" s="37"/>
      <c r="U62" s="15"/>
      <c r="V62" s="15"/>
      <c r="W62" s="37"/>
      <c r="X62" s="15"/>
      <c r="Y62" s="37"/>
      <c r="Z62" s="37"/>
      <c r="AA62" s="15"/>
      <c r="AB62" s="37"/>
      <c r="AC62" s="37"/>
      <c r="AD62" s="15"/>
      <c r="AE62" s="37"/>
    </row>
    <row r="63" spans="1:31" ht="302.39999999999998" x14ac:dyDescent="0.3">
      <c r="A63" s="132">
        <v>61</v>
      </c>
      <c r="B63" s="131" t="s">
        <v>399</v>
      </c>
      <c r="C63" s="38" t="s">
        <v>492</v>
      </c>
      <c r="D63" s="127" t="s">
        <v>518</v>
      </c>
      <c r="E63" s="9" t="s">
        <v>525</v>
      </c>
      <c r="F63" s="131" t="s">
        <v>567</v>
      </c>
      <c r="G63" s="8" t="s">
        <v>601</v>
      </c>
      <c r="H63" s="124" t="s">
        <v>713</v>
      </c>
      <c r="I63" s="125" t="s">
        <v>620</v>
      </c>
      <c r="J63" s="25" t="s">
        <v>622</v>
      </c>
      <c r="K63" s="131" t="s">
        <v>634</v>
      </c>
      <c r="L63" s="128" t="s">
        <v>653</v>
      </c>
      <c r="M63" s="9" t="s">
        <v>657</v>
      </c>
      <c r="N63" s="9" t="s">
        <v>685</v>
      </c>
      <c r="O63" s="18" t="s">
        <v>34</v>
      </c>
      <c r="P63" s="128"/>
      <c r="Q63" s="34"/>
      <c r="R63" s="34"/>
      <c r="S63" s="35"/>
      <c r="T63" s="37"/>
      <c r="U63" s="15"/>
      <c r="V63" s="15"/>
      <c r="W63" s="37"/>
      <c r="X63" s="15"/>
      <c r="Y63" s="37"/>
      <c r="Z63" s="37"/>
      <c r="AA63" s="15"/>
      <c r="AB63" s="37"/>
      <c r="AC63" s="37"/>
      <c r="AD63" s="15"/>
      <c r="AE63" s="37"/>
    </row>
    <row r="64" spans="1:31" ht="302.39999999999998" x14ac:dyDescent="0.3">
      <c r="A64" s="132">
        <v>62</v>
      </c>
      <c r="B64" s="131" t="s">
        <v>400</v>
      </c>
      <c r="C64" s="38" t="s">
        <v>493</v>
      </c>
      <c r="D64" s="127" t="s">
        <v>518</v>
      </c>
      <c r="E64" s="9" t="s">
        <v>525</v>
      </c>
      <c r="F64" s="131" t="s">
        <v>567</v>
      </c>
      <c r="G64" s="8" t="s">
        <v>601</v>
      </c>
      <c r="H64" s="124" t="s">
        <v>713</v>
      </c>
      <c r="I64" s="125" t="s">
        <v>620</v>
      </c>
      <c r="J64" s="25" t="s">
        <v>622</v>
      </c>
      <c r="K64" s="131" t="s">
        <v>634</v>
      </c>
      <c r="L64" s="128" t="s">
        <v>653</v>
      </c>
      <c r="M64" s="9" t="s">
        <v>657</v>
      </c>
      <c r="N64" s="9" t="s">
        <v>685</v>
      </c>
      <c r="O64" s="18" t="s">
        <v>34</v>
      </c>
      <c r="P64" s="128"/>
      <c r="Q64" s="34"/>
      <c r="R64" s="34"/>
      <c r="S64" s="35"/>
      <c r="T64" s="37"/>
      <c r="U64" s="15"/>
      <c r="V64" s="15"/>
      <c r="W64" s="37"/>
      <c r="X64" s="15"/>
      <c r="Y64" s="37"/>
      <c r="Z64" s="37"/>
      <c r="AA64" s="15"/>
      <c r="AB64" s="37"/>
      <c r="AC64" s="37"/>
      <c r="AD64" s="15"/>
      <c r="AE64" s="37"/>
    </row>
    <row r="65" spans="1:31" ht="302.39999999999998" x14ac:dyDescent="0.3">
      <c r="A65" s="132">
        <v>63</v>
      </c>
      <c r="B65" s="131" t="s">
        <v>401</v>
      </c>
      <c r="C65" s="38" t="s">
        <v>494</v>
      </c>
      <c r="D65" s="127" t="s">
        <v>518</v>
      </c>
      <c r="E65" s="9" t="s">
        <v>525</v>
      </c>
      <c r="F65" s="131" t="s">
        <v>567</v>
      </c>
      <c r="G65" s="8" t="s">
        <v>601</v>
      </c>
      <c r="H65" s="124" t="s">
        <v>713</v>
      </c>
      <c r="I65" s="125" t="s">
        <v>620</v>
      </c>
      <c r="J65" s="25" t="s">
        <v>622</v>
      </c>
      <c r="K65" s="131" t="s">
        <v>634</v>
      </c>
      <c r="L65" s="128" t="s">
        <v>653</v>
      </c>
      <c r="M65" s="9" t="s">
        <v>657</v>
      </c>
      <c r="N65" s="9" t="s">
        <v>685</v>
      </c>
      <c r="O65" s="18" t="s">
        <v>34</v>
      </c>
      <c r="P65" s="128"/>
      <c r="Q65" s="34"/>
      <c r="R65" s="34"/>
      <c r="S65" s="35"/>
      <c r="T65" s="37"/>
      <c r="U65" s="15"/>
      <c r="V65" s="15"/>
      <c r="W65" s="37"/>
      <c r="X65" s="15"/>
      <c r="Y65" s="37"/>
      <c r="Z65" s="37"/>
      <c r="AA65" s="15"/>
      <c r="AB65" s="37"/>
      <c r="AC65" s="37"/>
      <c r="AD65" s="15"/>
      <c r="AE65" s="37"/>
    </row>
    <row r="66" spans="1:31" ht="302.39999999999998" x14ac:dyDescent="0.3">
      <c r="A66" s="132">
        <v>64</v>
      </c>
      <c r="B66" s="131" t="s">
        <v>402</v>
      </c>
      <c r="C66" s="38" t="s">
        <v>495</v>
      </c>
      <c r="D66" s="127" t="s">
        <v>518</v>
      </c>
      <c r="E66" s="9" t="s">
        <v>525</v>
      </c>
      <c r="F66" s="131" t="s">
        <v>567</v>
      </c>
      <c r="G66" s="8" t="s">
        <v>601</v>
      </c>
      <c r="H66" s="124" t="s">
        <v>713</v>
      </c>
      <c r="I66" s="125" t="s">
        <v>620</v>
      </c>
      <c r="J66" s="25" t="s">
        <v>622</v>
      </c>
      <c r="K66" s="131" t="s">
        <v>634</v>
      </c>
      <c r="L66" s="128" t="s">
        <v>653</v>
      </c>
      <c r="M66" s="9" t="s">
        <v>657</v>
      </c>
      <c r="N66" s="9" t="s">
        <v>685</v>
      </c>
      <c r="O66" s="18" t="s">
        <v>34</v>
      </c>
      <c r="P66" s="128"/>
      <c r="Q66" s="34"/>
      <c r="R66" s="34"/>
      <c r="S66" s="35"/>
      <c r="T66" s="37"/>
      <c r="U66" s="15"/>
      <c r="V66" s="15"/>
      <c r="W66" s="37"/>
      <c r="X66" s="15"/>
      <c r="Y66" s="37"/>
      <c r="Z66" s="37"/>
      <c r="AA66" s="15"/>
      <c r="AB66" s="37"/>
      <c r="AC66" s="37"/>
      <c r="AD66" s="15"/>
      <c r="AE66" s="37"/>
    </row>
    <row r="67" spans="1:31" ht="302.39999999999998" x14ac:dyDescent="0.3">
      <c r="A67" s="132">
        <v>65</v>
      </c>
      <c r="B67" s="131" t="s">
        <v>403</v>
      </c>
      <c r="C67" s="38" t="s">
        <v>496</v>
      </c>
      <c r="D67" s="127" t="s">
        <v>518</v>
      </c>
      <c r="E67" s="9" t="s">
        <v>525</v>
      </c>
      <c r="F67" s="131" t="s">
        <v>567</v>
      </c>
      <c r="G67" s="8" t="s">
        <v>601</v>
      </c>
      <c r="H67" s="124" t="s">
        <v>713</v>
      </c>
      <c r="I67" s="125" t="s">
        <v>620</v>
      </c>
      <c r="J67" s="25" t="s">
        <v>622</v>
      </c>
      <c r="K67" s="131" t="s">
        <v>634</v>
      </c>
      <c r="L67" s="128" t="s">
        <v>653</v>
      </c>
      <c r="M67" s="9" t="s">
        <v>657</v>
      </c>
      <c r="N67" s="9" t="s">
        <v>685</v>
      </c>
      <c r="O67" s="18" t="s">
        <v>34</v>
      </c>
      <c r="P67" s="128"/>
      <c r="Q67" s="34"/>
      <c r="R67" s="34"/>
      <c r="S67" s="35"/>
      <c r="T67" s="37"/>
      <c r="U67" s="15"/>
      <c r="V67" s="15"/>
      <c r="W67" s="37"/>
      <c r="X67" s="15"/>
      <c r="Y67" s="37"/>
      <c r="Z67" s="37"/>
      <c r="AA67" s="15"/>
      <c r="AB67" s="37"/>
      <c r="AC67" s="37"/>
      <c r="AD67" s="15"/>
      <c r="AE67" s="37"/>
    </row>
    <row r="68" spans="1:31" ht="302.39999999999998" x14ac:dyDescent="0.3">
      <c r="A68" s="132">
        <v>66</v>
      </c>
      <c r="B68" s="131" t="s">
        <v>404</v>
      </c>
      <c r="C68" s="38" t="s">
        <v>497</v>
      </c>
      <c r="D68" s="127" t="s">
        <v>518</v>
      </c>
      <c r="E68" s="9" t="s">
        <v>525</v>
      </c>
      <c r="F68" s="131" t="s">
        <v>567</v>
      </c>
      <c r="G68" s="8" t="s">
        <v>601</v>
      </c>
      <c r="H68" s="124" t="s">
        <v>713</v>
      </c>
      <c r="I68" s="125" t="s">
        <v>620</v>
      </c>
      <c r="J68" s="25" t="s">
        <v>622</v>
      </c>
      <c r="K68" s="131" t="s">
        <v>634</v>
      </c>
      <c r="L68" s="128" t="s">
        <v>653</v>
      </c>
      <c r="M68" s="9" t="s">
        <v>657</v>
      </c>
      <c r="N68" s="9" t="s">
        <v>685</v>
      </c>
      <c r="O68" s="18" t="s">
        <v>34</v>
      </c>
      <c r="P68" s="128"/>
      <c r="Q68" s="34"/>
      <c r="R68" s="34"/>
      <c r="S68" s="35"/>
      <c r="T68" s="37"/>
      <c r="U68" s="15"/>
      <c r="V68" s="15"/>
      <c r="W68" s="37"/>
      <c r="X68" s="15"/>
      <c r="Y68" s="37"/>
      <c r="Z68" s="37"/>
      <c r="AA68" s="15"/>
      <c r="AB68" s="37"/>
      <c r="AC68" s="37"/>
      <c r="AD68" s="15"/>
      <c r="AE68" s="37"/>
    </row>
    <row r="69" spans="1:31" ht="302.39999999999998" x14ac:dyDescent="0.3">
      <c r="A69" s="132">
        <v>67</v>
      </c>
      <c r="B69" s="131" t="s">
        <v>405</v>
      </c>
      <c r="C69" s="38" t="s">
        <v>498</v>
      </c>
      <c r="D69" s="127" t="s">
        <v>518</v>
      </c>
      <c r="E69" s="9" t="s">
        <v>525</v>
      </c>
      <c r="F69" s="131" t="s">
        <v>567</v>
      </c>
      <c r="G69" s="8" t="s">
        <v>601</v>
      </c>
      <c r="H69" s="124" t="s">
        <v>713</v>
      </c>
      <c r="I69" s="125" t="s">
        <v>620</v>
      </c>
      <c r="J69" s="25" t="s">
        <v>622</v>
      </c>
      <c r="K69" s="131" t="s">
        <v>634</v>
      </c>
      <c r="L69" s="128" t="s">
        <v>653</v>
      </c>
      <c r="M69" s="9" t="s">
        <v>657</v>
      </c>
      <c r="N69" s="9" t="s">
        <v>685</v>
      </c>
      <c r="O69" s="18" t="s">
        <v>34</v>
      </c>
      <c r="P69" s="128"/>
      <c r="Q69" s="34"/>
      <c r="R69" s="34"/>
      <c r="S69" s="35"/>
      <c r="T69" s="37"/>
      <c r="U69" s="15"/>
      <c r="V69" s="15"/>
      <c r="W69" s="37"/>
      <c r="X69" s="15"/>
      <c r="Y69" s="37"/>
      <c r="Z69" s="37"/>
      <c r="AA69" s="15"/>
      <c r="AB69" s="37"/>
      <c r="AC69" s="37"/>
      <c r="AD69" s="15"/>
      <c r="AE69" s="37"/>
    </row>
    <row r="70" spans="1:31" ht="302.39999999999998" x14ac:dyDescent="0.3">
      <c r="A70" s="132">
        <v>68</v>
      </c>
      <c r="B70" s="131" t="s">
        <v>406</v>
      </c>
      <c r="C70" s="38" t="s">
        <v>499</v>
      </c>
      <c r="D70" s="127" t="s">
        <v>518</v>
      </c>
      <c r="E70" s="9" t="s">
        <v>525</v>
      </c>
      <c r="F70" s="131" t="s">
        <v>567</v>
      </c>
      <c r="G70" s="8" t="s">
        <v>601</v>
      </c>
      <c r="H70" s="124" t="s">
        <v>713</v>
      </c>
      <c r="I70" s="125" t="s">
        <v>620</v>
      </c>
      <c r="J70" s="25" t="s">
        <v>622</v>
      </c>
      <c r="K70" s="131" t="s">
        <v>634</v>
      </c>
      <c r="L70" s="128" t="s">
        <v>653</v>
      </c>
      <c r="M70" s="9" t="s">
        <v>657</v>
      </c>
      <c r="N70" s="9" t="s">
        <v>685</v>
      </c>
      <c r="O70" s="18" t="s">
        <v>34</v>
      </c>
      <c r="P70" s="128"/>
      <c r="Q70" s="34"/>
      <c r="R70" s="34"/>
      <c r="S70" s="35"/>
      <c r="T70" s="37"/>
      <c r="U70" s="15"/>
      <c r="V70" s="15"/>
      <c r="W70" s="37"/>
      <c r="X70" s="15"/>
      <c r="Y70" s="37"/>
      <c r="Z70" s="37"/>
      <c r="AA70" s="15"/>
      <c r="AB70" s="37"/>
      <c r="AC70" s="37"/>
      <c r="AD70" s="15"/>
      <c r="AE70" s="37"/>
    </row>
    <row r="71" spans="1:31" ht="302.39999999999998" x14ac:dyDescent="0.3">
      <c r="A71" s="132">
        <v>69</v>
      </c>
      <c r="B71" s="131" t="s">
        <v>407</v>
      </c>
      <c r="C71" s="38" t="s">
        <v>500</v>
      </c>
      <c r="D71" s="127" t="s">
        <v>518</v>
      </c>
      <c r="E71" s="9" t="s">
        <v>525</v>
      </c>
      <c r="F71" s="131" t="s">
        <v>567</v>
      </c>
      <c r="G71" s="8" t="s">
        <v>601</v>
      </c>
      <c r="H71" s="124" t="s">
        <v>713</v>
      </c>
      <c r="I71" s="125" t="s">
        <v>620</v>
      </c>
      <c r="J71" s="25" t="s">
        <v>622</v>
      </c>
      <c r="K71" s="131" t="s">
        <v>634</v>
      </c>
      <c r="L71" s="128" t="s">
        <v>653</v>
      </c>
      <c r="M71" s="9" t="s">
        <v>657</v>
      </c>
      <c r="N71" s="9" t="s">
        <v>685</v>
      </c>
      <c r="O71" s="18" t="s">
        <v>34</v>
      </c>
      <c r="P71" s="128"/>
      <c r="Q71" s="34"/>
      <c r="R71" s="34"/>
      <c r="S71" s="35"/>
      <c r="T71" s="37"/>
      <c r="U71" s="15"/>
      <c r="V71" s="15"/>
      <c r="W71" s="37"/>
      <c r="X71" s="15"/>
      <c r="Y71" s="37"/>
      <c r="Z71" s="37"/>
      <c r="AA71" s="15"/>
      <c r="AB71" s="37"/>
      <c r="AC71" s="37"/>
      <c r="AD71" s="15"/>
      <c r="AE71" s="37"/>
    </row>
    <row r="72" spans="1:31" ht="302.39999999999998" x14ac:dyDescent="0.3">
      <c r="A72" s="132">
        <v>70</v>
      </c>
      <c r="B72" s="131" t="s">
        <v>408</v>
      </c>
      <c r="C72" s="38" t="s">
        <v>501</v>
      </c>
      <c r="D72" s="127" t="s">
        <v>518</v>
      </c>
      <c r="E72" s="9" t="s">
        <v>525</v>
      </c>
      <c r="F72" s="131" t="s">
        <v>567</v>
      </c>
      <c r="G72" s="8" t="s">
        <v>601</v>
      </c>
      <c r="H72" s="124" t="s">
        <v>713</v>
      </c>
      <c r="I72" s="125" t="s">
        <v>620</v>
      </c>
      <c r="J72" s="25" t="s">
        <v>622</v>
      </c>
      <c r="K72" s="131" t="s">
        <v>634</v>
      </c>
      <c r="L72" s="128" t="s">
        <v>653</v>
      </c>
      <c r="M72" s="9" t="s">
        <v>657</v>
      </c>
      <c r="N72" s="9" t="s">
        <v>685</v>
      </c>
      <c r="O72" s="18" t="s">
        <v>34</v>
      </c>
      <c r="P72" s="128"/>
      <c r="Q72" s="34"/>
      <c r="R72" s="34"/>
      <c r="S72" s="35"/>
      <c r="T72" s="37"/>
      <c r="U72" s="15"/>
      <c r="V72" s="15"/>
      <c r="W72" s="37"/>
      <c r="X72" s="15"/>
      <c r="Y72" s="37"/>
      <c r="Z72" s="37"/>
      <c r="AA72" s="15"/>
      <c r="AB72" s="37"/>
      <c r="AC72" s="37"/>
      <c r="AD72" s="15"/>
      <c r="AE72" s="37"/>
    </row>
    <row r="73" spans="1:31" ht="302.39999999999998" x14ac:dyDescent="0.3">
      <c r="A73" s="132">
        <v>71</v>
      </c>
      <c r="B73" s="131" t="s">
        <v>409</v>
      </c>
      <c r="C73" s="38" t="s">
        <v>502</v>
      </c>
      <c r="D73" s="127" t="s">
        <v>518</v>
      </c>
      <c r="E73" s="9" t="s">
        <v>525</v>
      </c>
      <c r="F73" s="131" t="s">
        <v>567</v>
      </c>
      <c r="G73" s="8" t="s">
        <v>601</v>
      </c>
      <c r="H73" s="124" t="s">
        <v>713</v>
      </c>
      <c r="I73" s="125" t="s">
        <v>620</v>
      </c>
      <c r="J73" s="25" t="s">
        <v>622</v>
      </c>
      <c r="K73" s="131" t="s">
        <v>634</v>
      </c>
      <c r="L73" s="128" t="s">
        <v>653</v>
      </c>
      <c r="M73" s="9" t="s">
        <v>657</v>
      </c>
      <c r="N73" s="9" t="s">
        <v>685</v>
      </c>
      <c r="O73" s="18" t="s">
        <v>34</v>
      </c>
      <c r="P73" s="128"/>
      <c r="Q73" s="34"/>
      <c r="R73" s="34"/>
      <c r="S73" s="35"/>
      <c r="T73" s="37"/>
      <c r="U73" s="15"/>
      <c r="V73" s="15"/>
      <c r="W73" s="37"/>
      <c r="X73" s="15"/>
      <c r="Y73" s="37"/>
      <c r="Z73" s="37"/>
      <c r="AA73" s="15"/>
      <c r="AB73" s="37"/>
      <c r="AC73" s="37"/>
      <c r="AD73" s="15"/>
      <c r="AE73" s="37"/>
    </row>
    <row r="74" spans="1:31" ht="302.39999999999998" x14ac:dyDescent="0.3">
      <c r="A74" s="132">
        <v>72</v>
      </c>
      <c r="B74" s="131" t="s">
        <v>410</v>
      </c>
      <c r="C74" s="38" t="s">
        <v>503</v>
      </c>
      <c r="D74" s="127" t="s">
        <v>518</v>
      </c>
      <c r="E74" s="9" t="s">
        <v>525</v>
      </c>
      <c r="F74" s="131" t="s">
        <v>567</v>
      </c>
      <c r="G74" s="8" t="s">
        <v>601</v>
      </c>
      <c r="H74" s="124" t="s">
        <v>713</v>
      </c>
      <c r="I74" s="125" t="s">
        <v>620</v>
      </c>
      <c r="J74" s="25" t="s">
        <v>622</v>
      </c>
      <c r="K74" s="131" t="s">
        <v>634</v>
      </c>
      <c r="L74" s="128" t="s">
        <v>653</v>
      </c>
      <c r="M74" s="9" t="s">
        <v>657</v>
      </c>
      <c r="N74" s="9" t="s">
        <v>685</v>
      </c>
      <c r="O74" s="18" t="s">
        <v>34</v>
      </c>
      <c r="P74" s="128"/>
      <c r="Q74" s="34"/>
      <c r="R74" s="34"/>
      <c r="S74" s="35"/>
      <c r="T74" s="37"/>
      <c r="U74" s="15"/>
      <c r="V74" s="15"/>
      <c r="W74" s="37"/>
      <c r="X74" s="15"/>
      <c r="Y74" s="37"/>
      <c r="Z74" s="37"/>
      <c r="AA74" s="15"/>
      <c r="AB74" s="37"/>
      <c r="AC74" s="37"/>
      <c r="AD74" s="15"/>
      <c r="AE74" s="37"/>
    </row>
    <row r="75" spans="1:31" ht="302.39999999999998" x14ac:dyDescent="0.3">
      <c r="A75" s="132">
        <v>73</v>
      </c>
      <c r="B75" s="131" t="s">
        <v>411</v>
      </c>
      <c r="C75" s="38" t="s">
        <v>504</v>
      </c>
      <c r="D75" s="127" t="s">
        <v>518</v>
      </c>
      <c r="E75" s="9" t="s">
        <v>525</v>
      </c>
      <c r="F75" s="131" t="s">
        <v>567</v>
      </c>
      <c r="G75" s="8" t="s">
        <v>601</v>
      </c>
      <c r="H75" s="124" t="s">
        <v>713</v>
      </c>
      <c r="I75" s="125" t="s">
        <v>620</v>
      </c>
      <c r="J75" s="25" t="s">
        <v>622</v>
      </c>
      <c r="K75" s="131" t="s">
        <v>634</v>
      </c>
      <c r="L75" s="128" t="s">
        <v>653</v>
      </c>
      <c r="M75" s="9" t="s">
        <v>657</v>
      </c>
      <c r="N75" s="9" t="s">
        <v>685</v>
      </c>
      <c r="O75" s="18" t="s">
        <v>34</v>
      </c>
      <c r="P75" s="128"/>
      <c r="Q75" s="34"/>
      <c r="R75" s="34"/>
      <c r="S75" s="35"/>
      <c r="T75" s="37"/>
      <c r="U75" s="15"/>
      <c r="V75" s="15"/>
      <c r="W75" s="37"/>
      <c r="X75" s="15"/>
      <c r="Y75" s="37"/>
      <c r="Z75" s="37"/>
      <c r="AA75" s="15"/>
      <c r="AB75" s="37"/>
      <c r="AC75" s="37"/>
      <c r="AD75" s="15"/>
      <c r="AE75" s="37"/>
    </row>
    <row r="76" spans="1:31" ht="302.39999999999998" x14ac:dyDescent="0.3">
      <c r="A76" s="132">
        <v>74</v>
      </c>
      <c r="B76" s="131" t="s">
        <v>412</v>
      </c>
      <c r="C76" s="38" t="s">
        <v>505</v>
      </c>
      <c r="D76" s="127" t="s">
        <v>518</v>
      </c>
      <c r="E76" s="9" t="s">
        <v>525</v>
      </c>
      <c r="F76" s="131" t="s">
        <v>567</v>
      </c>
      <c r="G76" s="8" t="s">
        <v>601</v>
      </c>
      <c r="H76" s="124" t="s">
        <v>713</v>
      </c>
      <c r="I76" s="125" t="s">
        <v>620</v>
      </c>
      <c r="J76" s="25" t="s">
        <v>622</v>
      </c>
      <c r="K76" s="131" t="s">
        <v>634</v>
      </c>
      <c r="L76" s="128" t="s">
        <v>653</v>
      </c>
      <c r="M76" s="9" t="s">
        <v>657</v>
      </c>
      <c r="N76" s="9" t="s">
        <v>685</v>
      </c>
      <c r="O76" s="18" t="s">
        <v>34</v>
      </c>
      <c r="P76" s="128"/>
      <c r="Q76" s="34"/>
      <c r="R76" s="34"/>
      <c r="S76" s="35"/>
      <c r="T76" s="37"/>
      <c r="U76" s="15"/>
      <c r="V76" s="15"/>
      <c r="W76" s="37"/>
      <c r="X76" s="15"/>
      <c r="Y76" s="37"/>
      <c r="Z76" s="37"/>
      <c r="AA76" s="15"/>
      <c r="AB76" s="37"/>
      <c r="AC76" s="37"/>
      <c r="AD76" s="15"/>
      <c r="AE76" s="37"/>
    </row>
    <row r="77" spans="1:31" ht="43.2" x14ac:dyDescent="0.3">
      <c r="A77" s="132">
        <v>75</v>
      </c>
      <c r="B77" s="131" t="s">
        <v>413</v>
      </c>
      <c r="C77" s="38" t="s">
        <v>34</v>
      </c>
      <c r="D77" s="127" t="s">
        <v>519</v>
      </c>
      <c r="E77" s="9" t="s">
        <v>525</v>
      </c>
      <c r="F77" s="131" t="s">
        <v>553</v>
      </c>
      <c r="G77" s="8" t="s">
        <v>601</v>
      </c>
      <c r="H77" s="124" t="s">
        <v>713</v>
      </c>
      <c r="I77" s="125" t="s">
        <v>621</v>
      </c>
      <c r="J77" s="25" t="s">
        <v>622</v>
      </c>
      <c r="K77" s="131" t="s">
        <v>635</v>
      </c>
      <c r="L77" s="128" t="s">
        <v>654</v>
      </c>
      <c r="M77" s="9" t="s">
        <v>657</v>
      </c>
      <c r="N77" s="9" t="s">
        <v>686</v>
      </c>
      <c r="O77" s="18" t="s">
        <v>34</v>
      </c>
      <c r="P77" s="128"/>
      <c r="Q77" s="34"/>
      <c r="R77" s="34"/>
      <c r="S77" s="35"/>
      <c r="T77" s="37"/>
      <c r="U77" s="15"/>
      <c r="V77" s="15"/>
      <c r="W77" s="37"/>
      <c r="X77" s="15"/>
      <c r="Y77" s="37"/>
      <c r="Z77" s="37"/>
      <c r="AA77" s="15"/>
      <c r="AB77" s="37"/>
      <c r="AC77" s="37"/>
      <c r="AD77" s="15"/>
      <c r="AE77" s="37"/>
    </row>
    <row r="78" spans="1:31" ht="57.6" x14ac:dyDescent="0.3">
      <c r="A78" s="132">
        <v>76</v>
      </c>
      <c r="B78" s="131" t="s">
        <v>414</v>
      </c>
      <c r="C78" s="38" t="s">
        <v>34</v>
      </c>
      <c r="D78" s="127" t="s">
        <v>520</v>
      </c>
      <c r="E78" s="9" t="s">
        <v>525</v>
      </c>
      <c r="F78" s="131" t="s">
        <v>568</v>
      </c>
      <c r="G78" s="8" t="s">
        <v>601</v>
      </c>
      <c r="H78" s="124" t="s">
        <v>713</v>
      </c>
      <c r="I78" s="125" t="s">
        <v>34</v>
      </c>
      <c r="J78" s="25" t="s">
        <v>622</v>
      </c>
      <c r="K78" s="131" t="s">
        <v>636</v>
      </c>
      <c r="L78" s="128" t="s">
        <v>654</v>
      </c>
      <c r="M78" s="9" t="s">
        <v>657</v>
      </c>
      <c r="N78" s="9" t="s">
        <v>687</v>
      </c>
      <c r="O78" s="18" t="s">
        <v>34</v>
      </c>
      <c r="P78" s="128"/>
      <c r="Q78" s="34"/>
      <c r="R78" s="34"/>
      <c r="S78" s="35"/>
      <c r="T78" s="37"/>
      <c r="U78" s="15"/>
      <c r="V78" s="15"/>
      <c r="W78" s="37"/>
      <c r="X78" s="15"/>
      <c r="Y78" s="37"/>
      <c r="Z78" s="37"/>
      <c r="AA78" s="15"/>
      <c r="AB78" s="37"/>
      <c r="AC78" s="37"/>
      <c r="AD78" s="15"/>
      <c r="AE78" s="37"/>
    </row>
    <row r="79" spans="1:31" ht="43.2" x14ac:dyDescent="0.3">
      <c r="A79" s="132">
        <v>77</v>
      </c>
      <c r="B79" s="131" t="s">
        <v>415</v>
      </c>
      <c r="C79" s="38" t="s">
        <v>34</v>
      </c>
      <c r="D79" s="127" t="s">
        <v>520</v>
      </c>
      <c r="E79" s="9" t="s">
        <v>525</v>
      </c>
      <c r="F79" s="131" t="s">
        <v>569</v>
      </c>
      <c r="G79" s="8" t="s">
        <v>601</v>
      </c>
      <c r="H79" s="124" t="s">
        <v>713</v>
      </c>
      <c r="I79" s="125" t="s">
        <v>34</v>
      </c>
      <c r="J79" s="25" t="s">
        <v>622</v>
      </c>
      <c r="K79" s="131" t="s">
        <v>636</v>
      </c>
      <c r="L79" s="128" t="s">
        <v>654</v>
      </c>
      <c r="M79" s="9" t="s">
        <v>657</v>
      </c>
      <c r="N79" s="9" t="s">
        <v>687</v>
      </c>
      <c r="O79" s="18" t="s">
        <v>34</v>
      </c>
      <c r="P79" s="128"/>
      <c r="Q79" s="34"/>
      <c r="R79" s="34"/>
      <c r="S79" s="35"/>
      <c r="T79" s="37"/>
      <c r="U79" s="15"/>
      <c r="V79" s="15"/>
      <c r="W79" s="37"/>
      <c r="X79" s="15"/>
      <c r="Y79" s="37"/>
      <c r="Z79" s="37"/>
      <c r="AA79" s="15"/>
      <c r="AB79" s="37"/>
      <c r="AC79" s="37"/>
      <c r="AD79" s="15"/>
      <c r="AE79" s="37"/>
    </row>
    <row r="80" spans="1:31" ht="43.2" x14ac:dyDescent="0.3">
      <c r="A80" s="132">
        <v>78</v>
      </c>
      <c r="B80" s="131" t="s">
        <v>416</v>
      </c>
      <c r="C80" s="38" t="s">
        <v>34</v>
      </c>
      <c r="D80" s="127" t="s">
        <v>520</v>
      </c>
      <c r="E80" s="9" t="s">
        <v>525</v>
      </c>
      <c r="F80" s="131" t="s">
        <v>570</v>
      </c>
      <c r="G80" s="8" t="s">
        <v>601</v>
      </c>
      <c r="H80" s="124" t="s">
        <v>713</v>
      </c>
      <c r="I80" s="125" t="s">
        <v>34</v>
      </c>
      <c r="J80" s="25" t="s">
        <v>622</v>
      </c>
      <c r="K80" s="131" t="s">
        <v>636</v>
      </c>
      <c r="L80" s="128" t="s">
        <v>654</v>
      </c>
      <c r="M80" s="9" t="s">
        <v>657</v>
      </c>
      <c r="N80" s="9" t="s">
        <v>688</v>
      </c>
      <c r="O80" s="18" t="s">
        <v>34</v>
      </c>
      <c r="P80" s="128"/>
      <c r="Q80" s="34"/>
      <c r="R80" s="34"/>
      <c r="S80" s="35"/>
      <c r="T80" s="37"/>
      <c r="U80" s="15"/>
      <c r="V80" s="15"/>
      <c r="W80" s="37"/>
      <c r="X80" s="15"/>
      <c r="Y80" s="37"/>
      <c r="Z80" s="37"/>
      <c r="AA80" s="15"/>
      <c r="AB80" s="37"/>
      <c r="AC80" s="37"/>
      <c r="AD80" s="15"/>
      <c r="AE80" s="37"/>
    </row>
    <row r="81" spans="1:31" ht="43.2" x14ac:dyDescent="0.3">
      <c r="A81" s="132">
        <v>79</v>
      </c>
      <c r="B81" s="131" t="s">
        <v>417</v>
      </c>
      <c r="C81" s="38" t="s">
        <v>34</v>
      </c>
      <c r="D81" s="127" t="s">
        <v>520</v>
      </c>
      <c r="E81" s="9" t="s">
        <v>525</v>
      </c>
      <c r="F81" s="131" t="s">
        <v>571</v>
      </c>
      <c r="G81" s="8" t="s">
        <v>601</v>
      </c>
      <c r="H81" s="124" t="s">
        <v>713</v>
      </c>
      <c r="I81" s="125" t="s">
        <v>34</v>
      </c>
      <c r="J81" s="25" t="s">
        <v>622</v>
      </c>
      <c r="K81" s="131" t="s">
        <v>636</v>
      </c>
      <c r="L81" s="128" t="s">
        <v>654</v>
      </c>
      <c r="M81" s="9" t="s">
        <v>657</v>
      </c>
      <c r="N81" s="9" t="s">
        <v>688</v>
      </c>
      <c r="O81" s="18" t="s">
        <v>34</v>
      </c>
      <c r="P81" s="128"/>
      <c r="Q81" s="34"/>
      <c r="R81" s="34"/>
      <c r="S81" s="35"/>
      <c r="T81" s="37"/>
      <c r="U81" s="15"/>
      <c r="V81" s="15"/>
      <c r="W81" s="37"/>
      <c r="X81" s="15"/>
      <c r="Y81" s="37"/>
      <c r="Z81" s="37"/>
      <c r="AA81" s="15"/>
      <c r="AB81" s="37"/>
      <c r="AC81" s="37"/>
      <c r="AD81" s="15"/>
      <c r="AE81" s="37"/>
    </row>
    <row r="82" spans="1:31" ht="43.2" x14ac:dyDescent="0.3">
      <c r="A82" s="132">
        <v>80</v>
      </c>
      <c r="B82" s="131" t="s">
        <v>418</v>
      </c>
      <c r="C82" s="38" t="s">
        <v>34</v>
      </c>
      <c r="D82" s="127" t="s">
        <v>520</v>
      </c>
      <c r="E82" s="9" t="s">
        <v>525</v>
      </c>
      <c r="F82" s="131" t="s">
        <v>572</v>
      </c>
      <c r="G82" s="8" t="s">
        <v>601</v>
      </c>
      <c r="H82" s="124" t="s">
        <v>713</v>
      </c>
      <c r="I82" s="125" t="s">
        <v>34</v>
      </c>
      <c r="J82" s="25" t="s">
        <v>622</v>
      </c>
      <c r="K82" s="131" t="s">
        <v>636</v>
      </c>
      <c r="L82" s="128" t="s">
        <v>654</v>
      </c>
      <c r="M82" s="9" t="s">
        <v>657</v>
      </c>
      <c r="N82" s="9" t="s">
        <v>688</v>
      </c>
      <c r="O82" s="18" t="s">
        <v>34</v>
      </c>
      <c r="P82" s="128"/>
      <c r="Q82" s="34"/>
      <c r="R82" s="34"/>
      <c r="S82" s="35"/>
      <c r="T82" s="37"/>
      <c r="U82" s="15"/>
      <c r="V82" s="15"/>
      <c r="W82" s="37"/>
      <c r="X82" s="15"/>
      <c r="Y82" s="37"/>
      <c r="Z82" s="37"/>
      <c r="AA82" s="15"/>
      <c r="AB82" s="37"/>
      <c r="AC82" s="37"/>
      <c r="AD82" s="15"/>
      <c r="AE82" s="37"/>
    </row>
    <row r="83" spans="1:31" ht="43.2" x14ac:dyDescent="0.3">
      <c r="A83" s="132">
        <v>81</v>
      </c>
      <c r="B83" s="131" t="s">
        <v>419</v>
      </c>
      <c r="C83" s="38" t="s">
        <v>34</v>
      </c>
      <c r="D83" s="127" t="s">
        <v>520</v>
      </c>
      <c r="E83" s="9" t="s">
        <v>525</v>
      </c>
      <c r="F83" s="131" t="s">
        <v>554</v>
      </c>
      <c r="G83" s="8" t="s">
        <v>601</v>
      </c>
      <c r="H83" s="124" t="s">
        <v>713</v>
      </c>
      <c r="I83" s="125" t="s">
        <v>34</v>
      </c>
      <c r="J83" s="25" t="s">
        <v>622</v>
      </c>
      <c r="K83" s="131" t="s">
        <v>636</v>
      </c>
      <c r="L83" s="128" t="s">
        <v>654</v>
      </c>
      <c r="M83" s="9" t="s">
        <v>657</v>
      </c>
      <c r="N83" s="9" t="s">
        <v>687</v>
      </c>
      <c r="O83" s="18" t="s">
        <v>34</v>
      </c>
      <c r="P83" s="128"/>
      <c r="Q83" s="34"/>
      <c r="R83" s="34"/>
      <c r="S83" s="35"/>
      <c r="T83" s="37"/>
      <c r="U83" s="15"/>
      <c r="V83" s="15"/>
      <c r="W83" s="37"/>
      <c r="X83" s="15"/>
      <c r="Y83" s="37"/>
      <c r="Z83" s="37"/>
      <c r="AA83" s="15"/>
      <c r="AB83" s="37"/>
      <c r="AC83" s="37"/>
      <c r="AD83" s="15"/>
      <c r="AE83" s="37"/>
    </row>
    <row r="84" spans="1:31" ht="43.2" x14ac:dyDescent="0.3">
      <c r="A84" s="132">
        <v>82</v>
      </c>
      <c r="B84" s="131" t="s">
        <v>420</v>
      </c>
      <c r="C84" s="38" t="s">
        <v>34</v>
      </c>
      <c r="D84" s="127" t="s">
        <v>520</v>
      </c>
      <c r="E84" s="9" t="s">
        <v>525</v>
      </c>
      <c r="F84" s="131" t="s">
        <v>573</v>
      </c>
      <c r="G84" s="8" t="s">
        <v>601</v>
      </c>
      <c r="H84" s="124" t="s">
        <v>713</v>
      </c>
      <c r="I84" s="125" t="s">
        <v>34</v>
      </c>
      <c r="J84" s="25" t="s">
        <v>622</v>
      </c>
      <c r="K84" s="131" t="s">
        <v>636</v>
      </c>
      <c r="L84" s="128" t="s">
        <v>654</v>
      </c>
      <c r="M84" s="9" t="s">
        <v>657</v>
      </c>
      <c r="N84" s="9" t="s">
        <v>687</v>
      </c>
      <c r="O84" s="18" t="s">
        <v>34</v>
      </c>
      <c r="P84" s="128"/>
      <c r="Q84" s="34"/>
      <c r="R84" s="34"/>
      <c r="S84" s="35"/>
      <c r="T84" s="37"/>
      <c r="U84" s="15"/>
      <c r="V84" s="15"/>
      <c r="W84" s="37"/>
      <c r="X84" s="15"/>
      <c r="Y84" s="37"/>
      <c r="Z84" s="37"/>
      <c r="AA84" s="15"/>
      <c r="AB84" s="37"/>
      <c r="AC84" s="37"/>
      <c r="AD84" s="15"/>
      <c r="AE84" s="37"/>
    </row>
    <row r="85" spans="1:31" ht="43.2" x14ac:dyDescent="0.3">
      <c r="A85" s="132">
        <v>83</v>
      </c>
      <c r="B85" s="131" t="s">
        <v>421</v>
      </c>
      <c r="C85" s="38" t="s">
        <v>34</v>
      </c>
      <c r="D85" s="127" t="s">
        <v>520</v>
      </c>
      <c r="E85" s="9" t="s">
        <v>525</v>
      </c>
      <c r="F85" s="131" t="s">
        <v>574</v>
      </c>
      <c r="G85" s="8" t="s">
        <v>601</v>
      </c>
      <c r="H85" s="124" t="s">
        <v>713</v>
      </c>
      <c r="I85" s="125" t="s">
        <v>34</v>
      </c>
      <c r="J85" s="25" t="s">
        <v>622</v>
      </c>
      <c r="K85" s="131" t="s">
        <v>636</v>
      </c>
      <c r="L85" s="128" t="s">
        <v>654</v>
      </c>
      <c r="M85" s="9" t="s">
        <v>657</v>
      </c>
      <c r="N85" s="9" t="s">
        <v>689</v>
      </c>
      <c r="O85" s="18" t="s">
        <v>34</v>
      </c>
      <c r="P85" s="128"/>
      <c r="Q85" s="34"/>
      <c r="R85" s="34"/>
      <c r="S85" s="35"/>
      <c r="T85" s="37"/>
      <c r="U85" s="15"/>
      <c r="V85" s="15"/>
      <c r="W85" s="37"/>
      <c r="X85" s="15"/>
      <c r="Y85" s="37"/>
      <c r="Z85" s="37"/>
      <c r="AA85" s="15"/>
      <c r="AB85" s="37"/>
      <c r="AC85" s="37"/>
      <c r="AD85" s="15"/>
      <c r="AE85" s="37"/>
    </row>
    <row r="86" spans="1:31" ht="43.2" x14ac:dyDescent="0.3">
      <c r="A86" s="132">
        <v>84</v>
      </c>
      <c r="B86" s="131" t="s">
        <v>422</v>
      </c>
      <c r="C86" s="38" t="s">
        <v>34</v>
      </c>
      <c r="D86" s="127" t="s">
        <v>520</v>
      </c>
      <c r="E86" s="9" t="s">
        <v>525</v>
      </c>
      <c r="F86" s="131" t="s">
        <v>575</v>
      </c>
      <c r="G86" s="8" t="s">
        <v>601</v>
      </c>
      <c r="H86" s="124" t="s">
        <v>713</v>
      </c>
      <c r="I86" s="125" t="s">
        <v>34</v>
      </c>
      <c r="J86" s="25" t="s">
        <v>622</v>
      </c>
      <c r="K86" s="131" t="s">
        <v>636</v>
      </c>
      <c r="L86" s="128" t="s">
        <v>654</v>
      </c>
      <c r="M86" s="9" t="s">
        <v>657</v>
      </c>
      <c r="N86" s="9" t="s">
        <v>689</v>
      </c>
      <c r="O86" s="18" t="s">
        <v>34</v>
      </c>
      <c r="P86" s="128"/>
      <c r="Q86" s="34"/>
      <c r="R86" s="34"/>
      <c r="S86" s="35"/>
      <c r="T86" s="37"/>
      <c r="U86" s="15"/>
      <c r="V86" s="15"/>
      <c r="W86" s="37"/>
      <c r="X86" s="15"/>
      <c r="Y86" s="37"/>
      <c r="Z86" s="37"/>
      <c r="AA86" s="15"/>
      <c r="AB86" s="37"/>
      <c r="AC86" s="37"/>
      <c r="AD86" s="15"/>
      <c r="AE86" s="37"/>
    </row>
    <row r="87" spans="1:31" ht="57.6" x14ac:dyDescent="0.3">
      <c r="A87" s="132">
        <v>85</v>
      </c>
      <c r="B87" s="131" t="s">
        <v>423</v>
      </c>
      <c r="C87" s="38" t="s">
        <v>34</v>
      </c>
      <c r="D87" s="127" t="s">
        <v>514</v>
      </c>
      <c r="E87" s="9" t="s">
        <v>525</v>
      </c>
      <c r="F87" s="131" t="s">
        <v>567</v>
      </c>
      <c r="G87" s="8" t="s">
        <v>601</v>
      </c>
      <c r="H87" s="124" t="s">
        <v>713</v>
      </c>
      <c r="I87" s="125" t="s">
        <v>34</v>
      </c>
      <c r="J87" s="25" t="s">
        <v>622</v>
      </c>
      <c r="K87" s="131" t="s">
        <v>637</v>
      </c>
      <c r="L87" s="128" t="s">
        <v>654</v>
      </c>
      <c r="M87" s="9" t="s">
        <v>657</v>
      </c>
      <c r="N87" s="9" t="s">
        <v>690</v>
      </c>
      <c r="O87" s="18" t="s">
        <v>34</v>
      </c>
      <c r="P87" s="128"/>
      <c r="Q87" s="34"/>
      <c r="R87" s="34"/>
      <c r="S87" s="35"/>
      <c r="T87" s="37"/>
      <c r="U87" s="15"/>
      <c r="V87" s="15"/>
      <c r="W87" s="37"/>
      <c r="X87" s="15"/>
      <c r="Y87" s="37"/>
      <c r="Z87" s="37"/>
      <c r="AA87" s="15"/>
      <c r="AB87" s="37"/>
      <c r="AC87" s="37"/>
      <c r="AD87" s="15"/>
      <c r="AE87" s="37"/>
    </row>
    <row r="88" spans="1:31" ht="72" x14ac:dyDescent="0.3">
      <c r="A88" s="132">
        <v>86</v>
      </c>
      <c r="B88" s="131" t="s">
        <v>424</v>
      </c>
      <c r="C88" s="38" t="s">
        <v>34</v>
      </c>
      <c r="D88" s="127" t="s">
        <v>521</v>
      </c>
      <c r="E88" s="9" t="s">
        <v>525</v>
      </c>
      <c r="F88" s="131" t="s">
        <v>576</v>
      </c>
      <c r="G88" s="8" t="s">
        <v>601</v>
      </c>
      <c r="H88" s="124" t="s">
        <v>713</v>
      </c>
      <c r="I88" s="125" t="s">
        <v>34</v>
      </c>
      <c r="J88" s="25" t="s">
        <v>622</v>
      </c>
      <c r="K88" s="131" t="s">
        <v>638</v>
      </c>
      <c r="L88" s="128" t="s">
        <v>654</v>
      </c>
      <c r="M88" s="9" t="s">
        <v>657</v>
      </c>
      <c r="N88" s="9" t="s">
        <v>691</v>
      </c>
      <c r="O88" s="18" t="s">
        <v>34</v>
      </c>
      <c r="P88" s="128"/>
      <c r="Q88" s="34"/>
      <c r="R88" s="34"/>
      <c r="S88" s="35"/>
      <c r="T88" s="37"/>
      <c r="U88" s="15"/>
      <c r="V88" s="15"/>
      <c r="W88" s="37"/>
      <c r="X88" s="15"/>
      <c r="Y88" s="37"/>
      <c r="Z88" s="37"/>
      <c r="AA88" s="15"/>
      <c r="AB88" s="37"/>
      <c r="AC88" s="37"/>
      <c r="AD88" s="15"/>
      <c r="AE88" s="37"/>
    </row>
    <row r="89" spans="1:31" ht="72" x14ac:dyDescent="0.3">
      <c r="A89" s="132">
        <v>87</v>
      </c>
      <c r="B89" s="131" t="s">
        <v>425</v>
      </c>
      <c r="C89" s="38" t="s">
        <v>34</v>
      </c>
      <c r="D89" s="127" t="s">
        <v>521</v>
      </c>
      <c r="E89" s="9" t="s">
        <v>525</v>
      </c>
      <c r="F89" s="131" t="s">
        <v>577</v>
      </c>
      <c r="G89" s="8" t="s">
        <v>601</v>
      </c>
      <c r="H89" s="124" t="s">
        <v>713</v>
      </c>
      <c r="I89" s="125" t="s">
        <v>34</v>
      </c>
      <c r="J89" s="25" t="s">
        <v>622</v>
      </c>
      <c r="K89" s="131" t="s">
        <v>638</v>
      </c>
      <c r="L89" s="128" t="s">
        <v>654</v>
      </c>
      <c r="M89" s="9" t="s">
        <v>657</v>
      </c>
      <c r="N89" s="9" t="s">
        <v>692</v>
      </c>
      <c r="O89" s="18" t="s">
        <v>34</v>
      </c>
      <c r="P89" s="128"/>
      <c r="Q89" s="34"/>
      <c r="R89" s="34"/>
      <c r="S89" s="35"/>
      <c r="T89" s="37"/>
      <c r="U89" s="15"/>
      <c r="V89" s="15"/>
      <c r="W89" s="37"/>
      <c r="X89" s="15"/>
      <c r="Y89" s="37"/>
      <c r="Z89" s="37"/>
      <c r="AA89" s="15"/>
      <c r="AB89" s="37"/>
      <c r="AC89" s="37"/>
      <c r="AD89" s="15"/>
      <c r="AE89" s="37"/>
    </row>
    <row r="90" spans="1:31" ht="43.2" x14ac:dyDescent="0.3">
      <c r="A90" s="132">
        <v>88</v>
      </c>
      <c r="B90" s="131" t="s">
        <v>426</v>
      </c>
      <c r="C90" s="38" t="s">
        <v>34</v>
      </c>
      <c r="D90" s="127" t="s">
        <v>522</v>
      </c>
      <c r="E90" s="9" t="s">
        <v>525</v>
      </c>
      <c r="F90" s="131" t="s">
        <v>578</v>
      </c>
      <c r="G90" s="8" t="s">
        <v>601</v>
      </c>
      <c r="H90" s="124" t="s">
        <v>713</v>
      </c>
      <c r="I90" s="125" t="s">
        <v>34</v>
      </c>
      <c r="J90" s="25" t="s">
        <v>622</v>
      </c>
      <c r="K90" s="131" t="s">
        <v>34</v>
      </c>
      <c r="L90" s="128" t="s">
        <v>654</v>
      </c>
      <c r="M90" s="9" t="s">
        <v>657</v>
      </c>
      <c r="N90" s="9" t="s">
        <v>693</v>
      </c>
      <c r="O90" s="18" t="s">
        <v>34</v>
      </c>
      <c r="P90" s="128"/>
      <c r="Q90" s="34"/>
      <c r="R90" s="34"/>
      <c r="S90" s="35"/>
      <c r="T90" s="37"/>
      <c r="U90" s="15"/>
      <c r="V90" s="15"/>
      <c r="W90" s="37"/>
      <c r="X90" s="15"/>
      <c r="Y90" s="37"/>
      <c r="Z90" s="37"/>
      <c r="AA90" s="15"/>
      <c r="AB90" s="37"/>
      <c r="AC90" s="37"/>
      <c r="AD90" s="15"/>
      <c r="AE90" s="37"/>
    </row>
    <row r="91" spans="1:31" ht="28.8" x14ac:dyDescent="0.3">
      <c r="A91" s="132">
        <v>89</v>
      </c>
      <c r="B91" s="131" t="s">
        <v>427</v>
      </c>
      <c r="C91" s="38" t="s">
        <v>34</v>
      </c>
      <c r="D91" s="127" t="s">
        <v>514</v>
      </c>
      <c r="E91" s="9" t="s">
        <v>525</v>
      </c>
      <c r="F91" s="131" t="s">
        <v>567</v>
      </c>
      <c r="G91" s="8" t="s">
        <v>601</v>
      </c>
      <c r="H91" s="124" t="s">
        <v>713</v>
      </c>
      <c r="I91" s="125" t="s">
        <v>34</v>
      </c>
      <c r="J91" s="25" t="s">
        <v>622</v>
      </c>
      <c r="K91" s="131" t="s">
        <v>34</v>
      </c>
      <c r="L91" s="128" t="s">
        <v>654</v>
      </c>
      <c r="M91" s="9" t="s">
        <v>657</v>
      </c>
      <c r="N91" s="9" t="s">
        <v>694</v>
      </c>
      <c r="O91" s="18" t="s">
        <v>34</v>
      </c>
      <c r="P91" s="128"/>
      <c r="Q91" s="34"/>
      <c r="R91" s="34"/>
      <c r="S91" s="35"/>
      <c r="T91" s="37"/>
      <c r="U91" s="15"/>
      <c r="V91" s="15"/>
      <c r="W91" s="37"/>
      <c r="X91" s="15"/>
      <c r="Y91" s="37"/>
      <c r="Z91" s="37"/>
      <c r="AA91" s="15"/>
      <c r="AB91" s="37"/>
      <c r="AC91" s="37"/>
      <c r="AD91" s="15"/>
      <c r="AE91" s="37"/>
    </row>
    <row r="92" spans="1:31" ht="43.2" x14ac:dyDescent="0.3">
      <c r="A92" s="132">
        <v>90</v>
      </c>
      <c r="B92" s="131" t="s">
        <v>428</v>
      </c>
      <c r="C92" s="38" t="s">
        <v>34</v>
      </c>
      <c r="D92" s="127" t="s">
        <v>513</v>
      </c>
      <c r="E92" s="9" t="s">
        <v>525</v>
      </c>
      <c r="F92" s="131" t="s">
        <v>573</v>
      </c>
      <c r="G92" s="8" t="s">
        <v>601</v>
      </c>
      <c r="H92" s="124" t="s">
        <v>713</v>
      </c>
      <c r="I92" s="125" t="s">
        <v>34</v>
      </c>
      <c r="J92" s="25" t="s">
        <v>622</v>
      </c>
      <c r="K92" s="131" t="s">
        <v>639</v>
      </c>
      <c r="L92" s="128" t="s">
        <v>654</v>
      </c>
      <c r="M92" s="9" t="s">
        <v>657</v>
      </c>
      <c r="N92" s="9" t="s">
        <v>695</v>
      </c>
      <c r="O92" s="18" t="s">
        <v>34</v>
      </c>
      <c r="P92" s="128"/>
      <c r="Q92" s="34"/>
      <c r="R92" s="34"/>
      <c r="S92" s="35"/>
      <c r="T92" s="37"/>
      <c r="U92" s="15"/>
      <c r="V92" s="15"/>
      <c r="W92" s="37"/>
      <c r="X92" s="15"/>
      <c r="Y92" s="37"/>
      <c r="Z92" s="37"/>
      <c r="AA92" s="15"/>
      <c r="AB92" s="37"/>
      <c r="AC92" s="37"/>
      <c r="AD92" s="15"/>
      <c r="AE92" s="37"/>
    </row>
    <row r="93" spans="1:31" ht="43.2" x14ac:dyDescent="0.3">
      <c r="A93" s="132">
        <v>91</v>
      </c>
      <c r="B93" s="131" t="s">
        <v>429</v>
      </c>
      <c r="C93" s="38" t="s">
        <v>34</v>
      </c>
      <c r="D93" s="127" t="s">
        <v>514</v>
      </c>
      <c r="E93" s="9" t="s">
        <v>525</v>
      </c>
      <c r="F93" s="131" t="s">
        <v>553</v>
      </c>
      <c r="G93" s="8" t="s">
        <v>601</v>
      </c>
      <c r="H93" s="124" t="s">
        <v>713</v>
      </c>
      <c r="I93" s="125" t="s">
        <v>34</v>
      </c>
      <c r="J93" s="25" t="s">
        <v>622</v>
      </c>
      <c r="K93" s="131" t="s">
        <v>34</v>
      </c>
      <c r="L93" s="128" t="s">
        <v>654</v>
      </c>
      <c r="M93" s="9" t="s">
        <v>657</v>
      </c>
      <c r="N93" s="9" t="s">
        <v>696</v>
      </c>
      <c r="O93" s="18" t="s">
        <v>34</v>
      </c>
      <c r="P93" s="128"/>
      <c r="Q93" s="34"/>
      <c r="R93" s="34"/>
      <c r="S93" s="35"/>
      <c r="T93" s="37"/>
      <c r="U93" s="15"/>
      <c r="V93" s="15"/>
      <c r="W93" s="37"/>
      <c r="X93" s="15"/>
      <c r="Y93" s="37"/>
      <c r="Z93" s="37"/>
      <c r="AA93" s="15"/>
      <c r="AB93" s="37"/>
      <c r="AC93" s="37"/>
      <c r="AD93" s="15"/>
      <c r="AE93" s="37"/>
    </row>
    <row r="94" spans="1:31" ht="43.2" x14ac:dyDescent="0.3">
      <c r="A94" s="132">
        <v>92</v>
      </c>
      <c r="B94" s="131" t="s">
        <v>430</v>
      </c>
      <c r="C94" s="38" t="s">
        <v>34</v>
      </c>
      <c r="D94" s="127" t="s">
        <v>514</v>
      </c>
      <c r="E94" s="9" t="s">
        <v>525</v>
      </c>
      <c r="F94" s="131" t="s">
        <v>579</v>
      </c>
      <c r="G94" s="8" t="s">
        <v>601</v>
      </c>
      <c r="H94" s="124" t="s">
        <v>713</v>
      </c>
      <c r="I94" s="125" t="s">
        <v>34</v>
      </c>
      <c r="J94" s="25" t="s">
        <v>622</v>
      </c>
      <c r="K94" s="131" t="s">
        <v>640</v>
      </c>
      <c r="L94" s="128" t="s">
        <v>654</v>
      </c>
      <c r="M94" s="9" t="s">
        <v>657</v>
      </c>
      <c r="N94" s="9" t="s">
        <v>697</v>
      </c>
      <c r="O94" s="18" t="s">
        <v>34</v>
      </c>
      <c r="P94" s="128"/>
      <c r="Q94" s="34"/>
      <c r="R94" s="34"/>
      <c r="S94" s="35"/>
      <c r="T94" s="37"/>
      <c r="U94" s="15"/>
      <c r="V94" s="15"/>
      <c r="W94" s="37"/>
      <c r="X94" s="15"/>
      <c r="Y94" s="37"/>
      <c r="Z94" s="37"/>
      <c r="AA94" s="15"/>
      <c r="AB94" s="37"/>
      <c r="AC94" s="37"/>
      <c r="AD94" s="15"/>
      <c r="AE94" s="37"/>
    </row>
    <row r="95" spans="1:31" ht="43.2" x14ac:dyDescent="0.3">
      <c r="A95" s="132">
        <v>93</v>
      </c>
      <c r="B95" s="131" t="s">
        <v>431</v>
      </c>
      <c r="C95" s="38" t="s">
        <v>34</v>
      </c>
      <c r="D95" s="127" t="s">
        <v>514</v>
      </c>
      <c r="E95" s="9" t="s">
        <v>525</v>
      </c>
      <c r="F95" s="131" t="s">
        <v>580</v>
      </c>
      <c r="G95" s="8" t="s">
        <v>601</v>
      </c>
      <c r="H95" s="124" t="s">
        <v>713</v>
      </c>
      <c r="I95" s="125" t="s">
        <v>34</v>
      </c>
      <c r="J95" s="25" t="s">
        <v>622</v>
      </c>
      <c r="K95" s="131" t="s">
        <v>640</v>
      </c>
      <c r="L95" s="128" t="s">
        <v>654</v>
      </c>
      <c r="M95" s="9" t="s">
        <v>657</v>
      </c>
      <c r="N95" s="9" t="s">
        <v>697</v>
      </c>
      <c r="O95" s="18" t="s">
        <v>34</v>
      </c>
      <c r="P95" s="128"/>
      <c r="Q95" s="34"/>
      <c r="R95" s="34"/>
      <c r="S95" s="35"/>
      <c r="T95" s="37"/>
      <c r="U95" s="15"/>
      <c r="V95" s="15"/>
      <c r="W95" s="37"/>
      <c r="X95" s="15"/>
      <c r="Y95" s="37"/>
      <c r="Z95" s="37"/>
      <c r="AA95" s="15"/>
      <c r="AB95" s="37"/>
      <c r="AC95" s="37"/>
      <c r="AD95" s="15"/>
      <c r="AE95" s="37"/>
    </row>
    <row r="96" spans="1:31" ht="43.2" x14ac:dyDescent="0.3">
      <c r="A96" s="132">
        <v>94</v>
      </c>
      <c r="B96" s="131" t="s">
        <v>432</v>
      </c>
      <c r="C96" s="38" t="s">
        <v>34</v>
      </c>
      <c r="D96" s="127" t="s">
        <v>523</v>
      </c>
      <c r="E96" s="9" t="s">
        <v>525</v>
      </c>
      <c r="F96" s="131" t="s">
        <v>581</v>
      </c>
      <c r="G96" s="8" t="s">
        <v>601</v>
      </c>
      <c r="H96" s="124" t="s">
        <v>713</v>
      </c>
      <c r="I96" s="125" t="s">
        <v>34</v>
      </c>
      <c r="J96" s="25" t="s">
        <v>622</v>
      </c>
      <c r="K96" s="131" t="s">
        <v>641</v>
      </c>
      <c r="L96" s="128" t="s">
        <v>654</v>
      </c>
      <c r="M96" s="9" t="s">
        <v>657</v>
      </c>
      <c r="N96" s="9" t="s">
        <v>698</v>
      </c>
      <c r="O96" s="18" t="s">
        <v>34</v>
      </c>
      <c r="P96" s="128"/>
      <c r="Q96" s="34"/>
      <c r="R96" s="34"/>
      <c r="S96" s="35"/>
      <c r="T96" s="37"/>
      <c r="U96" s="15"/>
      <c r="V96" s="15"/>
      <c r="W96" s="37"/>
      <c r="X96" s="15"/>
      <c r="Y96" s="37"/>
      <c r="Z96" s="37"/>
      <c r="AA96" s="15"/>
      <c r="AB96" s="37"/>
      <c r="AC96" s="37"/>
      <c r="AD96" s="15"/>
      <c r="AE96" s="37"/>
    </row>
    <row r="97" spans="1:31" ht="43.2" x14ac:dyDescent="0.3">
      <c r="A97" s="132">
        <v>95</v>
      </c>
      <c r="B97" s="131" t="s">
        <v>433</v>
      </c>
      <c r="C97" s="38" t="s">
        <v>34</v>
      </c>
      <c r="D97" s="127" t="s">
        <v>523</v>
      </c>
      <c r="E97" s="9" t="s">
        <v>525</v>
      </c>
      <c r="F97" s="131" t="s">
        <v>562</v>
      </c>
      <c r="G97" s="8" t="s">
        <v>601</v>
      </c>
      <c r="H97" s="124" t="s">
        <v>713</v>
      </c>
      <c r="I97" s="125" t="s">
        <v>34</v>
      </c>
      <c r="J97" s="25" t="s">
        <v>622</v>
      </c>
      <c r="K97" s="131" t="s">
        <v>641</v>
      </c>
      <c r="L97" s="128" t="s">
        <v>654</v>
      </c>
      <c r="M97" s="9" t="s">
        <v>657</v>
      </c>
      <c r="N97" s="9" t="s">
        <v>698</v>
      </c>
      <c r="O97" s="18" t="s">
        <v>34</v>
      </c>
      <c r="P97" s="128"/>
      <c r="Q97" s="34"/>
      <c r="R97" s="34"/>
      <c r="S97" s="35"/>
      <c r="T97" s="37"/>
      <c r="U97" s="15"/>
      <c r="V97" s="15"/>
      <c r="W97" s="37"/>
      <c r="X97" s="15"/>
      <c r="Y97" s="37"/>
      <c r="Z97" s="37"/>
      <c r="AA97" s="15"/>
      <c r="AB97" s="37"/>
      <c r="AC97" s="37"/>
      <c r="AD97" s="15"/>
      <c r="AE97" s="37"/>
    </row>
    <row r="98" spans="1:31" ht="43.2" x14ac:dyDescent="0.3">
      <c r="A98" s="132">
        <v>96</v>
      </c>
      <c r="B98" s="131" t="s">
        <v>434</v>
      </c>
      <c r="C98" s="38" t="s">
        <v>34</v>
      </c>
      <c r="D98" s="127" t="s">
        <v>523</v>
      </c>
      <c r="E98" s="9" t="s">
        <v>525</v>
      </c>
      <c r="F98" s="131" t="s">
        <v>578</v>
      </c>
      <c r="G98" s="8" t="s">
        <v>601</v>
      </c>
      <c r="H98" s="124" t="s">
        <v>713</v>
      </c>
      <c r="I98" s="125" t="s">
        <v>34</v>
      </c>
      <c r="J98" s="25" t="s">
        <v>622</v>
      </c>
      <c r="K98" s="131" t="s">
        <v>641</v>
      </c>
      <c r="L98" s="128" t="s">
        <v>654</v>
      </c>
      <c r="M98" s="9" t="s">
        <v>657</v>
      </c>
      <c r="N98" s="9" t="s">
        <v>698</v>
      </c>
      <c r="O98" s="18" t="s">
        <v>34</v>
      </c>
      <c r="P98" s="128"/>
      <c r="Q98" s="34"/>
      <c r="R98" s="34"/>
      <c r="S98" s="35"/>
      <c r="T98" s="37"/>
      <c r="U98" s="15"/>
      <c r="V98" s="15"/>
      <c r="W98" s="37"/>
      <c r="X98" s="15"/>
      <c r="Y98" s="37"/>
      <c r="Z98" s="37"/>
      <c r="AA98" s="15"/>
      <c r="AB98" s="37"/>
      <c r="AC98" s="37"/>
      <c r="AD98" s="15"/>
      <c r="AE98" s="37"/>
    </row>
    <row r="99" spans="1:31" ht="43.2" x14ac:dyDescent="0.3">
      <c r="A99" s="132">
        <v>97</v>
      </c>
      <c r="B99" s="131" t="s">
        <v>435</v>
      </c>
      <c r="C99" s="38" t="s">
        <v>34</v>
      </c>
      <c r="D99" s="127" t="s">
        <v>514</v>
      </c>
      <c r="E99" s="9" t="s">
        <v>525</v>
      </c>
      <c r="F99" s="131" t="s">
        <v>582</v>
      </c>
      <c r="G99" s="8" t="s">
        <v>601</v>
      </c>
      <c r="H99" s="124" t="s">
        <v>713</v>
      </c>
      <c r="I99" s="125" t="s">
        <v>34</v>
      </c>
      <c r="J99" s="25" t="s">
        <v>622</v>
      </c>
      <c r="K99" s="131" t="s">
        <v>642</v>
      </c>
      <c r="L99" s="128" t="s">
        <v>654</v>
      </c>
      <c r="M99" s="9" t="s">
        <v>657</v>
      </c>
      <c r="N99" s="9" t="s">
        <v>699</v>
      </c>
      <c r="O99" s="18" t="s">
        <v>34</v>
      </c>
      <c r="P99" s="128"/>
      <c r="Q99" s="34"/>
      <c r="R99" s="34"/>
      <c r="S99" s="35"/>
      <c r="T99" s="37"/>
      <c r="U99" s="15"/>
      <c r="V99" s="15"/>
      <c r="W99" s="37"/>
      <c r="X99" s="15"/>
      <c r="Y99" s="37"/>
      <c r="Z99" s="37"/>
      <c r="AA99" s="15"/>
      <c r="AB99" s="37"/>
      <c r="AC99" s="37"/>
      <c r="AD99" s="15"/>
      <c r="AE99" s="37"/>
    </row>
    <row r="100" spans="1:31" ht="43.2" x14ac:dyDescent="0.3">
      <c r="A100" s="132">
        <v>98</v>
      </c>
      <c r="B100" s="131" t="s">
        <v>436</v>
      </c>
      <c r="C100" s="38" t="s">
        <v>34</v>
      </c>
      <c r="D100" s="127" t="s">
        <v>514</v>
      </c>
      <c r="E100" s="9" t="s">
        <v>525</v>
      </c>
      <c r="F100" s="131" t="s">
        <v>577</v>
      </c>
      <c r="G100" s="8" t="s">
        <v>601</v>
      </c>
      <c r="H100" s="124" t="s">
        <v>713</v>
      </c>
      <c r="I100" s="125" t="s">
        <v>34</v>
      </c>
      <c r="J100" s="25" t="s">
        <v>622</v>
      </c>
      <c r="K100" s="131" t="s">
        <v>642</v>
      </c>
      <c r="L100" s="128" t="s">
        <v>654</v>
      </c>
      <c r="M100" s="9" t="s">
        <v>657</v>
      </c>
      <c r="N100" s="9" t="s">
        <v>699</v>
      </c>
      <c r="O100" s="18" t="s">
        <v>34</v>
      </c>
      <c r="P100" s="128"/>
      <c r="Q100" s="34"/>
      <c r="R100" s="34"/>
      <c r="S100" s="35"/>
      <c r="T100" s="37"/>
      <c r="U100" s="15"/>
      <c r="V100" s="15"/>
      <c r="W100" s="37"/>
      <c r="X100" s="15"/>
      <c r="Y100" s="37"/>
      <c r="Z100" s="37"/>
      <c r="AA100" s="15"/>
      <c r="AB100" s="37"/>
      <c r="AC100" s="37"/>
      <c r="AD100" s="15"/>
      <c r="AE100" s="37"/>
    </row>
    <row r="101" spans="1:31" ht="43.2" x14ac:dyDescent="0.3">
      <c r="A101" s="132">
        <v>99</v>
      </c>
      <c r="B101" s="131" t="s">
        <v>437</v>
      </c>
      <c r="C101" s="38" t="s">
        <v>34</v>
      </c>
      <c r="D101" s="127" t="s">
        <v>523</v>
      </c>
      <c r="E101" s="9" t="s">
        <v>525</v>
      </c>
      <c r="F101" s="131" t="s">
        <v>569</v>
      </c>
      <c r="G101" s="8" t="s">
        <v>601</v>
      </c>
      <c r="H101" s="124" t="s">
        <v>713</v>
      </c>
      <c r="I101" s="125" t="s">
        <v>34</v>
      </c>
      <c r="J101" s="25" t="s">
        <v>622</v>
      </c>
      <c r="K101" s="131" t="s">
        <v>643</v>
      </c>
      <c r="L101" s="128" t="s">
        <v>654</v>
      </c>
      <c r="M101" s="9" t="s">
        <v>657</v>
      </c>
      <c r="N101" s="9" t="s">
        <v>700</v>
      </c>
      <c r="O101" s="18" t="s">
        <v>34</v>
      </c>
      <c r="P101" s="128"/>
      <c r="Q101" s="34"/>
      <c r="R101" s="34"/>
      <c r="S101" s="35"/>
      <c r="T101" s="37"/>
      <c r="U101" s="15"/>
      <c r="V101" s="15"/>
      <c r="W101" s="37"/>
      <c r="X101" s="15"/>
      <c r="Y101" s="37"/>
      <c r="Z101" s="37"/>
      <c r="AA101" s="15"/>
      <c r="AB101" s="37"/>
      <c r="AC101" s="37"/>
      <c r="AD101" s="15"/>
      <c r="AE101" s="37"/>
    </row>
    <row r="102" spans="1:31" ht="43.2" x14ac:dyDescent="0.3">
      <c r="A102" s="132">
        <v>100</v>
      </c>
      <c r="B102" s="131" t="s">
        <v>438</v>
      </c>
      <c r="C102" s="38" t="s">
        <v>34</v>
      </c>
      <c r="D102" s="127" t="s">
        <v>523</v>
      </c>
      <c r="E102" s="9" t="s">
        <v>525</v>
      </c>
      <c r="F102" s="131" t="s">
        <v>583</v>
      </c>
      <c r="G102" s="8" t="s">
        <v>601</v>
      </c>
      <c r="H102" s="124" t="s">
        <v>713</v>
      </c>
      <c r="I102" s="125" t="s">
        <v>34</v>
      </c>
      <c r="J102" s="25" t="s">
        <v>622</v>
      </c>
      <c r="K102" s="131" t="s">
        <v>643</v>
      </c>
      <c r="L102" s="128" t="s">
        <v>655</v>
      </c>
      <c r="M102" s="9" t="s">
        <v>657</v>
      </c>
      <c r="N102" s="9" t="s">
        <v>700</v>
      </c>
      <c r="O102" s="18" t="s">
        <v>34</v>
      </c>
      <c r="P102" s="128"/>
      <c r="Q102" s="34"/>
      <c r="R102" s="34"/>
      <c r="S102" s="35"/>
      <c r="T102" s="37"/>
      <c r="U102" s="15"/>
      <c r="V102" s="15"/>
      <c r="W102" s="37"/>
      <c r="X102" s="15"/>
      <c r="Y102" s="37"/>
      <c r="Z102" s="37"/>
      <c r="AA102" s="15"/>
      <c r="AB102" s="37"/>
      <c r="AC102" s="37"/>
      <c r="AD102" s="15"/>
      <c r="AE102" s="37"/>
    </row>
    <row r="103" spans="1:31" ht="57.6" x14ac:dyDescent="0.3">
      <c r="A103" s="132">
        <v>101</v>
      </c>
      <c r="B103" s="131" t="s">
        <v>439</v>
      </c>
      <c r="C103" s="38" t="s">
        <v>34</v>
      </c>
      <c r="D103" s="127" t="s">
        <v>514</v>
      </c>
      <c r="E103" s="9" t="s">
        <v>525</v>
      </c>
      <c r="F103" s="131" t="s">
        <v>567</v>
      </c>
      <c r="G103" s="8" t="s">
        <v>601</v>
      </c>
      <c r="H103" s="124" t="s">
        <v>713</v>
      </c>
      <c r="I103" s="125" t="s">
        <v>34</v>
      </c>
      <c r="J103" s="25" t="s">
        <v>622</v>
      </c>
      <c r="K103" s="131" t="s">
        <v>644</v>
      </c>
      <c r="L103" s="128" t="s">
        <v>655</v>
      </c>
      <c r="M103" s="9" t="s">
        <v>657</v>
      </c>
      <c r="N103" s="9" t="s">
        <v>701</v>
      </c>
      <c r="O103" s="18" t="s">
        <v>34</v>
      </c>
      <c r="P103" s="128"/>
      <c r="Q103" s="34"/>
      <c r="R103" s="34"/>
      <c r="S103" s="35"/>
      <c r="T103" s="37"/>
      <c r="U103" s="15"/>
      <c r="V103" s="15"/>
      <c r="W103" s="37"/>
      <c r="X103" s="15"/>
      <c r="Y103" s="37"/>
      <c r="Z103" s="37"/>
      <c r="AA103" s="15"/>
      <c r="AB103" s="37"/>
      <c r="AC103" s="37"/>
      <c r="AD103" s="15"/>
      <c r="AE103" s="37"/>
    </row>
    <row r="104" spans="1:31" ht="57.6" x14ac:dyDescent="0.3">
      <c r="A104" s="132">
        <v>102</v>
      </c>
      <c r="B104" s="131" t="s">
        <v>440</v>
      </c>
      <c r="C104" s="38" t="s">
        <v>34</v>
      </c>
      <c r="D104" s="127" t="s">
        <v>514</v>
      </c>
      <c r="E104" s="9" t="s">
        <v>525</v>
      </c>
      <c r="F104" s="131" t="s">
        <v>567</v>
      </c>
      <c r="G104" s="8" t="s">
        <v>601</v>
      </c>
      <c r="H104" s="124" t="s">
        <v>713</v>
      </c>
      <c r="I104" s="125" t="s">
        <v>34</v>
      </c>
      <c r="J104" s="25" t="s">
        <v>622</v>
      </c>
      <c r="K104" s="131" t="s">
        <v>644</v>
      </c>
      <c r="L104" s="128" t="s">
        <v>655</v>
      </c>
      <c r="M104" s="9" t="s">
        <v>657</v>
      </c>
      <c r="N104" s="9" t="s">
        <v>701</v>
      </c>
      <c r="O104" s="18" t="s">
        <v>34</v>
      </c>
      <c r="P104" s="128"/>
      <c r="Q104" s="34"/>
      <c r="R104" s="34"/>
      <c r="S104" s="35"/>
      <c r="T104" s="37"/>
      <c r="U104" s="15"/>
      <c r="V104" s="15"/>
      <c r="W104" s="37"/>
      <c r="X104" s="15"/>
      <c r="Y104" s="37"/>
      <c r="Z104" s="37"/>
      <c r="AA104" s="15"/>
      <c r="AB104" s="37"/>
      <c r="AC104" s="37"/>
      <c r="AD104" s="15"/>
      <c r="AE104" s="37"/>
    </row>
    <row r="105" spans="1:31" ht="28.8" x14ac:dyDescent="0.3">
      <c r="A105" s="132">
        <v>103</v>
      </c>
      <c r="B105" s="131" t="s">
        <v>441</v>
      </c>
      <c r="C105" s="38" t="s">
        <v>34</v>
      </c>
      <c r="D105" s="127" t="s">
        <v>524</v>
      </c>
      <c r="E105" s="9" t="s">
        <v>525</v>
      </c>
      <c r="F105" s="131" t="s">
        <v>584</v>
      </c>
      <c r="G105" s="8" t="s">
        <v>601</v>
      </c>
      <c r="H105" s="124" t="s">
        <v>713</v>
      </c>
      <c r="I105" s="125" t="s">
        <v>34</v>
      </c>
      <c r="J105" s="25" t="s">
        <v>622</v>
      </c>
      <c r="K105" s="131" t="s">
        <v>645</v>
      </c>
      <c r="L105" s="128" t="s">
        <v>655</v>
      </c>
      <c r="M105" s="9" t="s">
        <v>657</v>
      </c>
      <c r="N105" s="9" t="s">
        <v>702</v>
      </c>
      <c r="O105" s="18" t="s">
        <v>34</v>
      </c>
      <c r="P105" s="128"/>
      <c r="Q105" s="34"/>
      <c r="R105" s="34"/>
      <c r="S105" s="35"/>
      <c r="T105" s="37"/>
      <c r="U105" s="15"/>
      <c r="V105" s="15"/>
      <c r="W105" s="37"/>
      <c r="X105" s="15"/>
      <c r="Y105" s="37"/>
      <c r="Z105" s="37"/>
      <c r="AA105" s="15"/>
      <c r="AB105" s="37"/>
      <c r="AC105" s="37"/>
      <c r="AD105" s="15"/>
      <c r="AE105" s="37"/>
    </row>
    <row r="106" spans="1:31" ht="43.2" x14ac:dyDescent="0.3">
      <c r="A106" s="132">
        <v>104</v>
      </c>
      <c r="B106" s="131" t="s">
        <v>442</v>
      </c>
      <c r="C106" s="38" t="s">
        <v>34</v>
      </c>
      <c r="D106" s="127" t="s">
        <v>513</v>
      </c>
      <c r="E106" s="9" t="s">
        <v>525</v>
      </c>
      <c r="F106" s="131" t="s">
        <v>585</v>
      </c>
      <c r="G106" s="8" t="s">
        <v>601</v>
      </c>
      <c r="H106" s="124" t="s">
        <v>713</v>
      </c>
      <c r="I106" s="125" t="s">
        <v>34</v>
      </c>
      <c r="J106" s="25" t="s">
        <v>622</v>
      </c>
      <c r="K106" s="131" t="s">
        <v>646</v>
      </c>
      <c r="L106" s="128" t="s">
        <v>655</v>
      </c>
      <c r="M106" s="9" t="s">
        <v>657</v>
      </c>
      <c r="N106" s="9" t="s">
        <v>703</v>
      </c>
      <c r="O106" s="18" t="s">
        <v>34</v>
      </c>
      <c r="P106" s="128"/>
      <c r="Q106" s="34"/>
      <c r="R106" s="34"/>
      <c r="S106" s="35"/>
      <c r="T106" s="37"/>
      <c r="U106" s="15"/>
      <c r="V106" s="15"/>
      <c r="W106" s="37"/>
      <c r="X106" s="15"/>
      <c r="Y106" s="37"/>
      <c r="Z106" s="37"/>
      <c r="AA106" s="15"/>
      <c r="AB106" s="37"/>
      <c r="AC106" s="37"/>
      <c r="AD106" s="15"/>
      <c r="AE106" s="37"/>
    </row>
    <row r="107" spans="1:31" ht="28.8" x14ac:dyDescent="0.3">
      <c r="A107" s="132">
        <v>105</v>
      </c>
      <c r="B107" s="131" t="s">
        <v>443</v>
      </c>
      <c r="C107" s="38" t="s">
        <v>34</v>
      </c>
      <c r="D107" s="127" t="s">
        <v>515</v>
      </c>
      <c r="E107" s="9" t="s">
        <v>525</v>
      </c>
      <c r="F107" s="131" t="s">
        <v>578</v>
      </c>
      <c r="G107" s="8" t="s">
        <v>601</v>
      </c>
      <c r="H107" s="124" t="s">
        <v>713</v>
      </c>
      <c r="I107" s="125" t="s">
        <v>34</v>
      </c>
      <c r="J107" s="25" t="s">
        <v>622</v>
      </c>
      <c r="K107" s="131" t="s">
        <v>34</v>
      </c>
      <c r="L107" s="128" t="s">
        <v>655</v>
      </c>
      <c r="M107" s="9" t="s">
        <v>657</v>
      </c>
      <c r="N107" s="9" t="s">
        <v>704</v>
      </c>
      <c r="O107" s="18" t="s">
        <v>34</v>
      </c>
      <c r="P107" s="128"/>
      <c r="Q107" s="34"/>
      <c r="R107" s="34"/>
      <c r="S107" s="35"/>
      <c r="T107" s="37"/>
      <c r="U107" s="15"/>
      <c r="V107" s="15"/>
      <c r="W107" s="37"/>
      <c r="X107" s="15"/>
      <c r="Y107" s="37"/>
      <c r="Z107" s="37"/>
      <c r="AA107" s="15"/>
      <c r="AB107" s="37"/>
      <c r="AC107" s="37"/>
      <c r="AD107" s="15"/>
      <c r="AE107" s="37"/>
    </row>
    <row r="108" spans="1:31" ht="43.2" x14ac:dyDescent="0.3">
      <c r="A108" s="132">
        <v>106</v>
      </c>
      <c r="B108" s="131" t="s">
        <v>444</v>
      </c>
      <c r="C108" s="38" t="s">
        <v>34</v>
      </c>
      <c r="D108" s="127" t="s">
        <v>513</v>
      </c>
      <c r="E108" s="9" t="s">
        <v>525</v>
      </c>
      <c r="F108" s="131" t="s">
        <v>586</v>
      </c>
      <c r="G108" s="8" t="s">
        <v>601</v>
      </c>
      <c r="H108" s="124" t="s">
        <v>713</v>
      </c>
      <c r="I108" s="125" t="s">
        <v>34</v>
      </c>
      <c r="J108" s="25" t="s">
        <v>623</v>
      </c>
      <c r="K108" s="131" t="s">
        <v>647</v>
      </c>
      <c r="L108" s="128" t="s">
        <v>655</v>
      </c>
      <c r="M108" s="9" t="s">
        <v>657</v>
      </c>
      <c r="N108" s="9" t="s">
        <v>705</v>
      </c>
      <c r="O108" s="18" t="s">
        <v>34</v>
      </c>
      <c r="P108" s="128"/>
      <c r="Q108" s="34"/>
      <c r="R108" s="34"/>
      <c r="S108" s="35"/>
      <c r="T108" s="37"/>
      <c r="U108" s="15"/>
      <c r="V108" s="15"/>
      <c r="W108" s="37"/>
      <c r="X108" s="15"/>
      <c r="Y108" s="37"/>
      <c r="Z108" s="37"/>
      <c r="AA108" s="15"/>
      <c r="AB108" s="37"/>
      <c r="AC108" s="37"/>
      <c r="AD108" s="15"/>
      <c r="AE108" s="37"/>
    </row>
    <row r="109" spans="1:31" ht="57.6" x14ac:dyDescent="0.3">
      <c r="A109" s="132">
        <v>107</v>
      </c>
      <c r="B109" s="131" t="s">
        <v>445</v>
      </c>
      <c r="C109" s="38" t="s">
        <v>34</v>
      </c>
      <c r="D109" s="127" t="s">
        <v>513</v>
      </c>
      <c r="E109" s="9" t="s">
        <v>525</v>
      </c>
      <c r="F109" s="131" t="s">
        <v>573</v>
      </c>
      <c r="G109" s="8" t="s">
        <v>601</v>
      </c>
      <c r="H109" s="124" t="s">
        <v>713</v>
      </c>
      <c r="I109" s="125" t="s">
        <v>34</v>
      </c>
      <c r="J109" s="25" t="s">
        <v>623</v>
      </c>
      <c r="K109" s="131" t="s">
        <v>647</v>
      </c>
      <c r="L109" s="128" t="s">
        <v>655</v>
      </c>
      <c r="M109" s="9" t="s">
        <v>657</v>
      </c>
      <c r="N109" s="9" t="s">
        <v>706</v>
      </c>
      <c r="O109" s="18" t="s">
        <v>34</v>
      </c>
      <c r="P109" s="128"/>
      <c r="Q109" s="34"/>
      <c r="R109" s="34"/>
      <c r="S109" s="35"/>
      <c r="T109" s="37"/>
      <c r="U109" s="15"/>
      <c r="V109" s="15"/>
      <c r="W109" s="37"/>
      <c r="X109" s="15"/>
      <c r="Y109" s="37"/>
      <c r="Z109" s="37"/>
      <c r="AA109" s="15"/>
      <c r="AB109" s="37"/>
      <c r="AC109" s="37"/>
      <c r="AD109" s="15"/>
      <c r="AE109" s="37"/>
    </row>
    <row r="110" spans="1:31" ht="43.2" x14ac:dyDescent="0.3">
      <c r="A110" s="132">
        <v>108</v>
      </c>
      <c r="B110" s="131" t="s">
        <v>446</v>
      </c>
      <c r="C110" s="38" t="s">
        <v>34</v>
      </c>
      <c r="D110" s="127" t="s">
        <v>513</v>
      </c>
      <c r="E110" s="9" t="s">
        <v>525</v>
      </c>
      <c r="F110" s="131" t="s">
        <v>587</v>
      </c>
      <c r="G110" s="8" t="s">
        <v>601</v>
      </c>
      <c r="H110" s="124" t="s">
        <v>713</v>
      </c>
      <c r="I110" s="125" t="s">
        <v>34</v>
      </c>
      <c r="J110" s="25" t="s">
        <v>623</v>
      </c>
      <c r="K110" s="131" t="s">
        <v>647</v>
      </c>
      <c r="L110" s="128" t="s">
        <v>655</v>
      </c>
      <c r="M110" s="9" t="s">
        <v>657</v>
      </c>
      <c r="N110" s="9" t="s">
        <v>705</v>
      </c>
      <c r="O110" s="18" t="s">
        <v>34</v>
      </c>
      <c r="P110" s="128"/>
      <c r="Q110" s="34"/>
      <c r="R110" s="34"/>
      <c r="S110" s="35"/>
      <c r="T110" s="37"/>
      <c r="U110" s="15"/>
      <c r="V110" s="15"/>
      <c r="W110" s="37"/>
      <c r="X110" s="15"/>
      <c r="Y110" s="37"/>
      <c r="Z110" s="37"/>
      <c r="AA110" s="15"/>
      <c r="AB110" s="37"/>
      <c r="AC110" s="37"/>
      <c r="AD110" s="15"/>
      <c r="AE110" s="37"/>
    </row>
    <row r="111" spans="1:31" ht="43.2" x14ac:dyDescent="0.3">
      <c r="A111" s="132">
        <v>109</v>
      </c>
      <c r="B111" s="131" t="s">
        <v>447</v>
      </c>
      <c r="C111" s="38" t="s">
        <v>34</v>
      </c>
      <c r="D111" s="127" t="s">
        <v>513</v>
      </c>
      <c r="E111" s="9" t="s">
        <v>525</v>
      </c>
      <c r="F111" s="131" t="s">
        <v>588</v>
      </c>
      <c r="G111" s="8" t="s">
        <v>601</v>
      </c>
      <c r="H111" s="124" t="s">
        <v>713</v>
      </c>
      <c r="I111" s="125" t="s">
        <v>34</v>
      </c>
      <c r="J111" s="25" t="s">
        <v>623</v>
      </c>
      <c r="K111" s="131" t="s">
        <v>647</v>
      </c>
      <c r="L111" s="128" t="s">
        <v>655</v>
      </c>
      <c r="M111" s="9" t="s">
        <v>657</v>
      </c>
      <c r="N111" s="9" t="s">
        <v>705</v>
      </c>
      <c r="O111" s="18" t="s">
        <v>34</v>
      </c>
      <c r="P111" s="128"/>
      <c r="Q111" s="34"/>
      <c r="R111" s="34"/>
      <c r="S111" s="35"/>
      <c r="T111" s="37"/>
      <c r="U111" s="15"/>
      <c r="V111" s="15"/>
      <c r="W111" s="37"/>
      <c r="X111" s="15"/>
      <c r="Y111" s="37"/>
      <c r="Z111" s="37"/>
      <c r="AA111" s="15"/>
      <c r="AB111" s="37"/>
      <c r="AC111" s="37"/>
      <c r="AD111" s="15"/>
      <c r="AE111" s="37"/>
    </row>
    <row r="112" spans="1:31" ht="57.6" x14ac:dyDescent="0.3">
      <c r="A112" s="132">
        <v>110</v>
      </c>
      <c r="B112" s="131" t="s">
        <v>448</v>
      </c>
      <c r="C112" s="38" t="s">
        <v>34</v>
      </c>
      <c r="D112" s="127" t="s">
        <v>513</v>
      </c>
      <c r="E112" s="9" t="s">
        <v>525</v>
      </c>
      <c r="F112" s="131" t="s">
        <v>589</v>
      </c>
      <c r="G112" s="8" t="s">
        <v>601</v>
      </c>
      <c r="H112" s="124" t="s">
        <v>713</v>
      </c>
      <c r="I112" s="125" t="s">
        <v>34</v>
      </c>
      <c r="J112" s="25" t="s">
        <v>623</v>
      </c>
      <c r="K112" s="131" t="s">
        <v>647</v>
      </c>
      <c r="L112" s="128" t="s">
        <v>655</v>
      </c>
      <c r="M112" s="9" t="s">
        <v>657</v>
      </c>
      <c r="N112" s="9" t="s">
        <v>706</v>
      </c>
      <c r="O112" s="18" t="s">
        <v>34</v>
      </c>
      <c r="P112" s="128"/>
      <c r="Q112" s="34"/>
      <c r="R112" s="34"/>
      <c r="S112" s="35"/>
      <c r="T112" s="37"/>
      <c r="U112" s="15"/>
      <c r="V112" s="15"/>
      <c r="W112" s="37"/>
      <c r="X112" s="15"/>
      <c r="Y112" s="37"/>
      <c r="Z112" s="37"/>
      <c r="AA112" s="15"/>
      <c r="AB112" s="37"/>
      <c r="AC112" s="37"/>
      <c r="AD112" s="15"/>
      <c r="AE112" s="37"/>
    </row>
    <row r="113" spans="1:31" ht="43.2" x14ac:dyDescent="0.3">
      <c r="A113" s="132">
        <v>111</v>
      </c>
      <c r="B113" s="131" t="s">
        <v>449</v>
      </c>
      <c r="C113" s="38" t="s">
        <v>34</v>
      </c>
      <c r="D113" s="127" t="s">
        <v>513</v>
      </c>
      <c r="E113" s="9" t="s">
        <v>525</v>
      </c>
      <c r="F113" s="131" t="s">
        <v>539</v>
      </c>
      <c r="G113" s="8" t="s">
        <v>601</v>
      </c>
      <c r="H113" s="124" t="s">
        <v>713</v>
      </c>
      <c r="I113" s="125" t="s">
        <v>34</v>
      </c>
      <c r="J113" s="25" t="s">
        <v>623</v>
      </c>
      <c r="K113" s="131" t="s">
        <v>647</v>
      </c>
      <c r="L113" s="128" t="s">
        <v>655</v>
      </c>
      <c r="M113" s="9" t="s">
        <v>657</v>
      </c>
      <c r="N113" s="9" t="s">
        <v>705</v>
      </c>
      <c r="O113" s="18" t="s">
        <v>34</v>
      </c>
      <c r="P113" s="128"/>
      <c r="Q113" s="34"/>
      <c r="R113" s="34"/>
      <c r="S113" s="35"/>
      <c r="T113" s="37"/>
      <c r="U113" s="15"/>
      <c r="V113" s="15"/>
      <c r="W113" s="37"/>
      <c r="X113" s="15"/>
      <c r="Y113" s="37"/>
      <c r="Z113" s="37"/>
      <c r="AA113" s="15"/>
      <c r="AB113" s="37"/>
      <c r="AC113" s="37"/>
      <c r="AD113" s="15"/>
      <c r="AE113" s="37"/>
    </row>
    <row r="114" spans="1:31" ht="43.2" x14ac:dyDescent="0.3">
      <c r="A114" s="132">
        <v>112</v>
      </c>
      <c r="B114" s="131" t="s">
        <v>450</v>
      </c>
      <c r="C114" s="38" t="s">
        <v>34</v>
      </c>
      <c r="D114" s="127" t="s">
        <v>513</v>
      </c>
      <c r="E114" s="9" t="s">
        <v>525</v>
      </c>
      <c r="F114" s="131" t="s">
        <v>574</v>
      </c>
      <c r="G114" s="8" t="s">
        <v>601</v>
      </c>
      <c r="H114" s="124" t="s">
        <v>713</v>
      </c>
      <c r="I114" s="125" t="s">
        <v>34</v>
      </c>
      <c r="J114" s="25" t="s">
        <v>623</v>
      </c>
      <c r="K114" s="131" t="s">
        <v>647</v>
      </c>
      <c r="L114" s="128" t="s">
        <v>655</v>
      </c>
      <c r="M114" s="9" t="s">
        <v>657</v>
      </c>
      <c r="N114" s="9" t="s">
        <v>707</v>
      </c>
      <c r="O114" s="18" t="s">
        <v>34</v>
      </c>
      <c r="P114" s="128"/>
      <c r="Q114" s="34"/>
      <c r="R114" s="34"/>
      <c r="S114" s="35"/>
      <c r="T114" s="37"/>
      <c r="U114" s="15"/>
      <c r="V114" s="15"/>
      <c r="W114" s="37"/>
      <c r="X114" s="15"/>
      <c r="Y114" s="37"/>
      <c r="Z114" s="37"/>
      <c r="AA114" s="15"/>
      <c r="AB114" s="37"/>
      <c r="AC114" s="37"/>
      <c r="AD114" s="15"/>
      <c r="AE114" s="37"/>
    </row>
    <row r="115" spans="1:31" ht="43.2" x14ac:dyDescent="0.3">
      <c r="A115" s="132">
        <v>113</v>
      </c>
      <c r="B115" s="131" t="s">
        <v>451</v>
      </c>
      <c r="C115" s="38" t="s">
        <v>34</v>
      </c>
      <c r="D115" s="127" t="s">
        <v>513</v>
      </c>
      <c r="E115" s="9" t="s">
        <v>525</v>
      </c>
      <c r="F115" s="131" t="s">
        <v>552</v>
      </c>
      <c r="G115" s="8" t="s">
        <v>601</v>
      </c>
      <c r="H115" s="124" t="s">
        <v>713</v>
      </c>
      <c r="I115" s="125" t="s">
        <v>34</v>
      </c>
      <c r="J115" s="25" t="s">
        <v>623</v>
      </c>
      <c r="K115" s="131" t="s">
        <v>647</v>
      </c>
      <c r="L115" s="128" t="s">
        <v>655</v>
      </c>
      <c r="M115" s="9" t="s">
        <v>657</v>
      </c>
      <c r="N115" s="9" t="s">
        <v>707</v>
      </c>
      <c r="O115" s="18" t="s">
        <v>34</v>
      </c>
      <c r="P115" s="128"/>
      <c r="Q115" s="34"/>
      <c r="R115" s="34"/>
      <c r="S115" s="35"/>
      <c r="T115" s="37"/>
      <c r="U115" s="15"/>
      <c r="V115" s="15"/>
      <c r="W115" s="37"/>
      <c r="X115" s="15"/>
      <c r="Y115" s="37"/>
      <c r="Z115" s="37"/>
      <c r="AA115" s="15"/>
      <c r="AB115" s="37"/>
      <c r="AC115" s="37"/>
      <c r="AD115" s="15"/>
      <c r="AE115" s="37"/>
    </row>
    <row r="116" spans="1:31" ht="43.2" x14ac:dyDescent="0.3">
      <c r="A116" s="132">
        <v>114</v>
      </c>
      <c r="B116" s="131" t="s">
        <v>452</v>
      </c>
      <c r="C116" s="38" t="s">
        <v>34</v>
      </c>
      <c r="D116" s="127" t="s">
        <v>513</v>
      </c>
      <c r="E116" s="9" t="s">
        <v>525</v>
      </c>
      <c r="F116" s="131" t="s">
        <v>575</v>
      </c>
      <c r="G116" s="8" t="s">
        <v>601</v>
      </c>
      <c r="H116" s="124" t="s">
        <v>713</v>
      </c>
      <c r="I116" s="125" t="s">
        <v>34</v>
      </c>
      <c r="J116" s="25" t="s">
        <v>623</v>
      </c>
      <c r="K116" s="131" t="s">
        <v>647</v>
      </c>
      <c r="L116" s="128" t="s">
        <v>655</v>
      </c>
      <c r="M116" s="9" t="s">
        <v>657</v>
      </c>
      <c r="N116" s="9" t="s">
        <v>707</v>
      </c>
      <c r="O116" s="18" t="s">
        <v>34</v>
      </c>
      <c r="P116" s="128"/>
      <c r="Q116" s="34"/>
      <c r="R116" s="34"/>
      <c r="S116" s="35"/>
      <c r="T116" s="37"/>
      <c r="U116" s="15"/>
      <c r="V116" s="15"/>
      <c r="W116" s="37"/>
      <c r="X116" s="15"/>
      <c r="Y116" s="37"/>
      <c r="Z116" s="37"/>
      <c r="AA116" s="15"/>
      <c r="AB116" s="37"/>
      <c r="AC116" s="37"/>
      <c r="AD116" s="15"/>
      <c r="AE116" s="37"/>
    </row>
    <row r="117" spans="1:31" ht="43.2" x14ac:dyDescent="0.3">
      <c r="A117" s="132">
        <v>115</v>
      </c>
      <c r="B117" s="131" t="s">
        <v>453</v>
      </c>
      <c r="C117" s="38" t="s">
        <v>34</v>
      </c>
      <c r="D117" s="127" t="s">
        <v>513</v>
      </c>
      <c r="E117" s="9" t="s">
        <v>525</v>
      </c>
      <c r="F117" s="131" t="s">
        <v>590</v>
      </c>
      <c r="G117" s="8" t="s">
        <v>601</v>
      </c>
      <c r="H117" s="124" t="s">
        <v>713</v>
      </c>
      <c r="I117" s="125" t="s">
        <v>34</v>
      </c>
      <c r="J117" s="25" t="s">
        <v>623</v>
      </c>
      <c r="K117" s="131" t="s">
        <v>647</v>
      </c>
      <c r="L117" s="128" t="s">
        <v>655</v>
      </c>
      <c r="M117" s="9" t="s">
        <v>657</v>
      </c>
      <c r="N117" s="9" t="s">
        <v>707</v>
      </c>
      <c r="O117" s="18" t="s">
        <v>34</v>
      </c>
      <c r="P117" s="128"/>
      <c r="Q117" s="34"/>
      <c r="R117" s="34"/>
      <c r="S117" s="35"/>
      <c r="T117" s="37"/>
      <c r="U117" s="15"/>
      <c r="V117" s="15"/>
      <c r="W117" s="37"/>
      <c r="X117" s="15"/>
      <c r="Y117" s="37"/>
      <c r="Z117" s="37"/>
      <c r="AA117" s="15"/>
      <c r="AB117" s="37"/>
      <c r="AC117" s="37"/>
      <c r="AD117" s="15"/>
      <c r="AE117" s="37"/>
    </row>
    <row r="118" spans="1:31" ht="43.2" x14ac:dyDescent="0.3">
      <c r="A118" s="132">
        <v>116</v>
      </c>
      <c r="B118" s="131" t="s">
        <v>454</v>
      </c>
      <c r="C118" s="38" t="s">
        <v>34</v>
      </c>
      <c r="D118" s="127" t="s">
        <v>513</v>
      </c>
      <c r="E118" s="9" t="s">
        <v>525</v>
      </c>
      <c r="F118" s="131" t="s">
        <v>591</v>
      </c>
      <c r="G118" s="8" t="s">
        <v>601</v>
      </c>
      <c r="H118" s="124" t="s">
        <v>713</v>
      </c>
      <c r="I118" s="125" t="s">
        <v>34</v>
      </c>
      <c r="J118" s="25" t="s">
        <v>623</v>
      </c>
      <c r="K118" s="131" t="s">
        <v>647</v>
      </c>
      <c r="L118" s="128" t="s">
        <v>655</v>
      </c>
      <c r="M118" s="9" t="s">
        <v>657</v>
      </c>
      <c r="N118" s="9" t="s">
        <v>707</v>
      </c>
      <c r="O118" s="18" t="s">
        <v>34</v>
      </c>
      <c r="P118" s="128"/>
      <c r="Q118" s="34"/>
      <c r="R118" s="34"/>
      <c r="S118" s="35"/>
      <c r="T118" s="37"/>
      <c r="U118" s="15"/>
      <c r="V118" s="15"/>
      <c r="W118" s="37"/>
      <c r="X118" s="15"/>
      <c r="Y118" s="37"/>
      <c r="Z118" s="37"/>
      <c r="AA118" s="15"/>
      <c r="AB118" s="37"/>
      <c r="AC118" s="37"/>
      <c r="AD118" s="15"/>
      <c r="AE118" s="37"/>
    </row>
    <row r="119" spans="1:31" ht="43.2" x14ac:dyDescent="0.3">
      <c r="A119" s="132">
        <v>117</v>
      </c>
      <c r="B119" s="131" t="s">
        <v>455</v>
      </c>
      <c r="C119" s="38" t="s">
        <v>34</v>
      </c>
      <c r="D119" s="127" t="s">
        <v>513</v>
      </c>
      <c r="E119" s="9" t="s">
        <v>525</v>
      </c>
      <c r="F119" s="131" t="s">
        <v>592</v>
      </c>
      <c r="G119" s="8" t="s">
        <v>601</v>
      </c>
      <c r="H119" s="124" t="s">
        <v>713</v>
      </c>
      <c r="I119" s="125" t="s">
        <v>34</v>
      </c>
      <c r="J119" s="25" t="s">
        <v>623</v>
      </c>
      <c r="K119" s="131" t="s">
        <v>647</v>
      </c>
      <c r="L119" s="128" t="s">
        <v>655</v>
      </c>
      <c r="M119" s="9" t="s">
        <v>657</v>
      </c>
      <c r="N119" s="9" t="s">
        <v>705</v>
      </c>
      <c r="O119" s="18" t="s">
        <v>34</v>
      </c>
      <c r="P119" s="128"/>
      <c r="Q119" s="34"/>
      <c r="R119" s="34"/>
      <c r="S119" s="35"/>
      <c r="T119" s="37"/>
      <c r="U119" s="15"/>
      <c r="V119" s="15"/>
      <c r="W119" s="37"/>
      <c r="X119" s="15"/>
      <c r="Y119" s="37"/>
      <c r="Z119" s="37"/>
      <c r="AA119" s="15"/>
      <c r="AB119" s="37"/>
      <c r="AC119" s="37"/>
      <c r="AD119" s="15"/>
      <c r="AE119" s="37"/>
    </row>
    <row r="120" spans="1:31" ht="43.2" x14ac:dyDescent="0.3">
      <c r="A120" s="132">
        <v>118</v>
      </c>
      <c r="B120" s="131" t="s">
        <v>456</v>
      </c>
      <c r="C120" s="38" t="s">
        <v>34</v>
      </c>
      <c r="D120" s="127" t="s">
        <v>513</v>
      </c>
      <c r="E120" s="9" t="s">
        <v>525</v>
      </c>
      <c r="F120" s="131" t="s">
        <v>552</v>
      </c>
      <c r="G120" s="8" t="s">
        <v>601</v>
      </c>
      <c r="H120" s="124" t="s">
        <v>713</v>
      </c>
      <c r="I120" s="125" t="s">
        <v>34</v>
      </c>
      <c r="J120" s="25" t="s">
        <v>623</v>
      </c>
      <c r="K120" s="131" t="s">
        <v>647</v>
      </c>
      <c r="L120" s="128" t="s">
        <v>655</v>
      </c>
      <c r="M120" s="9" t="s">
        <v>657</v>
      </c>
      <c r="N120" s="9" t="s">
        <v>707</v>
      </c>
      <c r="O120" s="18" t="s">
        <v>34</v>
      </c>
      <c r="P120" s="128"/>
      <c r="Q120" s="34"/>
      <c r="R120" s="34"/>
      <c r="S120" s="35"/>
      <c r="T120" s="37"/>
      <c r="U120" s="15"/>
      <c r="V120" s="15"/>
      <c r="W120" s="37"/>
      <c r="X120" s="15"/>
      <c r="Y120" s="37"/>
      <c r="Z120" s="37"/>
      <c r="AA120" s="15"/>
      <c r="AB120" s="37"/>
      <c r="AC120" s="37"/>
      <c r="AD120" s="15"/>
      <c r="AE120" s="37"/>
    </row>
    <row r="121" spans="1:31" ht="43.2" x14ac:dyDescent="0.3">
      <c r="A121" s="132">
        <v>119</v>
      </c>
      <c r="B121" s="131" t="s">
        <v>457</v>
      </c>
      <c r="C121" s="38" t="s">
        <v>34</v>
      </c>
      <c r="D121" s="127" t="s">
        <v>513</v>
      </c>
      <c r="E121" s="9" t="s">
        <v>525</v>
      </c>
      <c r="F121" s="131" t="s">
        <v>567</v>
      </c>
      <c r="G121" s="8" t="s">
        <v>601</v>
      </c>
      <c r="H121" s="124" t="s">
        <v>713</v>
      </c>
      <c r="I121" s="125" t="s">
        <v>34</v>
      </c>
      <c r="J121" s="25" t="s">
        <v>623</v>
      </c>
      <c r="K121" s="131" t="s">
        <v>647</v>
      </c>
      <c r="L121" s="128" t="s">
        <v>655</v>
      </c>
      <c r="M121" s="9" t="s">
        <v>657</v>
      </c>
      <c r="N121" s="9" t="s">
        <v>707</v>
      </c>
      <c r="O121" s="18" t="s">
        <v>34</v>
      </c>
      <c r="P121" s="128"/>
      <c r="Q121" s="34"/>
      <c r="R121" s="34"/>
      <c r="S121" s="35"/>
      <c r="T121" s="37"/>
      <c r="U121" s="15"/>
      <c r="V121" s="15"/>
      <c r="W121" s="37"/>
      <c r="X121" s="15"/>
      <c r="Y121" s="37"/>
      <c r="Z121" s="37"/>
      <c r="AA121" s="15"/>
      <c r="AB121" s="37"/>
      <c r="AC121" s="37"/>
      <c r="AD121" s="15"/>
      <c r="AE121" s="37"/>
    </row>
    <row r="122" spans="1:31" ht="43.2" x14ac:dyDescent="0.3">
      <c r="A122" s="132">
        <v>120</v>
      </c>
      <c r="B122" s="131" t="s">
        <v>458</v>
      </c>
      <c r="C122" s="38" t="s">
        <v>34</v>
      </c>
      <c r="D122" s="127" t="s">
        <v>513</v>
      </c>
      <c r="E122" s="9" t="s">
        <v>525</v>
      </c>
      <c r="F122" s="131" t="s">
        <v>593</v>
      </c>
      <c r="G122" s="8" t="s">
        <v>601</v>
      </c>
      <c r="H122" s="124" t="s">
        <v>713</v>
      </c>
      <c r="I122" s="125" t="s">
        <v>34</v>
      </c>
      <c r="J122" s="25" t="s">
        <v>623</v>
      </c>
      <c r="K122" s="131" t="s">
        <v>647</v>
      </c>
      <c r="L122" s="128" t="s">
        <v>655</v>
      </c>
      <c r="M122" s="9" t="s">
        <v>657</v>
      </c>
      <c r="N122" s="9" t="s">
        <v>707</v>
      </c>
      <c r="O122" s="18" t="s">
        <v>34</v>
      </c>
      <c r="P122" s="128"/>
      <c r="Q122" s="34"/>
      <c r="R122" s="34"/>
      <c r="S122" s="35"/>
      <c r="T122" s="37"/>
      <c r="U122" s="15"/>
      <c r="V122" s="15"/>
      <c r="W122" s="37"/>
      <c r="X122" s="15"/>
      <c r="Y122" s="37"/>
      <c r="Z122" s="37"/>
      <c r="AA122" s="15"/>
      <c r="AB122" s="37"/>
      <c r="AC122" s="37"/>
      <c r="AD122" s="15"/>
      <c r="AE122" s="37"/>
    </row>
    <row r="123" spans="1:31" ht="43.2" x14ac:dyDescent="0.3">
      <c r="A123" s="132">
        <v>121</v>
      </c>
      <c r="B123" s="131" t="s">
        <v>459</v>
      </c>
      <c r="C123" s="38" t="s">
        <v>34</v>
      </c>
      <c r="D123" s="127" t="s">
        <v>513</v>
      </c>
      <c r="E123" s="9" t="s">
        <v>525</v>
      </c>
      <c r="F123" s="131" t="s">
        <v>594</v>
      </c>
      <c r="G123" s="8" t="s">
        <v>601</v>
      </c>
      <c r="H123" s="124" t="s">
        <v>713</v>
      </c>
      <c r="I123" s="125" t="s">
        <v>34</v>
      </c>
      <c r="J123" s="25" t="s">
        <v>623</v>
      </c>
      <c r="K123" s="131" t="s">
        <v>647</v>
      </c>
      <c r="L123" s="128" t="s">
        <v>655</v>
      </c>
      <c r="M123" s="9" t="s">
        <v>657</v>
      </c>
      <c r="N123" s="9" t="s">
        <v>707</v>
      </c>
      <c r="O123" s="18" t="s">
        <v>34</v>
      </c>
      <c r="P123" s="128"/>
      <c r="Q123" s="34"/>
      <c r="R123" s="34"/>
      <c r="S123" s="35"/>
      <c r="T123" s="37"/>
      <c r="U123" s="15"/>
      <c r="V123" s="15"/>
      <c r="W123" s="37"/>
      <c r="X123" s="15"/>
      <c r="Y123" s="37"/>
      <c r="Z123" s="37"/>
      <c r="AA123" s="15"/>
      <c r="AB123" s="37"/>
      <c r="AC123" s="37"/>
      <c r="AD123" s="15"/>
      <c r="AE123" s="37"/>
    </row>
    <row r="124" spans="1:31" ht="43.2" x14ac:dyDescent="0.3">
      <c r="A124" s="132">
        <v>122</v>
      </c>
      <c r="B124" s="131" t="s">
        <v>460</v>
      </c>
      <c r="C124" s="38" t="s">
        <v>34</v>
      </c>
      <c r="D124" s="127" t="s">
        <v>513</v>
      </c>
      <c r="E124" s="9" t="s">
        <v>525</v>
      </c>
      <c r="F124" s="131" t="s">
        <v>595</v>
      </c>
      <c r="G124" s="8" t="s">
        <v>601</v>
      </c>
      <c r="H124" s="124" t="s">
        <v>713</v>
      </c>
      <c r="I124" s="125" t="s">
        <v>34</v>
      </c>
      <c r="J124" s="25" t="s">
        <v>623</v>
      </c>
      <c r="K124" s="131" t="s">
        <v>647</v>
      </c>
      <c r="L124" s="128" t="s">
        <v>655</v>
      </c>
      <c r="M124" s="9" t="s">
        <v>657</v>
      </c>
      <c r="N124" s="9" t="s">
        <v>707</v>
      </c>
      <c r="O124" s="18" t="s">
        <v>34</v>
      </c>
      <c r="P124" s="128"/>
      <c r="Q124" s="34"/>
      <c r="R124" s="34"/>
      <c r="S124" s="35"/>
      <c r="T124" s="37"/>
      <c r="U124" s="15"/>
      <c r="V124" s="15"/>
      <c r="W124" s="37"/>
      <c r="X124" s="15"/>
      <c r="Y124" s="37"/>
      <c r="Z124" s="37"/>
      <c r="AA124" s="15"/>
      <c r="AB124" s="37"/>
      <c r="AC124" s="37"/>
      <c r="AD124" s="15"/>
      <c r="AE124" s="37"/>
    </row>
    <row r="125" spans="1:31" ht="43.2" x14ac:dyDescent="0.3">
      <c r="A125" s="132">
        <v>123</v>
      </c>
      <c r="B125" s="131" t="s">
        <v>461</v>
      </c>
      <c r="C125" s="38" t="s">
        <v>34</v>
      </c>
      <c r="D125" s="127" t="s">
        <v>513</v>
      </c>
      <c r="E125" s="9" t="s">
        <v>525</v>
      </c>
      <c r="F125" s="131" t="s">
        <v>596</v>
      </c>
      <c r="G125" s="8" t="s">
        <v>601</v>
      </c>
      <c r="H125" s="124" t="s">
        <v>713</v>
      </c>
      <c r="I125" s="125" t="s">
        <v>34</v>
      </c>
      <c r="J125" s="25" t="s">
        <v>623</v>
      </c>
      <c r="K125" s="131" t="s">
        <v>647</v>
      </c>
      <c r="L125" s="128" t="s">
        <v>655</v>
      </c>
      <c r="M125" s="9" t="s">
        <v>657</v>
      </c>
      <c r="N125" s="9" t="s">
        <v>707</v>
      </c>
      <c r="O125" s="18" t="s">
        <v>34</v>
      </c>
      <c r="P125" s="128"/>
      <c r="Q125" s="34"/>
      <c r="R125" s="34"/>
      <c r="S125" s="35"/>
      <c r="T125" s="37"/>
      <c r="U125" s="15"/>
      <c r="V125" s="15"/>
      <c r="W125" s="37"/>
      <c r="X125" s="15"/>
      <c r="Y125" s="37"/>
      <c r="Z125" s="37"/>
      <c r="AA125" s="15"/>
      <c r="AB125" s="37"/>
      <c r="AC125" s="37"/>
      <c r="AD125" s="15"/>
      <c r="AE125" s="37"/>
    </row>
    <row r="126" spans="1:31" ht="43.2" x14ac:dyDescent="0.3">
      <c r="A126" s="132">
        <v>124</v>
      </c>
      <c r="B126" s="131" t="s">
        <v>462</v>
      </c>
      <c r="C126" s="38" t="s">
        <v>34</v>
      </c>
      <c r="D126" s="127" t="s">
        <v>513</v>
      </c>
      <c r="E126" s="9" t="s">
        <v>525</v>
      </c>
      <c r="F126" s="131" t="s">
        <v>592</v>
      </c>
      <c r="G126" s="8" t="s">
        <v>601</v>
      </c>
      <c r="H126" s="124" t="s">
        <v>713</v>
      </c>
      <c r="I126" s="125" t="s">
        <v>34</v>
      </c>
      <c r="J126" s="25" t="s">
        <v>623</v>
      </c>
      <c r="K126" s="131" t="s">
        <v>647</v>
      </c>
      <c r="L126" s="128" t="s">
        <v>655</v>
      </c>
      <c r="M126" s="9" t="s">
        <v>657</v>
      </c>
      <c r="N126" s="9" t="s">
        <v>705</v>
      </c>
      <c r="O126" s="18" t="s">
        <v>34</v>
      </c>
      <c r="P126" s="128"/>
      <c r="Q126" s="34"/>
      <c r="R126" s="34"/>
      <c r="S126" s="35"/>
      <c r="T126" s="37"/>
      <c r="U126" s="15"/>
      <c r="V126" s="15"/>
      <c r="W126" s="37"/>
      <c r="X126" s="15"/>
      <c r="Y126" s="37"/>
      <c r="Z126" s="37"/>
      <c r="AA126" s="15"/>
      <c r="AB126" s="37"/>
      <c r="AC126" s="37"/>
      <c r="AD126" s="15"/>
      <c r="AE126" s="37"/>
    </row>
    <row r="127" spans="1:31" ht="43.2" x14ac:dyDescent="0.3">
      <c r="A127" s="132">
        <v>125</v>
      </c>
      <c r="B127" s="131" t="s">
        <v>463</v>
      </c>
      <c r="C127" s="38" t="s">
        <v>34</v>
      </c>
      <c r="D127" s="127" t="s">
        <v>513</v>
      </c>
      <c r="E127" s="9" t="s">
        <v>525</v>
      </c>
      <c r="F127" s="131" t="s">
        <v>597</v>
      </c>
      <c r="G127" s="8" t="s">
        <v>601</v>
      </c>
      <c r="H127" s="124" t="s">
        <v>713</v>
      </c>
      <c r="I127" s="125" t="s">
        <v>34</v>
      </c>
      <c r="J127" s="25" t="s">
        <v>623</v>
      </c>
      <c r="K127" s="131" t="s">
        <v>648</v>
      </c>
      <c r="L127" s="128" t="s">
        <v>651</v>
      </c>
      <c r="M127" s="9" t="s">
        <v>657</v>
      </c>
      <c r="N127" s="9" t="s">
        <v>708</v>
      </c>
      <c r="O127" s="18" t="s">
        <v>34</v>
      </c>
      <c r="P127" s="128"/>
      <c r="Q127" s="34"/>
      <c r="R127" s="34"/>
      <c r="S127" s="35"/>
      <c r="T127" s="37"/>
      <c r="U127" s="15"/>
      <c r="V127" s="15"/>
      <c r="W127" s="37"/>
      <c r="X127" s="15"/>
      <c r="Y127" s="37"/>
      <c r="Z127" s="37"/>
      <c r="AA127" s="15"/>
      <c r="AB127" s="37"/>
      <c r="AC127" s="37"/>
      <c r="AD127" s="15"/>
      <c r="AE127" s="37"/>
    </row>
    <row r="128" spans="1:31" ht="43.2" x14ac:dyDescent="0.3">
      <c r="A128" s="132">
        <v>126</v>
      </c>
      <c r="B128" s="131" t="s">
        <v>464</v>
      </c>
      <c r="C128" s="38" t="s">
        <v>34</v>
      </c>
      <c r="D128" s="127" t="s">
        <v>513</v>
      </c>
      <c r="E128" s="9" t="s">
        <v>525</v>
      </c>
      <c r="F128" s="131" t="s">
        <v>598</v>
      </c>
      <c r="G128" s="8" t="s">
        <v>601</v>
      </c>
      <c r="H128" s="124" t="s">
        <v>713</v>
      </c>
      <c r="I128" s="125" t="s">
        <v>34</v>
      </c>
      <c r="J128" s="25" t="s">
        <v>623</v>
      </c>
      <c r="K128" s="131" t="s">
        <v>648</v>
      </c>
      <c r="L128" s="128" t="s">
        <v>651</v>
      </c>
      <c r="M128" s="9" t="s">
        <v>657</v>
      </c>
      <c r="N128" s="9" t="s">
        <v>709</v>
      </c>
      <c r="O128" s="18" t="s">
        <v>34</v>
      </c>
      <c r="P128" s="128"/>
      <c r="Q128" s="34"/>
      <c r="R128" s="34"/>
      <c r="S128" s="35"/>
      <c r="T128" s="37"/>
      <c r="U128" s="15"/>
      <c r="V128" s="15"/>
      <c r="W128" s="37"/>
      <c r="X128" s="15"/>
      <c r="Y128" s="37"/>
      <c r="Z128" s="37"/>
      <c r="AA128" s="15"/>
      <c r="AB128" s="37"/>
      <c r="AC128" s="37"/>
      <c r="AD128" s="15"/>
      <c r="AE128" s="37"/>
    </row>
    <row r="129" spans="1:31" ht="43.2" x14ac:dyDescent="0.3">
      <c r="A129" s="132">
        <v>127</v>
      </c>
      <c r="B129" s="131" t="s">
        <v>465</v>
      </c>
      <c r="C129" s="38" t="s">
        <v>34</v>
      </c>
      <c r="D129" s="127" t="s">
        <v>513</v>
      </c>
      <c r="E129" s="9" t="s">
        <v>525</v>
      </c>
      <c r="F129" s="131" t="s">
        <v>599</v>
      </c>
      <c r="G129" s="8" t="s">
        <v>601</v>
      </c>
      <c r="H129" s="124" t="s">
        <v>713</v>
      </c>
      <c r="I129" s="125" t="s">
        <v>34</v>
      </c>
      <c r="J129" s="25" t="s">
        <v>623</v>
      </c>
      <c r="K129" s="131" t="s">
        <v>34</v>
      </c>
      <c r="L129" s="128" t="s">
        <v>651</v>
      </c>
      <c r="M129" s="9" t="s">
        <v>657</v>
      </c>
      <c r="N129" s="9" t="s">
        <v>710</v>
      </c>
      <c r="O129" s="18" t="s">
        <v>34</v>
      </c>
      <c r="P129" s="128"/>
      <c r="Q129" s="34"/>
      <c r="R129" s="34"/>
      <c r="S129" s="35"/>
      <c r="T129" s="37"/>
      <c r="U129" s="15"/>
      <c r="V129" s="15"/>
      <c r="W129" s="37"/>
      <c r="X129" s="15"/>
      <c r="Y129" s="37"/>
      <c r="Z129" s="37"/>
      <c r="AA129" s="15"/>
      <c r="AB129" s="37"/>
      <c r="AC129" s="37"/>
      <c r="AD129" s="15"/>
      <c r="AE129" s="37"/>
    </row>
    <row r="130" spans="1:31" ht="43.2" x14ac:dyDescent="0.3">
      <c r="A130" s="132">
        <v>128</v>
      </c>
      <c r="B130" s="131" t="s">
        <v>466</v>
      </c>
      <c r="C130" s="38" t="s">
        <v>34</v>
      </c>
      <c r="D130" s="127" t="s">
        <v>513</v>
      </c>
      <c r="E130" s="9" t="s">
        <v>525</v>
      </c>
      <c r="F130" s="131" t="s">
        <v>546</v>
      </c>
      <c r="G130" s="8" t="s">
        <v>601</v>
      </c>
      <c r="H130" s="124" t="s">
        <v>713</v>
      </c>
      <c r="I130" s="125" t="s">
        <v>34</v>
      </c>
      <c r="J130" s="25" t="s">
        <v>623</v>
      </c>
      <c r="K130" s="131" t="s">
        <v>633</v>
      </c>
      <c r="L130" s="128" t="s">
        <v>652</v>
      </c>
      <c r="M130" s="9" t="s">
        <v>657</v>
      </c>
      <c r="N130" s="9" t="s">
        <v>711</v>
      </c>
      <c r="O130" s="18" t="s">
        <v>34</v>
      </c>
      <c r="P130" s="128"/>
      <c r="Q130" s="34"/>
      <c r="R130" s="34"/>
      <c r="S130" s="35"/>
      <c r="T130" s="37"/>
      <c r="U130" s="15"/>
      <c r="V130" s="15"/>
      <c r="W130" s="37"/>
      <c r="X130" s="15"/>
      <c r="Y130" s="37"/>
      <c r="Z130" s="37"/>
      <c r="AA130" s="15"/>
      <c r="AB130" s="37"/>
      <c r="AC130" s="37"/>
      <c r="AD130" s="15"/>
      <c r="AE130" s="37"/>
    </row>
    <row r="131" spans="1:31" x14ac:dyDescent="0.3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8"/>
      <c r="P131" s="8"/>
      <c r="Q131" s="18"/>
    </row>
    <row r="132" spans="1:31" x14ac:dyDescent="0.3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8"/>
      <c r="P132" s="8"/>
      <c r="Q132" s="18"/>
    </row>
    <row r="133" spans="1:31" x14ac:dyDescent="0.3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8"/>
      <c r="P133" s="8"/>
      <c r="Q133" s="18"/>
    </row>
    <row r="134" spans="1:31" x14ac:dyDescent="0.3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8"/>
      <c r="P134" s="8"/>
      <c r="Q134" s="18"/>
    </row>
    <row r="135" spans="1:31" x14ac:dyDescent="0.3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8"/>
      <c r="P135" s="8"/>
      <c r="Q135" s="18"/>
    </row>
    <row r="136" spans="1:31" x14ac:dyDescent="0.3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8"/>
      <c r="P136" s="8"/>
      <c r="Q136" s="18"/>
    </row>
    <row r="137" spans="1:31" x14ac:dyDescent="0.3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8"/>
      <c r="P137" s="8"/>
      <c r="Q137" s="18"/>
    </row>
    <row r="138" spans="1:31" x14ac:dyDescent="0.3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8"/>
      <c r="P138" s="8"/>
      <c r="Q138" s="18"/>
    </row>
    <row r="139" spans="1:31" x14ac:dyDescent="0.3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8"/>
      <c r="P139" s="8"/>
      <c r="Q139" s="18"/>
    </row>
    <row r="140" spans="1:31" x14ac:dyDescent="0.3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8"/>
      <c r="P140" s="8"/>
      <c r="Q140" s="18"/>
    </row>
    <row r="141" spans="1:31" x14ac:dyDescent="0.3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8"/>
      <c r="P141" s="8"/>
      <c r="Q141" s="18"/>
    </row>
    <row r="142" spans="1:31" x14ac:dyDescent="0.3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8"/>
      <c r="P142" s="8"/>
      <c r="Q142" s="18"/>
    </row>
    <row r="143" spans="1:31" x14ac:dyDescent="0.3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8"/>
      <c r="P143" s="8"/>
      <c r="Q143" s="18"/>
    </row>
    <row r="144" spans="1:31" x14ac:dyDescent="0.3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8"/>
      <c r="P144" s="8"/>
      <c r="Q144" s="18"/>
    </row>
    <row r="145" spans="1:17" x14ac:dyDescent="0.3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8"/>
      <c r="P145" s="8"/>
      <c r="Q145" s="18"/>
    </row>
    <row r="146" spans="1:17" x14ac:dyDescent="0.3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8"/>
      <c r="P146" s="8"/>
      <c r="Q146" s="18"/>
    </row>
    <row r="147" spans="1:17" x14ac:dyDescent="0.3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8"/>
      <c r="P147" s="8"/>
      <c r="Q147" s="18"/>
    </row>
    <row r="148" spans="1:17" x14ac:dyDescent="0.3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8"/>
      <c r="P148" s="8"/>
      <c r="Q148" s="18"/>
    </row>
    <row r="149" spans="1:17" x14ac:dyDescent="0.3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8"/>
      <c r="P149" s="8"/>
      <c r="Q149" s="18"/>
    </row>
    <row r="150" spans="1:17" x14ac:dyDescent="0.3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8"/>
      <c r="P150" s="8"/>
      <c r="Q150" s="18"/>
    </row>
    <row r="151" spans="1:17" x14ac:dyDescent="0.3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8"/>
      <c r="P151" s="8"/>
      <c r="Q151" s="18"/>
    </row>
    <row r="152" spans="1:17" x14ac:dyDescent="0.3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8"/>
      <c r="P152" s="8"/>
      <c r="Q152" s="18"/>
    </row>
    <row r="153" spans="1:17" x14ac:dyDescent="0.3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8"/>
      <c r="P153" s="8"/>
      <c r="Q153" s="18"/>
    </row>
    <row r="154" spans="1:17" x14ac:dyDescent="0.3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8"/>
      <c r="P154" s="8"/>
      <c r="Q154" s="18"/>
    </row>
    <row r="155" spans="1:17" x14ac:dyDescent="0.3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8"/>
      <c r="P155" s="8"/>
      <c r="Q155" s="18"/>
    </row>
    <row r="156" spans="1:17" x14ac:dyDescent="0.3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8"/>
      <c r="P156" s="8"/>
      <c r="Q156" s="18"/>
    </row>
    <row r="157" spans="1:17" x14ac:dyDescent="0.3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8"/>
      <c r="P157" s="8"/>
      <c r="Q157" s="18"/>
    </row>
    <row r="158" spans="1:17" x14ac:dyDescent="0.3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8"/>
      <c r="P158" s="8"/>
      <c r="Q158" s="18"/>
    </row>
    <row r="159" spans="1:17" x14ac:dyDescent="0.3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8"/>
      <c r="P159" s="8"/>
      <c r="Q159" s="18"/>
    </row>
    <row r="160" spans="1:17" x14ac:dyDescent="0.3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8"/>
      <c r="P160" s="8"/>
      <c r="Q160" s="18"/>
    </row>
    <row r="161" spans="1:17" x14ac:dyDescent="0.3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8"/>
      <c r="P161" s="8"/>
      <c r="Q161" s="18"/>
    </row>
    <row r="162" spans="1:17" x14ac:dyDescent="0.3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8"/>
      <c r="P162" s="8"/>
      <c r="Q162" s="18"/>
    </row>
    <row r="163" spans="1:17" x14ac:dyDescent="0.3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8"/>
      <c r="P163" s="8"/>
      <c r="Q163" s="18"/>
    </row>
    <row r="164" spans="1:17" x14ac:dyDescent="0.3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8"/>
      <c r="P164" s="8"/>
      <c r="Q164" s="18"/>
    </row>
    <row r="165" spans="1:17" x14ac:dyDescent="0.3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8"/>
      <c r="P165" s="8"/>
      <c r="Q165" s="18"/>
    </row>
    <row r="166" spans="1:17" x14ac:dyDescent="0.3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8"/>
      <c r="P166" s="8"/>
      <c r="Q166" s="18"/>
    </row>
    <row r="167" spans="1:17" x14ac:dyDescent="0.3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8"/>
      <c r="P167" s="8"/>
      <c r="Q167" s="18"/>
    </row>
    <row r="168" spans="1:17" x14ac:dyDescent="0.3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8"/>
      <c r="P168" s="8"/>
      <c r="Q168" s="18"/>
    </row>
    <row r="169" spans="1:17" x14ac:dyDescent="0.3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8"/>
      <c r="P169" s="8"/>
      <c r="Q169" s="18"/>
    </row>
    <row r="170" spans="1:17" x14ac:dyDescent="0.3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8"/>
      <c r="P170" s="8"/>
      <c r="Q170" s="18"/>
    </row>
    <row r="171" spans="1:17" x14ac:dyDescent="0.3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8"/>
      <c r="P171" s="8"/>
      <c r="Q171" s="18"/>
    </row>
    <row r="172" spans="1:17" x14ac:dyDescent="0.3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8"/>
      <c r="P172" s="8"/>
      <c r="Q172" s="18"/>
    </row>
    <row r="173" spans="1:17" x14ac:dyDescent="0.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8"/>
      <c r="P173" s="8"/>
      <c r="Q173" s="18"/>
    </row>
    <row r="174" spans="1:17" x14ac:dyDescent="0.3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8"/>
      <c r="P174" s="8"/>
      <c r="Q174" s="18"/>
    </row>
    <row r="175" spans="1:17" x14ac:dyDescent="0.3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8"/>
      <c r="P175" s="8"/>
      <c r="Q175" s="18"/>
    </row>
    <row r="176" spans="1:17" x14ac:dyDescent="0.3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8"/>
      <c r="P176" s="8"/>
      <c r="Q176" s="18"/>
    </row>
    <row r="177" spans="1:17" x14ac:dyDescent="0.3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8"/>
      <c r="P177" s="8"/>
      <c r="Q177" s="18"/>
    </row>
    <row r="178" spans="1:17" x14ac:dyDescent="0.3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8"/>
      <c r="P178" s="8"/>
      <c r="Q178" s="18"/>
    </row>
    <row r="179" spans="1:17" x14ac:dyDescent="0.3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8"/>
      <c r="P179" s="8"/>
      <c r="Q179" s="18"/>
    </row>
    <row r="180" spans="1:17" x14ac:dyDescent="0.3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8"/>
      <c r="P180" s="8"/>
      <c r="Q180" s="18"/>
    </row>
    <row r="181" spans="1:17" x14ac:dyDescent="0.3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8"/>
      <c r="P181" s="8"/>
      <c r="Q181" s="18"/>
    </row>
    <row r="182" spans="1:17" x14ac:dyDescent="0.3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8"/>
      <c r="P182" s="8"/>
      <c r="Q182" s="18"/>
    </row>
    <row r="183" spans="1:17" x14ac:dyDescent="0.3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8"/>
      <c r="P183" s="8"/>
      <c r="Q183" s="18"/>
    </row>
    <row r="184" spans="1:17" x14ac:dyDescent="0.3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8"/>
      <c r="P184" s="8"/>
      <c r="Q184" s="18"/>
    </row>
    <row r="185" spans="1:17" x14ac:dyDescent="0.3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8"/>
      <c r="P185" s="8"/>
      <c r="Q185" s="18"/>
    </row>
    <row r="186" spans="1:17" x14ac:dyDescent="0.3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8"/>
      <c r="P186" s="8"/>
      <c r="Q186" s="18"/>
    </row>
    <row r="187" spans="1:17" x14ac:dyDescent="0.3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8"/>
      <c r="P187" s="8"/>
      <c r="Q187" s="18"/>
    </row>
    <row r="188" spans="1:17" x14ac:dyDescent="0.3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8"/>
      <c r="P188" s="8"/>
      <c r="Q188" s="18"/>
    </row>
    <row r="189" spans="1:17" x14ac:dyDescent="0.3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8"/>
      <c r="P189" s="8"/>
      <c r="Q189" s="18"/>
    </row>
    <row r="190" spans="1:17" x14ac:dyDescent="0.3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8"/>
      <c r="P190" s="8"/>
      <c r="Q190" s="18"/>
    </row>
    <row r="191" spans="1:17" x14ac:dyDescent="0.3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8"/>
      <c r="P191" s="8"/>
      <c r="Q191" s="18"/>
    </row>
    <row r="192" spans="1:17" x14ac:dyDescent="0.3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8"/>
      <c r="P192" s="8"/>
      <c r="Q192" s="18"/>
    </row>
    <row r="193" spans="1:17" x14ac:dyDescent="0.3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8"/>
      <c r="P193" s="8"/>
      <c r="Q193" s="18"/>
    </row>
    <row r="194" spans="1:17" x14ac:dyDescent="0.3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8"/>
      <c r="P194" s="8"/>
      <c r="Q194" s="18"/>
    </row>
    <row r="195" spans="1:17" x14ac:dyDescent="0.3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8"/>
      <c r="P195" s="8"/>
      <c r="Q195" s="18"/>
    </row>
    <row r="196" spans="1:17" x14ac:dyDescent="0.3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8"/>
      <c r="P196" s="8"/>
      <c r="Q196" s="18"/>
    </row>
    <row r="197" spans="1:17" x14ac:dyDescent="0.3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8"/>
      <c r="P197" s="8"/>
      <c r="Q197" s="18"/>
    </row>
    <row r="198" spans="1:17" x14ac:dyDescent="0.3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8"/>
      <c r="P198" s="8"/>
      <c r="Q198" s="18"/>
    </row>
    <row r="199" spans="1:17" x14ac:dyDescent="0.3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8"/>
      <c r="P199" s="8"/>
      <c r="Q199" s="18"/>
    </row>
    <row r="200" spans="1:17" x14ac:dyDescent="0.3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8"/>
      <c r="P200" s="8"/>
      <c r="Q200" s="18"/>
    </row>
    <row r="201" spans="1:17" x14ac:dyDescent="0.3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8"/>
      <c r="P201" s="8"/>
      <c r="Q201" s="18"/>
    </row>
    <row r="202" spans="1:17" x14ac:dyDescent="0.3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8"/>
      <c r="P202" s="8"/>
      <c r="Q202" s="18"/>
    </row>
    <row r="203" spans="1:17" x14ac:dyDescent="0.3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8"/>
      <c r="P203" s="8"/>
      <c r="Q203" s="18"/>
    </row>
    <row r="204" spans="1:17" x14ac:dyDescent="0.3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8"/>
      <c r="P204" s="8"/>
      <c r="Q204" s="18"/>
    </row>
    <row r="205" spans="1:17" x14ac:dyDescent="0.3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8"/>
      <c r="P205" s="8"/>
      <c r="Q205" s="18"/>
    </row>
    <row r="206" spans="1:17" x14ac:dyDescent="0.3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8"/>
      <c r="P206" s="8"/>
      <c r="Q206" s="18"/>
    </row>
    <row r="207" spans="1:17" x14ac:dyDescent="0.3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8"/>
      <c r="P207" s="8"/>
      <c r="Q207" s="18"/>
    </row>
    <row r="208" spans="1:17" x14ac:dyDescent="0.3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8"/>
      <c r="P208" s="8"/>
      <c r="Q208" s="18"/>
    </row>
    <row r="209" spans="1:17" x14ac:dyDescent="0.3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8"/>
      <c r="P209" s="8"/>
      <c r="Q209" s="18"/>
    </row>
    <row r="210" spans="1:17" x14ac:dyDescent="0.3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8"/>
      <c r="P210" s="8"/>
      <c r="Q210" s="18"/>
    </row>
    <row r="211" spans="1:17" x14ac:dyDescent="0.3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8"/>
      <c r="P211" s="8"/>
      <c r="Q211" s="18"/>
    </row>
    <row r="212" spans="1:17" x14ac:dyDescent="0.3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8"/>
      <c r="P212" s="8"/>
      <c r="Q212" s="18"/>
    </row>
    <row r="213" spans="1:17" x14ac:dyDescent="0.3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8"/>
      <c r="P213" s="8"/>
      <c r="Q213" s="18"/>
    </row>
    <row r="214" spans="1:17" x14ac:dyDescent="0.3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8"/>
      <c r="P214" s="8"/>
      <c r="Q214" s="18"/>
    </row>
    <row r="215" spans="1:17" x14ac:dyDescent="0.3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8"/>
      <c r="P215" s="8"/>
      <c r="Q215" s="18"/>
    </row>
    <row r="216" spans="1:17" x14ac:dyDescent="0.3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8"/>
      <c r="P216" s="8"/>
      <c r="Q216" s="18"/>
    </row>
    <row r="217" spans="1:17" x14ac:dyDescent="0.3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8"/>
      <c r="P217" s="8"/>
      <c r="Q217" s="18"/>
    </row>
    <row r="218" spans="1:17" x14ac:dyDescent="0.3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8"/>
      <c r="P218" s="8"/>
      <c r="Q218" s="18"/>
    </row>
    <row r="219" spans="1:17" x14ac:dyDescent="0.3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8"/>
      <c r="P219" s="8"/>
      <c r="Q219" s="18"/>
    </row>
    <row r="220" spans="1:17" x14ac:dyDescent="0.3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8"/>
      <c r="P220" s="8"/>
      <c r="Q220" s="18"/>
    </row>
    <row r="221" spans="1:17" x14ac:dyDescent="0.3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8"/>
      <c r="P221" s="8"/>
      <c r="Q221" s="18"/>
    </row>
    <row r="222" spans="1:17" x14ac:dyDescent="0.3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8"/>
      <c r="P222" s="8"/>
      <c r="Q222" s="18"/>
    </row>
    <row r="223" spans="1:17" x14ac:dyDescent="0.3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8"/>
      <c r="P223" s="8"/>
      <c r="Q223" s="18"/>
    </row>
    <row r="224" spans="1:17" x14ac:dyDescent="0.3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8"/>
      <c r="P224" s="8"/>
      <c r="Q224" s="18"/>
    </row>
    <row r="225" spans="1:17" x14ac:dyDescent="0.3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8"/>
      <c r="P225" s="8"/>
      <c r="Q225" s="18"/>
    </row>
    <row r="226" spans="1:17" x14ac:dyDescent="0.3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8"/>
      <c r="P226" s="8"/>
      <c r="Q226" s="18"/>
    </row>
    <row r="227" spans="1:17" x14ac:dyDescent="0.3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8"/>
      <c r="P227" s="8"/>
      <c r="Q227" s="18"/>
    </row>
    <row r="228" spans="1:17" x14ac:dyDescent="0.3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8"/>
      <c r="P228" s="8"/>
      <c r="Q228" s="18"/>
    </row>
    <row r="229" spans="1:17" x14ac:dyDescent="0.3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8"/>
      <c r="P229" s="8"/>
      <c r="Q229" s="18"/>
    </row>
    <row r="230" spans="1:17" x14ac:dyDescent="0.3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8"/>
      <c r="P230" s="8"/>
      <c r="Q230" s="18"/>
    </row>
    <row r="231" spans="1:17" x14ac:dyDescent="0.3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8"/>
      <c r="P231" s="8"/>
      <c r="Q231" s="18"/>
    </row>
    <row r="232" spans="1:17" x14ac:dyDescent="0.3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8"/>
      <c r="P232" s="8"/>
      <c r="Q232" s="18"/>
    </row>
    <row r="233" spans="1:17" x14ac:dyDescent="0.3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8"/>
      <c r="P233" s="8"/>
      <c r="Q233" s="18"/>
    </row>
    <row r="234" spans="1:17" x14ac:dyDescent="0.3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8"/>
      <c r="P234" s="8"/>
      <c r="Q234" s="18"/>
    </row>
    <row r="235" spans="1:17" x14ac:dyDescent="0.3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8"/>
      <c r="P235" s="8"/>
      <c r="Q235" s="18"/>
    </row>
    <row r="236" spans="1:17" x14ac:dyDescent="0.3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8"/>
      <c r="P236" s="8"/>
      <c r="Q236" s="18"/>
    </row>
    <row r="237" spans="1:17" x14ac:dyDescent="0.3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8"/>
      <c r="P237" s="8"/>
      <c r="Q237" s="18"/>
    </row>
    <row r="238" spans="1:17" x14ac:dyDescent="0.3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8"/>
      <c r="P238" s="8"/>
      <c r="Q238" s="18"/>
    </row>
    <row r="239" spans="1:17" x14ac:dyDescent="0.3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8"/>
      <c r="P239" s="8"/>
      <c r="Q239" s="18"/>
    </row>
    <row r="240" spans="1:17" x14ac:dyDescent="0.3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8"/>
      <c r="P240" s="8"/>
      <c r="Q240" s="18"/>
    </row>
    <row r="241" spans="1:17" x14ac:dyDescent="0.3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8"/>
      <c r="P241" s="8"/>
      <c r="Q241" s="18"/>
    </row>
    <row r="242" spans="1:17" x14ac:dyDescent="0.3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8"/>
      <c r="P242" s="8"/>
      <c r="Q242" s="18"/>
    </row>
    <row r="243" spans="1:17" x14ac:dyDescent="0.3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8"/>
      <c r="P243" s="8"/>
      <c r="Q243" s="18"/>
    </row>
    <row r="244" spans="1:17" x14ac:dyDescent="0.3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8"/>
      <c r="P244" s="8"/>
      <c r="Q244" s="18"/>
    </row>
    <row r="245" spans="1:17" x14ac:dyDescent="0.3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8"/>
      <c r="P245" s="8"/>
      <c r="Q245" s="18"/>
    </row>
    <row r="246" spans="1:17" x14ac:dyDescent="0.3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8"/>
      <c r="P246" s="8"/>
      <c r="Q246" s="18"/>
    </row>
    <row r="247" spans="1:17" x14ac:dyDescent="0.3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8"/>
      <c r="P247" s="8"/>
      <c r="Q247" s="18"/>
    </row>
    <row r="248" spans="1:17" x14ac:dyDescent="0.3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8"/>
      <c r="P248" s="8"/>
      <c r="Q248" s="18"/>
    </row>
    <row r="249" spans="1:17" x14ac:dyDescent="0.3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8"/>
      <c r="P249" s="8"/>
      <c r="Q249" s="18"/>
    </row>
    <row r="250" spans="1:17" x14ac:dyDescent="0.3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8"/>
      <c r="P250" s="8"/>
      <c r="Q250" s="18"/>
    </row>
    <row r="251" spans="1:17" x14ac:dyDescent="0.3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8"/>
      <c r="P251" s="8"/>
      <c r="Q251" s="18"/>
    </row>
    <row r="252" spans="1:17" x14ac:dyDescent="0.3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8"/>
      <c r="P252" s="8"/>
      <c r="Q252" s="18"/>
    </row>
    <row r="253" spans="1:17" x14ac:dyDescent="0.3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8"/>
      <c r="P253" s="8"/>
      <c r="Q253" s="18"/>
    </row>
    <row r="254" spans="1:17" x14ac:dyDescent="0.3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8"/>
      <c r="P254" s="8"/>
      <c r="Q254" s="18"/>
    </row>
    <row r="255" spans="1:17" x14ac:dyDescent="0.3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8"/>
      <c r="P255" s="8"/>
      <c r="Q255" s="18"/>
    </row>
    <row r="256" spans="1:17" x14ac:dyDescent="0.3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8"/>
      <c r="P256" s="8"/>
      <c r="Q256" s="18"/>
    </row>
    <row r="257" spans="1:17" x14ac:dyDescent="0.3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8"/>
      <c r="P257" s="8"/>
      <c r="Q257" s="18"/>
    </row>
    <row r="258" spans="1:17" x14ac:dyDescent="0.3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8"/>
      <c r="P258" s="8"/>
      <c r="Q258" s="18"/>
    </row>
    <row r="259" spans="1:17" x14ac:dyDescent="0.3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8"/>
      <c r="P259" s="8"/>
      <c r="Q259" s="18"/>
    </row>
    <row r="260" spans="1:17" x14ac:dyDescent="0.3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8"/>
      <c r="P260" s="8"/>
      <c r="Q260" s="18"/>
    </row>
    <row r="261" spans="1:17" x14ac:dyDescent="0.3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8"/>
      <c r="P261" s="8"/>
      <c r="Q261" s="18"/>
    </row>
    <row r="262" spans="1:17" x14ac:dyDescent="0.3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8"/>
      <c r="P262" s="8"/>
      <c r="Q262" s="18"/>
    </row>
    <row r="263" spans="1:17" x14ac:dyDescent="0.3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8"/>
      <c r="P263" s="8"/>
      <c r="Q263" s="18"/>
    </row>
    <row r="264" spans="1:17" x14ac:dyDescent="0.3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8"/>
      <c r="P264" s="8"/>
      <c r="Q264" s="18"/>
    </row>
    <row r="265" spans="1:17" x14ac:dyDescent="0.3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8"/>
      <c r="P265" s="8"/>
      <c r="Q265" s="18"/>
    </row>
    <row r="266" spans="1:17" x14ac:dyDescent="0.3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8"/>
      <c r="P266" s="8"/>
      <c r="Q266" s="18"/>
    </row>
    <row r="267" spans="1:17" x14ac:dyDescent="0.3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8"/>
      <c r="P267" s="8"/>
      <c r="Q267" s="18"/>
    </row>
    <row r="268" spans="1:17" x14ac:dyDescent="0.3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8"/>
      <c r="P268" s="8"/>
      <c r="Q268" s="18"/>
    </row>
    <row r="269" spans="1:17" x14ac:dyDescent="0.3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8"/>
      <c r="P269" s="8"/>
      <c r="Q269" s="18"/>
    </row>
    <row r="270" spans="1:17" x14ac:dyDescent="0.3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8"/>
      <c r="P270" s="8"/>
      <c r="Q270" s="18"/>
    </row>
    <row r="271" spans="1:17" x14ac:dyDescent="0.3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8"/>
      <c r="P271" s="8"/>
      <c r="Q271" s="18"/>
    </row>
    <row r="272" spans="1:17" x14ac:dyDescent="0.3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8"/>
      <c r="P272" s="8"/>
      <c r="Q272" s="18"/>
    </row>
    <row r="273" spans="1:17" x14ac:dyDescent="0.3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8"/>
      <c r="P273" s="8"/>
      <c r="Q273" s="18"/>
    </row>
    <row r="274" spans="1:17" x14ac:dyDescent="0.3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8"/>
      <c r="P274" s="8"/>
      <c r="Q274" s="18"/>
    </row>
    <row r="275" spans="1:17" x14ac:dyDescent="0.3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8"/>
      <c r="P275" s="8"/>
      <c r="Q275" s="18"/>
    </row>
    <row r="276" spans="1:17" x14ac:dyDescent="0.3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8"/>
      <c r="P276" s="8"/>
      <c r="Q276" s="18"/>
    </row>
    <row r="277" spans="1:17" x14ac:dyDescent="0.3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8"/>
      <c r="P277" s="8"/>
      <c r="Q277" s="18"/>
    </row>
    <row r="278" spans="1:17" x14ac:dyDescent="0.3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8"/>
      <c r="P278" s="8"/>
      <c r="Q278" s="18"/>
    </row>
    <row r="279" spans="1:17" x14ac:dyDescent="0.3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8"/>
      <c r="P279" s="8"/>
      <c r="Q279" s="18"/>
    </row>
    <row r="280" spans="1:17" x14ac:dyDescent="0.3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8"/>
      <c r="P280" s="8"/>
      <c r="Q280" s="18"/>
    </row>
    <row r="281" spans="1:17" x14ac:dyDescent="0.3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8"/>
      <c r="P281" s="8"/>
      <c r="Q281" s="18"/>
    </row>
    <row r="282" spans="1:17" x14ac:dyDescent="0.3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8"/>
      <c r="P282" s="8"/>
      <c r="Q282" s="18"/>
    </row>
    <row r="283" spans="1:17" x14ac:dyDescent="0.3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8"/>
      <c r="P283" s="8"/>
      <c r="Q283" s="18"/>
    </row>
    <row r="284" spans="1:17" x14ac:dyDescent="0.3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8"/>
      <c r="P284" s="8"/>
      <c r="Q284" s="18"/>
    </row>
    <row r="285" spans="1:17" x14ac:dyDescent="0.3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8"/>
      <c r="P285" s="8"/>
      <c r="Q285" s="18"/>
    </row>
    <row r="286" spans="1:17" x14ac:dyDescent="0.3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8"/>
      <c r="P286" s="8"/>
      <c r="Q286" s="18"/>
    </row>
    <row r="287" spans="1:17" x14ac:dyDescent="0.3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8"/>
      <c r="P287" s="8"/>
      <c r="Q287" s="18"/>
    </row>
    <row r="288" spans="1:17" x14ac:dyDescent="0.3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8"/>
      <c r="P288" s="8"/>
      <c r="Q288" s="18"/>
    </row>
    <row r="289" spans="1:17" x14ac:dyDescent="0.3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8"/>
      <c r="P289" s="8"/>
      <c r="Q289" s="18"/>
    </row>
    <row r="290" spans="1:17" x14ac:dyDescent="0.3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8"/>
      <c r="P290" s="8"/>
      <c r="Q290" s="18"/>
    </row>
    <row r="291" spans="1:17" x14ac:dyDescent="0.3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8"/>
      <c r="P291" s="8"/>
      <c r="Q291" s="18"/>
    </row>
    <row r="292" spans="1:17" x14ac:dyDescent="0.3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8"/>
      <c r="P292" s="8"/>
      <c r="Q292" s="18"/>
    </row>
    <row r="293" spans="1:17" x14ac:dyDescent="0.3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8"/>
      <c r="P293" s="8"/>
      <c r="Q293" s="18"/>
    </row>
    <row r="294" spans="1:17" x14ac:dyDescent="0.3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8"/>
      <c r="P294" s="8"/>
      <c r="Q294" s="18"/>
    </row>
    <row r="295" spans="1:17" x14ac:dyDescent="0.3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8"/>
      <c r="P295" s="8"/>
      <c r="Q295" s="18"/>
    </row>
    <row r="296" spans="1:17" x14ac:dyDescent="0.3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8"/>
      <c r="P296" s="8"/>
      <c r="Q296" s="18"/>
    </row>
    <row r="297" spans="1:17" x14ac:dyDescent="0.3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8"/>
      <c r="P297" s="8"/>
      <c r="Q297" s="18"/>
    </row>
    <row r="298" spans="1:17" x14ac:dyDescent="0.3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8"/>
      <c r="P298" s="8"/>
      <c r="Q298" s="18"/>
    </row>
    <row r="299" spans="1:17" x14ac:dyDescent="0.3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8"/>
      <c r="P299" s="8"/>
      <c r="Q299" s="18"/>
    </row>
    <row r="300" spans="1:17" x14ac:dyDescent="0.3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8"/>
      <c r="P300" s="8"/>
      <c r="Q300" s="18"/>
    </row>
    <row r="301" spans="1:17" x14ac:dyDescent="0.3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8"/>
      <c r="P301" s="8"/>
      <c r="Q301" s="18"/>
    </row>
    <row r="302" spans="1:17" x14ac:dyDescent="0.3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8"/>
      <c r="P302" s="8"/>
      <c r="Q302" s="18"/>
    </row>
    <row r="303" spans="1:17" x14ac:dyDescent="0.3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8"/>
      <c r="P303" s="8"/>
      <c r="Q303" s="18"/>
    </row>
    <row r="304" spans="1:17" x14ac:dyDescent="0.3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8"/>
      <c r="P304" s="8"/>
      <c r="Q304" s="18"/>
    </row>
    <row r="305" spans="1:17" x14ac:dyDescent="0.3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8"/>
      <c r="P305" s="8"/>
      <c r="Q305" s="18"/>
    </row>
    <row r="306" spans="1:17" x14ac:dyDescent="0.3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8"/>
      <c r="P306" s="8"/>
      <c r="Q306" s="18"/>
    </row>
    <row r="307" spans="1:17" x14ac:dyDescent="0.3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8"/>
      <c r="P307" s="8"/>
      <c r="Q307" s="18"/>
    </row>
    <row r="308" spans="1:17" x14ac:dyDescent="0.3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8"/>
      <c r="P308" s="8"/>
      <c r="Q308" s="18"/>
    </row>
    <row r="309" spans="1:17" x14ac:dyDescent="0.3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8"/>
      <c r="P309" s="8"/>
      <c r="Q309" s="18"/>
    </row>
    <row r="310" spans="1:17" x14ac:dyDescent="0.3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8"/>
      <c r="P310" s="8"/>
      <c r="Q310" s="18"/>
    </row>
    <row r="311" spans="1:17" x14ac:dyDescent="0.3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8"/>
      <c r="P311" s="8"/>
      <c r="Q311" s="18"/>
    </row>
    <row r="312" spans="1:17" x14ac:dyDescent="0.3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8"/>
      <c r="P312" s="8"/>
      <c r="Q312" s="18"/>
    </row>
    <row r="313" spans="1:17" x14ac:dyDescent="0.3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8"/>
      <c r="P313" s="8"/>
      <c r="Q313" s="18"/>
    </row>
    <row r="314" spans="1:17" x14ac:dyDescent="0.3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8"/>
      <c r="P314" s="8"/>
      <c r="Q314" s="18"/>
    </row>
    <row r="315" spans="1:17" x14ac:dyDescent="0.3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8"/>
      <c r="P315" s="8"/>
      <c r="Q315" s="18"/>
    </row>
    <row r="316" spans="1:17" x14ac:dyDescent="0.3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8"/>
      <c r="P316" s="8"/>
      <c r="Q316" s="18"/>
    </row>
    <row r="317" spans="1:17" x14ac:dyDescent="0.3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8"/>
      <c r="P317" s="8"/>
      <c r="Q317" s="18"/>
    </row>
    <row r="318" spans="1:17" x14ac:dyDescent="0.3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8"/>
      <c r="P318" s="8"/>
      <c r="Q318" s="18"/>
    </row>
    <row r="319" spans="1:17" x14ac:dyDescent="0.3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8"/>
      <c r="P319" s="8"/>
      <c r="Q319" s="18"/>
    </row>
    <row r="320" spans="1:17" x14ac:dyDescent="0.3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8"/>
      <c r="P320" s="8"/>
      <c r="Q320" s="18"/>
    </row>
    <row r="321" spans="1:17" x14ac:dyDescent="0.3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8"/>
      <c r="P321" s="8"/>
      <c r="Q321" s="18"/>
    </row>
    <row r="322" spans="1:17" x14ac:dyDescent="0.3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8"/>
      <c r="P322" s="8"/>
      <c r="Q322" s="18"/>
    </row>
    <row r="323" spans="1:17" x14ac:dyDescent="0.3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8"/>
      <c r="P323" s="8"/>
      <c r="Q323" s="18"/>
    </row>
    <row r="324" spans="1:17" x14ac:dyDescent="0.3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8"/>
      <c r="P324" s="8"/>
      <c r="Q324" s="18"/>
    </row>
    <row r="325" spans="1:17" x14ac:dyDescent="0.3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8"/>
      <c r="P325" s="8"/>
      <c r="Q325" s="18"/>
    </row>
    <row r="326" spans="1:17" x14ac:dyDescent="0.3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8"/>
      <c r="P326" s="8"/>
      <c r="Q326" s="18"/>
    </row>
    <row r="327" spans="1:17" x14ac:dyDescent="0.3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8"/>
      <c r="P327" s="8"/>
      <c r="Q327" s="18"/>
    </row>
    <row r="328" spans="1:17" x14ac:dyDescent="0.3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8"/>
      <c r="P328" s="8"/>
      <c r="Q328" s="18"/>
    </row>
    <row r="329" spans="1:17" x14ac:dyDescent="0.3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8"/>
      <c r="P329" s="8"/>
      <c r="Q329" s="18"/>
    </row>
    <row r="330" spans="1:17" x14ac:dyDescent="0.3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8"/>
      <c r="P330" s="8"/>
      <c r="Q330" s="18"/>
    </row>
    <row r="331" spans="1:17" x14ac:dyDescent="0.3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8"/>
      <c r="P331" s="8"/>
      <c r="Q331" s="18"/>
    </row>
    <row r="332" spans="1:17" x14ac:dyDescent="0.3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8"/>
      <c r="P332" s="8"/>
      <c r="Q332" s="18"/>
    </row>
    <row r="333" spans="1:17" x14ac:dyDescent="0.3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8"/>
      <c r="P333" s="8"/>
      <c r="Q333" s="18"/>
    </row>
    <row r="334" spans="1:17" x14ac:dyDescent="0.3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8"/>
      <c r="P334" s="8"/>
      <c r="Q334" s="18"/>
    </row>
    <row r="335" spans="1:17" x14ac:dyDescent="0.3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8"/>
      <c r="P335" s="8"/>
      <c r="Q335" s="18"/>
    </row>
    <row r="336" spans="1:17" x14ac:dyDescent="0.3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8"/>
      <c r="P336" s="8"/>
      <c r="Q336" s="18"/>
    </row>
    <row r="337" spans="1:17" x14ac:dyDescent="0.3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8"/>
      <c r="P337" s="8"/>
      <c r="Q337" s="18"/>
    </row>
    <row r="338" spans="1:17" x14ac:dyDescent="0.3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8"/>
      <c r="P338" s="8"/>
      <c r="Q338" s="18"/>
    </row>
    <row r="339" spans="1:17" x14ac:dyDescent="0.3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8"/>
      <c r="P339" s="8"/>
      <c r="Q339" s="18"/>
    </row>
    <row r="340" spans="1:17" x14ac:dyDescent="0.3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8"/>
      <c r="P340" s="8"/>
      <c r="Q340" s="18"/>
    </row>
    <row r="341" spans="1:17" x14ac:dyDescent="0.3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8"/>
      <c r="P341" s="8"/>
      <c r="Q341" s="18"/>
    </row>
    <row r="342" spans="1:17" x14ac:dyDescent="0.3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8"/>
      <c r="P342" s="8"/>
      <c r="Q342" s="18"/>
    </row>
    <row r="343" spans="1:17" x14ac:dyDescent="0.3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8"/>
      <c r="P343" s="8"/>
      <c r="Q343" s="18"/>
    </row>
    <row r="344" spans="1:17" x14ac:dyDescent="0.3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8"/>
      <c r="P344" s="8"/>
      <c r="Q344" s="18"/>
    </row>
    <row r="345" spans="1:17" x14ac:dyDescent="0.3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8"/>
      <c r="P345" s="8"/>
      <c r="Q345" s="18"/>
    </row>
    <row r="346" spans="1:17" x14ac:dyDescent="0.3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8"/>
      <c r="P346" s="8"/>
      <c r="Q346" s="18"/>
    </row>
    <row r="347" spans="1:17" x14ac:dyDescent="0.3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8"/>
      <c r="P347" s="8"/>
      <c r="Q347" s="18"/>
    </row>
    <row r="348" spans="1:17" x14ac:dyDescent="0.3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8"/>
      <c r="P348" s="8"/>
      <c r="Q348" s="18"/>
    </row>
    <row r="349" spans="1:17" x14ac:dyDescent="0.3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8"/>
      <c r="P349" s="8"/>
      <c r="Q349" s="18"/>
    </row>
    <row r="350" spans="1:17" x14ac:dyDescent="0.3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8"/>
      <c r="P350" s="8"/>
      <c r="Q350" s="18"/>
    </row>
    <row r="351" spans="1:17" x14ac:dyDescent="0.3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8"/>
      <c r="P351" s="8"/>
      <c r="Q351" s="18"/>
    </row>
    <row r="352" spans="1:17" x14ac:dyDescent="0.3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8"/>
      <c r="P352" s="8"/>
      <c r="Q352" s="18"/>
    </row>
    <row r="353" spans="1:17" x14ac:dyDescent="0.3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8"/>
      <c r="P353" s="8"/>
      <c r="Q353" s="18"/>
    </row>
    <row r="354" spans="1:17" x14ac:dyDescent="0.3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8"/>
      <c r="P354" s="8"/>
      <c r="Q354" s="18"/>
    </row>
    <row r="355" spans="1:17" x14ac:dyDescent="0.3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8"/>
      <c r="P355" s="8"/>
      <c r="Q355" s="18"/>
    </row>
    <row r="356" spans="1:17" x14ac:dyDescent="0.3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8"/>
      <c r="P356" s="8"/>
      <c r="Q356" s="18"/>
    </row>
    <row r="357" spans="1:17" x14ac:dyDescent="0.3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8"/>
      <c r="P357" s="8"/>
      <c r="Q357" s="18"/>
    </row>
    <row r="358" spans="1:17" x14ac:dyDescent="0.3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8"/>
      <c r="P358" s="8"/>
      <c r="Q358" s="18"/>
    </row>
    <row r="359" spans="1:17" x14ac:dyDescent="0.3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8"/>
      <c r="P359" s="8"/>
      <c r="Q359" s="18"/>
    </row>
    <row r="360" spans="1:17" x14ac:dyDescent="0.3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8"/>
      <c r="P360" s="8"/>
      <c r="Q360" s="18"/>
    </row>
    <row r="361" spans="1:17" x14ac:dyDescent="0.3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8"/>
      <c r="P361" s="8"/>
      <c r="Q361" s="18"/>
    </row>
    <row r="362" spans="1:17" x14ac:dyDescent="0.3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8"/>
      <c r="P362" s="8"/>
      <c r="Q362" s="18"/>
    </row>
    <row r="363" spans="1:17" x14ac:dyDescent="0.3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8"/>
      <c r="P363" s="8"/>
      <c r="Q363" s="18"/>
    </row>
    <row r="364" spans="1:17" x14ac:dyDescent="0.3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8"/>
      <c r="P364" s="8"/>
      <c r="Q364" s="18"/>
    </row>
    <row r="365" spans="1:17" x14ac:dyDescent="0.3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8"/>
      <c r="P365" s="8"/>
      <c r="Q365" s="18"/>
    </row>
    <row r="366" spans="1:17" x14ac:dyDescent="0.3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8"/>
      <c r="P366" s="8"/>
      <c r="Q366" s="18"/>
    </row>
    <row r="367" spans="1:17" x14ac:dyDescent="0.3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8"/>
      <c r="P367" s="8"/>
      <c r="Q367" s="18"/>
    </row>
    <row r="368" spans="1:17" x14ac:dyDescent="0.3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8"/>
      <c r="P368" s="8"/>
      <c r="Q368" s="18"/>
    </row>
    <row r="369" spans="1:17" x14ac:dyDescent="0.3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8"/>
      <c r="P369" s="8"/>
      <c r="Q369" s="18"/>
    </row>
    <row r="370" spans="1:17" x14ac:dyDescent="0.3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8"/>
      <c r="P370" s="8"/>
      <c r="Q370" s="18"/>
    </row>
    <row r="371" spans="1:17" x14ac:dyDescent="0.3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8"/>
      <c r="P371" s="8"/>
      <c r="Q371" s="18"/>
    </row>
    <row r="372" spans="1:17" x14ac:dyDescent="0.3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8"/>
      <c r="P372" s="8"/>
      <c r="Q372" s="18"/>
    </row>
    <row r="373" spans="1:17" x14ac:dyDescent="0.3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8"/>
      <c r="P373" s="8"/>
      <c r="Q373" s="18"/>
    </row>
    <row r="374" spans="1:17" x14ac:dyDescent="0.3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8"/>
      <c r="P374" s="8"/>
      <c r="Q374" s="18"/>
    </row>
    <row r="375" spans="1:17" x14ac:dyDescent="0.3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8"/>
      <c r="P375" s="8"/>
      <c r="Q375" s="18"/>
    </row>
    <row r="376" spans="1:17" x14ac:dyDescent="0.3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8"/>
      <c r="P376" s="8"/>
      <c r="Q376" s="18"/>
    </row>
    <row r="377" spans="1:17" x14ac:dyDescent="0.3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8"/>
      <c r="P377" s="8"/>
      <c r="Q377" s="18"/>
    </row>
    <row r="378" spans="1:17" x14ac:dyDescent="0.3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8"/>
      <c r="P378" s="8"/>
      <c r="Q378" s="18"/>
    </row>
    <row r="379" spans="1:17" x14ac:dyDescent="0.3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8"/>
      <c r="P379" s="8"/>
      <c r="Q379" s="18"/>
    </row>
    <row r="380" spans="1:17" x14ac:dyDescent="0.3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8"/>
      <c r="P380" s="8"/>
      <c r="Q380" s="18"/>
    </row>
    <row r="381" spans="1:17" x14ac:dyDescent="0.3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8"/>
      <c r="P381" s="8"/>
      <c r="Q381" s="18"/>
    </row>
    <row r="382" spans="1:17" x14ac:dyDescent="0.3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8"/>
      <c r="P382" s="8"/>
      <c r="Q382" s="18"/>
    </row>
    <row r="383" spans="1:17" x14ac:dyDescent="0.3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8"/>
      <c r="P383" s="8"/>
      <c r="Q383" s="18"/>
    </row>
    <row r="384" spans="1:17" x14ac:dyDescent="0.3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8"/>
      <c r="P384" s="8"/>
      <c r="Q384" s="18"/>
    </row>
    <row r="385" spans="1:17" x14ac:dyDescent="0.3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8"/>
      <c r="P385" s="8"/>
      <c r="Q385" s="18"/>
    </row>
    <row r="386" spans="1:17" x14ac:dyDescent="0.3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8"/>
      <c r="P386" s="8"/>
      <c r="Q386" s="18"/>
    </row>
    <row r="387" spans="1:17" x14ac:dyDescent="0.3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8"/>
      <c r="P387" s="8"/>
      <c r="Q387" s="18"/>
    </row>
    <row r="388" spans="1:17" x14ac:dyDescent="0.3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8"/>
      <c r="P388" s="8"/>
      <c r="Q388" s="18"/>
    </row>
    <row r="389" spans="1:17" x14ac:dyDescent="0.3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8"/>
      <c r="P389" s="8"/>
      <c r="Q389" s="18"/>
    </row>
    <row r="390" spans="1:17" x14ac:dyDescent="0.3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8"/>
      <c r="P390" s="8"/>
      <c r="Q390" s="18"/>
    </row>
    <row r="391" spans="1:17" x14ac:dyDescent="0.3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8"/>
      <c r="P391" s="8"/>
      <c r="Q391" s="18"/>
    </row>
    <row r="392" spans="1:17" x14ac:dyDescent="0.3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8"/>
      <c r="P392" s="8"/>
      <c r="Q392" s="18"/>
    </row>
    <row r="393" spans="1:17" x14ac:dyDescent="0.3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8"/>
      <c r="P393" s="8"/>
      <c r="Q393" s="18"/>
    </row>
    <row r="394" spans="1:17" x14ac:dyDescent="0.3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8"/>
      <c r="P394" s="8"/>
      <c r="Q394" s="18"/>
    </row>
    <row r="395" spans="1:17" x14ac:dyDescent="0.3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8"/>
      <c r="P395" s="8"/>
      <c r="Q395" s="18"/>
    </row>
    <row r="396" spans="1:17" x14ac:dyDescent="0.3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8"/>
      <c r="P396" s="8"/>
      <c r="Q396" s="18"/>
    </row>
    <row r="397" spans="1:17" x14ac:dyDescent="0.3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8"/>
      <c r="P397" s="8"/>
      <c r="Q397" s="18"/>
    </row>
    <row r="398" spans="1:17" x14ac:dyDescent="0.3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8"/>
      <c r="P398" s="8"/>
      <c r="Q398" s="18"/>
    </row>
    <row r="399" spans="1:17" x14ac:dyDescent="0.3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8"/>
      <c r="P399" s="8"/>
      <c r="Q399" s="18"/>
    </row>
    <row r="400" spans="1:17" x14ac:dyDescent="0.3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8"/>
      <c r="P400" s="8"/>
      <c r="Q400" s="18"/>
    </row>
    <row r="401" spans="1:17" x14ac:dyDescent="0.3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8"/>
      <c r="P401" s="8"/>
      <c r="Q401" s="18"/>
    </row>
    <row r="402" spans="1:17" x14ac:dyDescent="0.3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8"/>
      <c r="P402" s="8"/>
      <c r="Q402" s="18"/>
    </row>
    <row r="403" spans="1:17" x14ac:dyDescent="0.3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8"/>
      <c r="P403" s="8"/>
      <c r="Q403" s="18"/>
    </row>
    <row r="404" spans="1:17" x14ac:dyDescent="0.3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8"/>
      <c r="P404" s="8"/>
      <c r="Q404" s="18"/>
    </row>
    <row r="405" spans="1:17" x14ac:dyDescent="0.3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8"/>
      <c r="P405" s="8"/>
      <c r="Q405" s="18"/>
    </row>
    <row r="406" spans="1:17" x14ac:dyDescent="0.3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8"/>
      <c r="P406" s="8"/>
      <c r="Q406" s="18"/>
    </row>
    <row r="407" spans="1:17" x14ac:dyDescent="0.3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8"/>
      <c r="P407" s="8"/>
      <c r="Q407" s="18"/>
    </row>
    <row r="408" spans="1:17" x14ac:dyDescent="0.3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8"/>
      <c r="P408" s="8"/>
      <c r="Q408" s="18"/>
    </row>
    <row r="409" spans="1:17" x14ac:dyDescent="0.3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8"/>
      <c r="P409" s="8"/>
      <c r="Q409" s="18"/>
    </row>
    <row r="410" spans="1:17" x14ac:dyDescent="0.3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8"/>
      <c r="P410" s="8"/>
      <c r="Q410" s="18"/>
    </row>
    <row r="411" spans="1:17" x14ac:dyDescent="0.3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8"/>
      <c r="P411" s="8"/>
      <c r="Q411" s="18"/>
    </row>
    <row r="412" spans="1:17" x14ac:dyDescent="0.3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8"/>
      <c r="P412" s="8"/>
      <c r="Q412" s="18"/>
    </row>
    <row r="413" spans="1:17" x14ac:dyDescent="0.3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8"/>
      <c r="P413" s="8"/>
      <c r="Q413" s="18"/>
    </row>
    <row r="414" spans="1:17" x14ac:dyDescent="0.3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8"/>
      <c r="P414" s="8"/>
      <c r="Q414" s="18"/>
    </row>
    <row r="415" spans="1:17" x14ac:dyDescent="0.3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8"/>
      <c r="P415" s="8"/>
      <c r="Q415" s="18"/>
    </row>
    <row r="416" spans="1:17" x14ac:dyDescent="0.3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8"/>
      <c r="P416" s="8"/>
      <c r="Q416" s="18"/>
    </row>
    <row r="417" spans="1:17" x14ac:dyDescent="0.3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8"/>
      <c r="P417" s="8"/>
      <c r="Q417" s="18"/>
    </row>
    <row r="418" spans="1:17" x14ac:dyDescent="0.3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8"/>
      <c r="P418" s="8"/>
      <c r="Q418" s="18"/>
    </row>
    <row r="419" spans="1:17" x14ac:dyDescent="0.3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8"/>
      <c r="P419" s="8"/>
      <c r="Q419" s="18"/>
    </row>
    <row r="420" spans="1:17" x14ac:dyDescent="0.3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8"/>
      <c r="P420" s="8"/>
      <c r="Q420" s="18"/>
    </row>
    <row r="421" spans="1:17" x14ac:dyDescent="0.3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8"/>
      <c r="P421" s="8"/>
      <c r="Q421" s="18"/>
    </row>
    <row r="422" spans="1:17" x14ac:dyDescent="0.3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8"/>
      <c r="P422" s="8"/>
      <c r="Q422" s="18"/>
    </row>
    <row r="423" spans="1:17" x14ac:dyDescent="0.3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8"/>
      <c r="P423" s="8"/>
      <c r="Q423" s="18"/>
    </row>
    <row r="424" spans="1:17" x14ac:dyDescent="0.3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8"/>
      <c r="P424" s="8"/>
      <c r="Q424" s="18"/>
    </row>
    <row r="425" spans="1:17" x14ac:dyDescent="0.3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8"/>
      <c r="P425" s="8"/>
      <c r="Q425" s="18"/>
    </row>
    <row r="426" spans="1:17" x14ac:dyDescent="0.3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8"/>
      <c r="P426" s="8"/>
      <c r="Q426" s="18"/>
    </row>
    <row r="427" spans="1:17" x14ac:dyDescent="0.3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8"/>
      <c r="P427" s="8"/>
      <c r="Q427" s="18"/>
    </row>
    <row r="428" spans="1:17" x14ac:dyDescent="0.3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8"/>
      <c r="P428" s="8"/>
      <c r="Q428" s="18"/>
    </row>
    <row r="429" spans="1:17" x14ac:dyDescent="0.3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8"/>
      <c r="P429" s="8"/>
      <c r="Q429" s="18"/>
    </row>
    <row r="430" spans="1:17" x14ac:dyDescent="0.3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8"/>
      <c r="P430" s="8"/>
      <c r="Q430" s="18"/>
    </row>
    <row r="431" spans="1:17" x14ac:dyDescent="0.3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8"/>
      <c r="P431" s="8"/>
      <c r="Q431" s="18"/>
    </row>
    <row r="432" spans="1:17" x14ac:dyDescent="0.3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8"/>
      <c r="P432" s="8"/>
      <c r="Q432" s="18"/>
    </row>
    <row r="433" spans="1:17" x14ac:dyDescent="0.3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8"/>
      <c r="P433" s="8"/>
      <c r="Q433" s="18"/>
    </row>
    <row r="434" spans="1:17" x14ac:dyDescent="0.3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8"/>
      <c r="P434" s="8"/>
      <c r="Q434" s="18"/>
    </row>
    <row r="435" spans="1:17" x14ac:dyDescent="0.3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8"/>
      <c r="P435" s="8"/>
      <c r="Q435" s="18"/>
    </row>
    <row r="436" spans="1:17" x14ac:dyDescent="0.3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8"/>
      <c r="P436" s="8"/>
      <c r="Q436" s="18"/>
    </row>
    <row r="437" spans="1:17" x14ac:dyDescent="0.3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8"/>
      <c r="P437" s="8"/>
      <c r="Q437" s="18"/>
    </row>
    <row r="438" spans="1:17" x14ac:dyDescent="0.3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8"/>
      <c r="P438" s="8"/>
      <c r="Q438" s="18"/>
    </row>
    <row r="439" spans="1:17" x14ac:dyDescent="0.3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8"/>
      <c r="P439" s="8"/>
      <c r="Q439" s="18"/>
    </row>
    <row r="440" spans="1:17" x14ac:dyDescent="0.3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8"/>
      <c r="P440" s="8"/>
      <c r="Q440" s="18"/>
    </row>
    <row r="441" spans="1:17" x14ac:dyDescent="0.3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8"/>
      <c r="P441" s="8"/>
      <c r="Q441" s="18"/>
    </row>
    <row r="442" spans="1:17" x14ac:dyDescent="0.3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8"/>
      <c r="P442" s="8"/>
      <c r="Q442" s="18"/>
    </row>
    <row r="443" spans="1:17" x14ac:dyDescent="0.3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8"/>
      <c r="P443" s="8"/>
      <c r="Q443" s="18"/>
    </row>
    <row r="444" spans="1:17" x14ac:dyDescent="0.3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8"/>
      <c r="P444" s="8"/>
      <c r="Q444" s="18"/>
    </row>
    <row r="445" spans="1:17" x14ac:dyDescent="0.3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8"/>
      <c r="P445" s="8"/>
      <c r="Q445" s="18"/>
    </row>
    <row r="446" spans="1:17" x14ac:dyDescent="0.3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8"/>
      <c r="P446" s="8"/>
      <c r="Q446" s="18"/>
    </row>
    <row r="447" spans="1:17" x14ac:dyDescent="0.3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8"/>
      <c r="P447" s="8"/>
      <c r="Q447" s="18"/>
    </row>
    <row r="448" spans="1:17" x14ac:dyDescent="0.3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8"/>
      <c r="P448" s="8"/>
      <c r="Q448" s="18"/>
    </row>
    <row r="449" spans="1:17" x14ac:dyDescent="0.3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8"/>
      <c r="P449" s="8"/>
      <c r="Q449" s="18"/>
    </row>
    <row r="450" spans="1:17" x14ac:dyDescent="0.3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8"/>
      <c r="P450" s="8"/>
      <c r="Q450" s="18"/>
    </row>
    <row r="451" spans="1:17" x14ac:dyDescent="0.3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8"/>
      <c r="P451" s="8"/>
      <c r="Q451" s="18"/>
    </row>
    <row r="452" spans="1:17" x14ac:dyDescent="0.3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8"/>
      <c r="P452" s="8"/>
      <c r="Q452" s="18"/>
    </row>
    <row r="453" spans="1:17" x14ac:dyDescent="0.3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8"/>
      <c r="P453" s="8"/>
      <c r="Q453" s="18"/>
    </row>
    <row r="454" spans="1:17" x14ac:dyDescent="0.3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8"/>
      <c r="P454" s="8"/>
      <c r="Q454" s="18"/>
    </row>
    <row r="455" spans="1:17" x14ac:dyDescent="0.3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8"/>
      <c r="P455" s="8"/>
      <c r="Q455" s="18"/>
    </row>
    <row r="456" spans="1:17" x14ac:dyDescent="0.3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8"/>
      <c r="P456" s="8"/>
      <c r="Q456" s="18"/>
    </row>
    <row r="457" spans="1:17" x14ac:dyDescent="0.3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8"/>
      <c r="P457" s="8"/>
      <c r="Q457" s="18"/>
    </row>
    <row r="458" spans="1:17" x14ac:dyDescent="0.3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8"/>
      <c r="P458" s="8"/>
      <c r="Q458" s="18"/>
    </row>
    <row r="459" spans="1:17" x14ac:dyDescent="0.3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8"/>
      <c r="P459" s="8"/>
      <c r="Q459" s="18"/>
    </row>
    <row r="460" spans="1:17" x14ac:dyDescent="0.3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8"/>
      <c r="P460" s="8"/>
      <c r="Q460" s="18"/>
    </row>
    <row r="461" spans="1:17" x14ac:dyDescent="0.3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8"/>
      <c r="P461" s="8"/>
      <c r="Q461" s="18"/>
    </row>
    <row r="462" spans="1:17" x14ac:dyDescent="0.3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8"/>
      <c r="P462" s="8"/>
      <c r="Q462" s="18"/>
    </row>
    <row r="463" spans="1:17" x14ac:dyDescent="0.3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8"/>
      <c r="P463" s="8"/>
      <c r="Q463" s="18"/>
    </row>
    <row r="464" spans="1:17" x14ac:dyDescent="0.3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8"/>
      <c r="P464" s="8"/>
      <c r="Q464" s="18"/>
    </row>
    <row r="465" spans="1:17" x14ac:dyDescent="0.3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8"/>
      <c r="P465" s="8"/>
      <c r="Q465" s="18"/>
    </row>
    <row r="466" spans="1:17" x14ac:dyDescent="0.3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8"/>
      <c r="P466" s="8"/>
      <c r="Q466" s="18"/>
    </row>
    <row r="467" spans="1:17" x14ac:dyDescent="0.3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8"/>
      <c r="P467" s="8"/>
      <c r="Q467" s="18"/>
    </row>
    <row r="468" spans="1:17" x14ac:dyDescent="0.3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8"/>
      <c r="P468" s="8"/>
      <c r="Q468" s="18"/>
    </row>
    <row r="469" spans="1:17" x14ac:dyDescent="0.3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8"/>
      <c r="P469" s="8"/>
      <c r="Q469" s="18"/>
    </row>
    <row r="470" spans="1:17" x14ac:dyDescent="0.3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8"/>
      <c r="P470" s="8"/>
      <c r="Q470" s="18"/>
    </row>
    <row r="471" spans="1:17" x14ac:dyDescent="0.3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8"/>
      <c r="P471" s="8"/>
      <c r="Q471" s="18"/>
    </row>
    <row r="472" spans="1:17" x14ac:dyDescent="0.3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8"/>
      <c r="P472" s="8"/>
      <c r="Q472" s="18"/>
    </row>
    <row r="473" spans="1:17" x14ac:dyDescent="0.3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8"/>
      <c r="P473" s="8"/>
      <c r="Q473" s="18"/>
    </row>
    <row r="474" spans="1:17" x14ac:dyDescent="0.3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8"/>
      <c r="P474" s="8"/>
      <c r="Q474" s="18"/>
    </row>
    <row r="475" spans="1:17" x14ac:dyDescent="0.3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8"/>
      <c r="P475" s="8"/>
      <c r="Q475" s="18"/>
    </row>
    <row r="476" spans="1:17" x14ac:dyDescent="0.3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8"/>
      <c r="P476" s="8"/>
      <c r="Q476" s="18"/>
    </row>
    <row r="477" spans="1:17" x14ac:dyDescent="0.3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8"/>
      <c r="P477" s="8"/>
      <c r="Q477" s="18"/>
    </row>
    <row r="478" spans="1:17" x14ac:dyDescent="0.3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8"/>
      <c r="P478" s="8"/>
      <c r="Q478" s="18"/>
    </row>
    <row r="479" spans="1:17" x14ac:dyDescent="0.3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8"/>
      <c r="P479" s="8"/>
      <c r="Q479" s="18"/>
    </row>
    <row r="480" spans="1:17" x14ac:dyDescent="0.3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8"/>
      <c r="P480" s="8"/>
      <c r="Q480" s="18"/>
    </row>
    <row r="481" spans="1:17" x14ac:dyDescent="0.3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8"/>
      <c r="P481" s="8"/>
      <c r="Q481" s="18"/>
    </row>
    <row r="482" spans="1:17" x14ac:dyDescent="0.3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8"/>
      <c r="P482" s="8"/>
      <c r="Q482" s="18"/>
    </row>
    <row r="483" spans="1:17" x14ac:dyDescent="0.3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8"/>
      <c r="P483" s="8"/>
      <c r="Q483" s="18"/>
    </row>
    <row r="484" spans="1:17" x14ac:dyDescent="0.3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8"/>
      <c r="P484" s="8"/>
      <c r="Q484" s="18"/>
    </row>
    <row r="485" spans="1:17" x14ac:dyDescent="0.3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8"/>
      <c r="P485" s="8"/>
      <c r="Q485" s="18"/>
    </row>
    <row r="486" spans="1:17" x14ac:dyDescent="0.3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8"/>
      <c r="P486" s="8"/>
      <c r="Q486" s="18"/>
    </row>
    <row r="487" spans="1:17" x14ac:dyDescent="0.3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8"/>
      <c r="P487" s="8"/>
      <c r="Q487" s="18"/>
    </row>
    <row r="488" spans="1:17" x14ac:dyDescent="0.3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8"/>
      <c r="P488" s="8"/>
      <c r="Q488" s="18"/>
    </row>
    <row r="489" spans="1:17" x14ac:dyDescent="0.3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8"/>
      <c r="P489" s="8"/>
      <c r="Q489" s="18"/>
    </row>
    <row r="490" spans="1:17" x14ac:dyDescent="0.3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8"/>
      <c r="P490" s="8"/>
      <c r="Q490" s="18"/>
    </row>
    <row r="491" spans="1:17" x14ac:dyDescent="0.3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8"/>
      <c r="P491" s="8"/>
      <c r="Q491" s="18"/>
    </row>
    <row r="492" spans="1:17" x14ac:dyDescent="0.3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8"/>
      <c r="P492" s="8"/>
      <c r="Q492" s="18"/>
    </row>
    <row r="493" spans="1:17" x14ac:dyDescent="0.3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8"/>
      <c r="P493" s="8"/>
      <c r="Q493" s="18"/>
    </row>
    <row r="494" spans="1:17" x14ac:dyDescent="0.3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8"/>
      <c r="P494" s="8"/>
      <c r="Q494" s="18"/>
    </row>
    <row r="495" spans="1:17" x14ac:dyDescent="0.3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8"/>
      <c r="P495" s="8"/>
      <c r="Q495" s="18"/>
    </row>
    <row r="496" spans="1:17" x14ac:dyDescent="0.3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8"/>
      <c r="P496" s="8"/>
      <c r="Q496" s="18"/>
    </row>
    <row r="497" spans="1:17" x14ac:dyDescent="0.3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8"/>
      <c r="P497" s="8"/>
      <c r="Q497" s="18"/>
    </row>
    <row r="498" spans="1:17" x14ac:dyDescent="0.3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8"/>
      <c r="P498" s="8"/>
      <c r="Q498" s="18"/>
    </row>
    <row r="499" spans="1:17" x14ac:dyDescent="0.3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8"/>
      <c r="P499" s="8"/>
      <c r="Q499" s="18"/>
    </row>
    <row r="500" spans="1:17" x14ac:dyDescent="0.3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8"/>
      <c r="P500" s="8"/>
      <c r="Q500" s="18"/>
    </row>
    <row r="501" spans="1:17" x14ac:dyDescent="0.3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8"/>
      <c r="P501" s="8"/>
      <c r="Q501" s="18"/>
    </row>
    <row r="502" spans="1:17" x14ac:dyDescent="0.3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8"/>
      <c r="P502" s="8"/>
      <c r="Q502" s="18"/>
    </row>
    <row r="503" spans="1:17" x14ac:dyDescent="0.3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8"/>
      <c r="P503" s="8"/>
      <c r="Q503" s="18"/>
    </row>
    <row r="504" spans="1:17" x14ac:dyDescent="0.3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8"/>
      <c r="P504" s="8"/>
      <c r="Q504" s="18"/>
    </row>
    <row r="505" spans="1:17" x14ac:dyDescent="0.3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8"/>
      <c r="P505" s="8"/>
      <c r="Q505" s="18"/>
    </row>
    <row r="506" spans="1:17" x14ac:dyDescent="0.3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8"/>
      <c r="P506" s="8"/>
      <c r="Q506" s="18"/>
    </row>
    <row r="507" spans="1:17" x14ac:dyDescent="0.3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8"/>
      <c r="P507" s="8"/>
      <c r="Q507" s="18"/>
    </row>
    <row r="508" spans="1:17" x14ac:dyDescent="0.3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8"/>
      <c r="P508" s="8"/>
      <c r="Q508" s="18"/>
    </row>
    <row r="509" spans="1:17" x14ac:dyDescent="0.3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8"/>
      <c r="P509" s="8"/>
      <c r="Q509" s="18"/>
    </row>
    <row r="510" spans="1:17" x14ac:dyDescent="0.3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8"/>
      <c r="P510" s="8"/>
      <c r="Q510" s="18"/>
    </row>
    <row r="511" spans="1:17" x14ac:dyDescent="0.3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8"/>
      <c r="P511" s="8"/>
      <c r="Q511" s="18"/>
    </row>
    <row r="512" spans="1:17" x14ac:dyDescent="0.3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8"/>
      <c r="P512" s="8"/>
      <c r="Q512" s="18"/>
    </row>
    <row r="513" spans="1:17" x14ac:dyDescent="0.3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8"/>
      <c r="P513" s="8"/>
      <c r="Q513" s="18"/>
    </row>
    <row r="514" spans="1:17" x14ac:dyDescent="0.3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8"/>
      <c r="P514" s="8"/>
      <c r="Q514" s="18"/>
    </row>
    <row r="515" spans="1:17" x14ac:dyDescent="0.3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8"/>
      <c r="P515" s="8"/>
      <c r="Q515" s="18"/>
    </row>
    <row r="516" spans="1:17" x14ac:dyDescent="0.3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8"/>
      <c r="P516" s="8"/>
      <c r="Q516" s="18"/>
    </row>
    <row r="517" spans="1:17" x14ac:dyDescent="0.3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8"/>
      <c r="P517" s="8"/>
      <c r="Q517" s="18"/>
    </row>
    <row r="518" spans="1:17" x14ac:dyDescent="0.3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8"/>
      <c r="P518" s="8"/>
      <c r="Q518" s="18"/>
    </row>
    <row r="519" spans="1:17" x14ac:dyDescent="0.3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8"/>
      <c r="P519" s="8"/>
      <c r="Q519" s="18"/>
    </row>
    <row r="520" spans="1:17" x14ac:dyDescent="0.3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8"/>
      <c r="P520" s="8"/>
      <c r="Q520" s="18"/>
    </row>
    <row r="521" spans="1:17" x14ac:dyDescent="0.3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8"/>
      <c r="P521" s="8"/>
      <c r="Q521" s="18"/>
    </row>
    <row r="522" spans="1:17" x14ac:dyDescent="0.3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8"/>
      <c r="P522" s="8"/>
      <c r="Q522" s="18"/>
    </row>
    <row r="523" spans="1:17" x14ac:dyDescent="0.3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8"/>
      <c r="P523" s="8"/>
      <c r="Q523" s="18"/>
    </row>
    <row r="524" spans="1:17" x14ac:dyDescent="0.3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8"/>
      <c r="P524" s="8"/>
      <c r="Q524" s="18"/>
    </row>
    <row r="525" spans="1:17" x14ac:dyDescent="0.3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8"/>
      <c r="P525" s="8"/>
      <c r="Q525" s="18"/>
    </row>
    <row r="526" spans="1:17" x14ac:dyDescent="0.3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8"/>
      <c r="P526" s="8"/>
      <c r="Q526" s="18"/>
    </row>
    <row r="527" spans="1:17" x14ac:dyDescent="0.3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8"/>
      <c r="P527" s="8"/>
      <c r="Q527" s="18"/>
    </row>
    <row r="528" spans="1:17" x14ac:dyDescent="0.3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8"/>
      <c r="P528" s="8"/>
      <c r="Q528" s="18"/>
    </row>
    <row r="529" spans="1:17" x14ac:dyDescent="0.3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8"/>
      <c r="P529" s="8"/>
      <c r="Q529" s="18"/>
    </row>
    <row r="530" spans="1:17" x14ac:dyDescent="0.3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8"/>
      <c r="P530" s="8"/>
      <c r="Q530" s="18"/>
    </row>
    <row r="531" spans="1:17" x14ac:dyDescent="0.3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8"/>
      <c r="P531" s="8"/>
      <c r="Q531" s="18"/>
    </row>
    <row r="532" spans="1:17" x14ac:dyDescent="0.3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8"/>
      <c r="P532" s="8"/>
      <c r="Q532" s="18"/>
    </row>
    <row r="533" spans="1:17" x14ac:dyDescent="0.3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8"/>
      <c r="P533" s="8"/>
      <c r="Q533" s="18"/>
    </row>
    <row r="534" spans="1:17" x14ac:dyDescent="0.3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8"/>
      <c r="P534" s="8"/>
      <c r="Q534" s="18"/>
    </row>
    <row r="535" spans="1:17" x14ac:dyDescent="0.3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8"/>
      <c r="P535" s="8"/>
      <c r="Q535" s="18"/>
    </row>
    <row r="536" spans="1:17" x14ac:dyDescent="0.3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8"/>
      <c r="P536" s="8"/>
      <c r="Q536" s="18"/>
    </row>
    <row r="537" spans="1:17" x14ac:dyDescent="0.3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8"/>
      <c r="P537" s="8"/>
      <c r="Q537" s="18"/>
    </row>
    <row r="538" spans="1:17" x14ac:dyDescent="0.3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8"/>
      <c r="P538" s="8"/>
      <c r="Q538" s="18"/>
    </row>
    <row r="539" spans="1:17" x14ac:dyDescent="0.3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8"/>
      <c r="P539" s="8"/>
      <c r="Q539" s="18"/>
    </row>
    <row r="540" spans="1:17" x14ac:dyDescent="0.3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8"/>
      <c r="P540" s="8"/>
      <c r="Q540" s="18"/>
    </row>
    <row r="541" spans="1:17" x14ac:dyDescent="0.3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8"/>
      <c r="P541" s="8"/>
      <c r="Q541" s="18"/>
    </row>
    <row r="542" spans="1:17" x14ac:dyDescent="0.3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8"/>
      <c r="P542" s="8"/>
      <c r="Q542" s="18"/>
    </row>
    <row r="543" spans="1:17" x14ac:dyDescent="0.3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8"/>
      <c r="P543" s="8"/>
      <c r="Q543" s="18"/>
    </row>
    <row r="544" spans="1:17" x14ac:dyDescent="0.3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8"/>
      <c r="P544" s="8"/>
      <c r="Q544" s="18"/>
    </row>
    <row r="545" spans="1:17" x14ac:dyDescent="0.3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8"/>
      <c r="P545" s="8"/>
      <c r="Q545" s="18"/>
    </row>
    <row r="546" spans="1:17" x14ac:dyDescent="0.3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8"/>
      <c r="P546" s="8"/>
      <c r="Q546" s="18"/>
    </row>
    <row r="547" spans="1:17" x14ac:dyDescent="0.3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8"/>
      <c r="P547" s="8"/>
      <c r="Q547" s="18"/>
    </row>
    <row r="548" spans="1:17" x14ac:dyDescent="0.3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8"/>
      <c r="P548" s="8"/>
      <c r="Q548" s="18"/>
    </row>
    <row r="549" spans="1:17" x14ac:dyDescent="0.3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8"/>
      <c r="P549" s="8"/>
      <c r="Q549" s="18"/>
    </row>
    <row r="550" spans="1:17" x14ac:dyDescent="0.3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8"/>
      <c r="P550" s="8"/>
      <c r="Q550" s="18"/>
    </row>
    <row r="551" spans="1:17" x14ac:dyDescent="0.3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8"/>
      <c r="P551" s="8"/>
      <c r="Q551" s="18"/>
    </row>
    <row r="552" spans="1:17" x14ac:dyDescent="0.3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8"/>
      <c r="P552" s="8"/>
      <c r="Q552" s="18"/>
    </row>
    <row r="553" spans="1:17" x14ac:dyDescent="0.3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8"/>
      <c r="P553" s="8"/>
      <c r="Q553" s="18"/>
    </row>
    <row r="554" spans="1:17" x14ac:dyDescent="0.3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8"/>
      <c r="P554" s="8"/>
      <c r="Q554" s="18"/>
    </row>
    <row r="555" spans="1:17" x14ac:dyDescent="0.3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8"/>
      <c r="P555" s="8"/>
      <c r="Q555" s="18"/>
    </row>
    <row r="556" spans="1:17" x14ac:dyDescent="0.3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8"/>
      <c r="P556" s="8"/>
      <c r="Q556" s="18"/>
    </row>
    <row r="557" spans="1:17" x14ac:dyDescent="0.3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8"/>
      <c r="P557" s="8"/>
      <c r="Q557" s="18"/>
    </row>
    <row r="558" spans="1:17" x14ac:dyDescent="0.3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8"/>
      <c r="P558" s="8"/>
      <c r="Q558" s="18"/>
    </row>
    <row r="559" spans="1:17" x14ac:dyDescent="0.3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8"/>
      <c r="P559" s="8"/>
      <c r="Q559" s="18"/>
    </row>
    <row r="560" spans="1:17" x14ac:dyDescent="0.3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8"/>
      <c r="P560" s="8"/>
      <c r="Q560" s="18"/>
    </row>
    <row r="561" spans="1:17" x14ac:dyDescent="0.3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8"/>
      <c r="P561" s="8"/>
      <c r="Q561" s="18"/>
    </row>
    <row r="562" spans="1:17" x14ac:dyDescent="0.3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8"/>
      <c r="P562" s="8"/>
      <c r="Q562" s="18"/>
    </row>
    <row r="563" spans="1:17" x14ac:dyDescent="0.3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8"/>
      <c r="P563" s="8"/>
      <c r="Q563" s="18"/>
    </row>
    <row r="564" spans="1:17" x14ac:dyDescent="0.3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8"/>
      <c r="P564" s="8"/>
      <c r="Q564" s="18"/>
    </row>
    <row r="565" spans="1:17" x14ac:dyDescent="0.3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8"/>
      <c r="P565" s="8"/>
      <c r="Q565" s="18"/>
    </row>
    <row r="566" spans="1:17" x14ac:dyDescent="0.3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8"/>
      <c r="P566" s="8"/>
      <c r="Q566" s="18"/>
    </row>
    <row r="567" spans="1:17" x14ac:dyDescent="0.3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8"/>
      <c r="P567" s="8"/>
      <c r="Q567" s="18"/>
    </row>
    <row r="568" spans="1:17" x14ac:dyDescent="0.3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8"/>
      <c r="P568" s="8"/>
      <c r="Q568" s="18"/>
    </row>
    <row r="569" spans="1:17" x14ac:dyDescent="0.3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8"/>
      <c r="P569" s="8"/>
      <c r="Q569" s="18"/>
    </row>
    <row r="570" spans="1:17" x14ac:dyDescent="0.3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8"/>
      <c r="P570" s="8"/>
      <c r="Q570" s="18"/>
    </row>
    <row r="571" spans="1:17" x14ac:dyDescent="0.3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8"/>
      <c r="P571" s="8"/>
      <c r="Q571" s="18"/>
    </row>
    <row r="572" spans="1:17" x14ac:dyDescent="0.3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8"/>
      <c r="P572" s="8"/>
      <c r="Q572" s="18"/>
    </row>
    <row r="573" spans="1:17" x14ac:dyDescent="0.3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8"/>
      <c r="P573" s="8"/>
      <c r="Q573" s="18"/>
    </row>
    <row r="574" spans="1:17" x14ac:dyDescent="0.3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8"/>
      <c r="P574" s="8"/>
      <c r="Q574" s="18"/>
    </row>
    <row r="575" spans="1:17" x14ac:dyDescent="0.3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8"/>
      <c r="P575" s="8"/>
      <c r="Q575" s="18"/>
    </row>
    <row r="576" spans="1:17" x14ac:dyDescent="0.3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8"/>
      <c r="P576" s="8"/>
      <c r="Q576" s="18"/>
    </row>
    <row r="577" spans="1:17" x14ac:dyDescent="0.3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8"/>
      <c r="P577" s="8"/>
      <c r="Q577" s="18"/>
    </row>
    <row r="578" spans="1:17" x14ac:dyDescent="0.3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8"/>
      <c r="P578" s="8"/>
      <c r="Q578" s="18"/>
    </row>
    <row r="579" spans="1:17" x14ac:dyDescent="0.3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8"/>
      <c r="P579" s="8"/>
      <c r="Q579" s="18"/>
    </row>
    <row r="580" spans="1:17" x14ac:dyDescent="0.3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8"/>
      <c r="P580" s="8"/>
      <c r="Q580" s="18"/>
    </row>
    <row r="581" spans="1:17" x14ac:dyDescent="0.3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8"/>
      <c r="P581" s="8"/>
      <c r="Q581" s="18"/>
    </row>
    <row r="582" spans="1:17" x14ac:dyDescent="0.3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8"/>
      <c r="P582" s="8"/>
      <c r="Q582" s="18"/>
    </row>
    <row r="583" spans="1:17" x14ac:dyDescent="0.3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8"/>
      <c r="P583" s="8"/>
      <c r="Q583" s="18"/>
    </row>
    <row r="584" spans="1:17" x14ac:dyDescent="0.3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8"/>
      <c r="P584" s="8"/>
      <c r="Q584" s="18"/>
    </row>
    <row r="585" spans="1:17" x14ac:dyDescent="0.3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8"/>
      <c r="P585" s="8"/>
      <c r="Q585" s="18"/>
    </row>
    <row r="586" spans="1:17" x14ac:dyDescent="0.3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8"/>
      <c r="P586" s="8"/>
      <c r="Q586" s="18"/>
    </row>
    <row r="587" spans="1:17" x14ac:dyDescent="0.3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8"/>
      <c r="P587" s="8"/>
      <c r="Q587" s="18"/>
    </row>
    <row r="588" spans="1:17" x14ac:dyDescent="0.3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8"/>
      <c r="P588" s="8"/>
      <c r="Q588" s="18"/>
    </row>
    <row r="589" spans="1:17" x14ac:dyDescent="0.3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8"/>
      <c r="P589" s="8"/>
      <c r="Q589" s="18"/>
    </row>
    <row r="590" spans="1:17" x14ac:dyDescent="0.3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8"/>
      <c r="P590" s="8"/>
      <c r="Q590" s="18"/>
    </row>
    <row r="591" spans="1:17" x14ac:dyDescent="0.3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8"/>
      <c r="P591" s="8"/>
      <c r="Q591" s="18"/>
    </row>
    <row r="592" spans="1:17" x14ac:dyDescent="0.3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8"/>
      <c r="P592" s="8"/>
      <c r="Q592" s="18"/>
    </row>
    <row r="593" spans="1:17" x14ac:dyDescent="0.3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8"/>
      <c r="P593" s="8"/>
      <c r="Q593" s="18"/>
    </row>
    <row r="594" spans="1:17" x14ac:dyDescent="0.3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8"/>
      <c r="P594" s="8"/>
      <c r="Q594" s="18"/>
    </row>
    <row r="595" spans="1:17" x14ac:dyDescent="0.3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8"/>
      <c r="P595" s="8"/>
      <c r="Q595" s="18"/>
    </row>
    <row r="596" spans="1:17" x14ac:dyDescent="0.3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8"/>
      <c r="P596" s="8"/>
      <c r="Q596" s="18"/>
    </row>
    <row r="597" spans="1:17" x14ac:dyDescent="0.3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8"/>
      <c r="P597" s="8"/>
      <c r="Q597" s="18"/>
    </row>
    <row r="598" spans="1:17" x14ac:dyDescent="0.3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8"/>
      <c r="P598" s="8"/>
      <c r="Q598" s="18"/>
    </row>
    <row r="599" spans="1:17" x14ac:dyDescent="0.3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8"/>
      <c r="P599" s="8"/>
      <c r="Q599" s="18"/>
    </row>
    <row r="600" spans="1:17" x14ac:dyDescent="0.3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8"/>
      <c r="P600" s="8"/>
      <c r="Q600" s="18"/>
    </row>
    <row r="601" spans="1:17" x14ac:dyDescent="0.3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8"/>
      <c r="P601" s="8"/>
      <c r="Q601" s="18"/>
    </row>
    <row r="602" spans="1:17" x14ac:dyDescent="0.3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8"/>
      <c r="P602" s="8"/>
      <c r="Q602" s="18"/>
    </row>
    <row r="603" spans="1:17" x14ac:dyDescent="0.3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8"/>
      <c r="P603" s="8"/>
      <c r="Q603" s="18"/>
    </row>
    <row r="604" spans="1:17" x14ac:dyDescent="0.3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8"/>
      <c r="P604" s="8"/>
      <c r="Q604" s="18"/>
    </row>
    <row r="605" spans="1:17" x14ac:dyDescent="0.3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8"/>
      <c r="P605" s="8"/>
      <c r="Q605" s="18"/>
    </row>
    <row r="606" spans="1:17" x14ac:dyDescent="0.3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8"/>
      <c r="P606" s="8"/>
      <c r="Q606" s="18"/>
    </row>
    <row r="607" spans="1:17" x14ac:dyDescent="0.3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8"/>
      <c r="P607" s="8"/>
      <c r="Q607" s="18"/>
    </row>
    <row r="608" spans="1:17" x14ac:dyDescent="0.3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8"/>
      <c r="P608" s="8"/>
      <c r="Q608" s="18"/>
    </row>
    <row r="609" spans="1:17" x14ac:dyDescent="0.3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8"/>
      <c r="P609" s="8"/>
      <c r="Q609" s="18"/>
    </row>
    <row r="610" spans="1:17" x14ac:dyDescent="0.3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8"/>
      <c r="P610" s="8"/>
      <c r="Q610" s="18"/>
    </row>
    <row r="611" spans="1:17" x14ac:dyDescent="0.3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8"/>
      <c r="P611" s="8"/>
      <c r="Q611" s="18"/>
    </row>
    <row r="612" spans="1:17" x14ac:dyDescent="0.3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8"/>
      <c r="P612" s="8"/>
      <c r="Q612" s="18"/>
    </row>
    <row r="613" spans="1:17" x14ac:dyDescent="0.3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8"/>
      <c r="P613" s="8"/>
      <c r="Q613" s="18"/>
    </row>
    <row r="614" spans="1:17" x14ac:dyDescent="0.3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8"/>
      <c r="P614" s="8"/>
      <c r="Q614" s="18"/>
    </row>
    <row r="615" spans="1:17" x14ac:dyDescent="0.3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8"/>
      <c r="P615" s="8"/>
      <c r="Q615" s="18"/>
    </row>
    <row r="616" spans="1:17" x14ac:dyDescent="0.3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8"/>
      <c r="P616" s="8"/>
      <c r="Q616" s="18"/>
    </row>
    <row r="617" spans="1:17" x14ac:dyDescent="0.3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8"/>
      <c r="P617" s="8"/>
      <c r="Q617" s="18"/>
    </row>
    <row r="618" spans="1:17" x14ac:dyDescent="0.3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8"/>
      <c r="P618" s="8"/>
      <c r="Q618" s="18"/>
    </row>
    <row r="619" spans="1:17" x14ac:dyDescent="0.3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8"/>
      <c r="P619" s="8"/>
      <c r="Q619" s="18"/>
    </row>
    <row r="620" spans="1:17" x14ac:dyDescent="0.3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8"/>
      <c r="P620" s="8"/>
      <c r="Q620" s="18"/>
    </row>
    <row r="621" spans="1:17" x14ac:dyDescent="0.3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8"/>
      <c r="P621" s="8"/>
      <c r="Q621" s="18"/>
    </row>
    <row r="622" spans="1:17" x14ac:dyDescent="0.3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8"/>
      <c r="P622" s="8"/>
      <c r="Q622" s="18"/>
    </row>
    <row r="623" spans="1:17" x14ac:dyDescent="0.3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8"/>
      <c r="P623" s="8"/>
      <c r="Q623" s="18"/>
    </row>
    <row r="624" spans="1:17" x14ac:dyDescent="0.3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8"/>
      <c r="P624" s="8"/>
      <c r="Q624" s="18"/>
    </row>
    <row r="625" spans="1:17" x14ac:dyDescent="0.3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8"/>
      <c r="P625" s="8"/>
      <c r="Q625" s="18"/>
    </row>
    <row r="626" spans="1:17" x14ac:dyDescent="0.3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8"/>
      <c r="P626" s="8"/>
      <c r="Q626" s="18"/>
    </row>
    <row r="627" spans="1:17" x14ac:dyDescent="0.3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8"/>
      <c r="P627" s="8"/>
      <c r="Q627" s="18"/>
    </row>
    <row r="628" spans="1:17" x14ac:dyDescent="0.3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8"/>
      <c r="P628" s="8"/>
      <c r="Q628" s="18"/>
    </row>
    <row r="629" spans="1:17" x14ac:dyDescent="0.3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8"/>
      <c r="P629" s="8"/>
      <c r="Q629" s="18"/>
    </row>
    <row r="630" spans="1:17" x14ac:dyDescent="0.3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8"/>
      <c r="P630" s="8"/>
      <c r="Q630" s="18"/>
    </row>
    <row r="631" spans="1:17" x14ac:dyDescent="0.3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8"/>
      <c r="P631" s="8"/>
      <c r="Q631" s="18"/>
    </row>
    <row r="632" spans="1:17" x14ac:dyDescent="0.3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8"/>
      <c r="P632" s="8"/>
      <c r="Q632" s="18"/>
    </row>
    <row r="633" spans="1:17" x14ac:dyDescent="0.3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8"/>
      <c r="P633" s="8"/>
      <c r="Q633" s="18"/>
    </row>
    <row r="634" spans="1:17" x14ac:dyDescent="0.3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8"/>
      <c r="P634" s="8"/>
      <c r="Q634" s="18"/>
    </row>
    <row r="635" spans="1:17" x14ac:dyDescent="0.3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8"/>
      <c r="P635" s="8"/>
      <c r="Q635" s="18"/>
    </row>
    <row r="636" spans="1:17" x14ac:dyDescent="0.3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8"/>
      <c r="P636" s="8"/>
      <c r="Q636" s="18"/>
    </row>
    <row r="637" spans="1:17" x14ac:dyDescent="0.3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8"/>
      <c r="P637" s="8"/>
      <c r="Q637" s="18"/>
    </row>
    <row r="638" spans="1:17" x14ac:dyDescent="0.3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8"/>
      <c r="P638" s="8"/>
      <c r="Q638" s="18"/>
    </row>
    <row r="639" spans="1:17" x14ac:dyDescent="0.3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8"/>
      <c r="P639" s="8"/>
      <c r="Q639" s="18"/>
    </row>
    <row r="640" spans="1:17" x14ac:dyDescent="0.3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8"/>
      <c r="P640" s="8"/>
      <c r="Q640" s="18"/>
    </row>
    <row r="641" spans="1:17" x14ac:dyDescent="0.3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8"/>
      <c r="P641" s="8"/>
      <c r="Q641" s="18"/>
    </row>
    <row r="642" spans="1:17" x14ac:dyDescent="0.3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8"/>
      <c r="P642" s="8"/>
      <c r="Q642" s="18"/>
    </row>
    <row r="643" spans="1:17" x14ac:dyDescent="0.3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8"/>
      <c r="P643" s="8"/>
      <c r="Q643" s="18"/>
    </row>
    <row r="644" spans="1:17" x14ac:dyDescent="0.3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8"/>
      <c r="P644" s="8"/>
      <c r="Q644" s="18"/>
    </row>
    <row r="645" spans="1:17" x14ac:dyDescent="0.3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8"/>
      <c r="P645" s="8"/>
      <c r="Q645" s="18"/>
    </row>
    <row r="646" spans="1:17" x14ac:dyDescent="0.3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8"/>
      <c r="P646" s="8"/>
      <c r="Q646" s="18"/>
    </row>
    <row r="647" spans="1:17" x14ac:dyDescent="0.3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8"/>
      <c r="P647" s="8"/>
      <c r="Q647" s="18"/>
    </row>
    <row r="648" spans="1:17" x14ac:dyDescent="0.3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8"/>
      <c r="P648" s="8"/>
      <c r="Q648" s="18"/>
    </row>
    <row r="649" spans="1:17" x14ac:dyDescent="0.3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8"/>
      <c r="P649" s="8"/>
      <c r="Q649" s="18"/>
    </row>
    <row r="650" spans="1:17" x14ac:dyDescent="0.3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8"/>
      <c r="P650" s="8"/>
      <c r="Q650" s="18"/>
    </row>
    <row r="651" spans="1:17" x14ac:dyDescent="0.3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8"/>
      <c r="P651" s="8"/>
      <c r="Q651" s="18"/>
    </row>
    <row r="652" spans="1:17" x14ac:dyDescent="0.3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8"/>
      <c r="P652" s="8"/>
      <c r="Q652" s="18"/>
    </row>
    <row r="653" spans="1:17" x14ac:dyDescent="0.3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8"/>
      <c r="P653" s="8"/>
      <c r="Q653" s="18"/>
    </row>
    <row r="654" spans="1:17" x14ac:dyDescent="0.3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8"/>
      <c r="P654" s="8"/>
      <c r="Q654" s="18"/>
    </row>
    <row r="655" spans="1:17" x14ac:dyDescent="0.3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8"/>
      <c r="P655" s="8"/>
      <c r="Q655" s="18"/>
    </row>
    <row r="656" spans="1:17" x14ac:dyDescent="0.3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8"/>
      <c r="P656" s="8"/>
      <c r="Q656" s="18"/>
    </row>
    <row r="657" spans="1:17" x14ac:dyDescent="0.3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8"/>
      <c r="P657" s="8"/>
      <c r="Q657" s="18"/>
    </row>
    <row r="658" spans="1:17" x14ac:dyDescent="0.3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8"/>
      <c r="P658" s="8"/>
      <c r="Q658" s="18"/>
    </row>
    <row r="659" spans="1:17" x14ac:dyDescent="0.3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8"/>
      <c r="P659" s="8"/>
      <c r="Q659" s="18"/>
    </row>
    <row r="660" spans="1:17" x14ac:dyDescent="0.3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8"/>
      <c r="P660" s="8"/>
      <c r="Q660" s="18"/>
    </row>
    <row r="661" spans="1:17" x14ac:dyDescent="0.3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8"/>
      <c r="P661" s="8"/>
      <c r="Q661" s="18"/>
    </row>
    <row r="662" spans="1:17" x14ac:dyDescent="0.3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8"/>
      <c r="P662" s="8"/>
      <c r="Q662" s="18"/>
    </row>
    <row r="663" spans="1:17" x14ac:dyDescent="0.3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8"/>
      <c r="P663" s="8"/>
      <c r="Q663" s="18"/>
    </row>
    <row r="664" spans="1:17" x14ac:dyDescent="0.3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8"/>
      <c r="P664" s="8"/>
      <c r="Q664" s="18"/>
    </row>
    <row r="665" spans="1:17" x14ac:dyDescent="0.3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8"/>
      <c r="P665" s="8"/>
      <c r="Q665" s="18"/>
    </row>
    <row r="666" spans="1:17" x14ac:dyDescent="0.3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8"/>
      <c r="P666" s="8"/>
      <c r="Q666" s="18"/>
    </row>
    <row r="667" spans="1:17" x14ac:dyDescent="0.3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8"/>
      <c r="P667" s="8"/>
      <c r="Q667" s="18"/>
    </row>
    <row r="668" spans="1:17" x14ac:dyDescent="0.3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8"/>
      <c r="P668" s="8"/>
      <c r="Q668" s="18"/>
    </row>
    <row r="669" spans="1:17" x14ac:dyDescent="0.3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8"/>
      <c r="P669" s="8"/>
      <c r="Q669" s="18"/>
    </row>
    <row r="670" spans="1:17" x14ac:dyDescent="0.3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8"/>
      <c r="P670" s="8"/>
      <c r="Q670" s="18"/>
    </row>
    <row r="671" spans="1:17" x14ac:dyDescent="0.3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8"/>
      <c r="P671" s="8"/>
      <c r="Q671" s="18"/>
    </row>
    <row r="672" spans="1:17" x14ac:dyDescent="0.3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8"/>
      <c r="P672" s="8"/>
      <c r="Q672" s="18"/>
    </row>
    <row r="673" spans="1:17" x14ac:dyDescent="0.3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8"/>
      <c r="P673" s="8"/>
      <c r="Q673" s="18"/>
    </row>
    <row r="674" spans="1:17" x14ac:dyDescent="0.3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8"/>
      <c r="P674" s="8"/>
      <c r="Q674" s="18"/>
    </row>
    <row r="675" spans="1:17" x14ac:dyDescent="0.3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8"/>
      <c r="P675" s="8"/>
      <c r="Q675" s="18"/>
    </row>
    <row r="676" spans="1:17" x14ac:dyDescent="0.3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8"/>
      <c r="P676" s="8"/>
      <c r="Q676" s="18"/>
    </row>
    <row r="677" spans="1:17" x14ac:dyDescent="0.3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8"/>
      <c r="P677" s="8"/>
      <c r="Q677" s="18"/>
    </row>
    <row r="678" spans="1:17" x14ac:dyDescent="0.3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8"/>
      <c r="P678" s="8"/>
      <c r="Q678" s="18"/>
    </row>
    <row r="679" spans="1:17" x14ac:dyDescent="0.3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8"/>
      <c r="P679" s="8"/>
      <c r="Q679" s="18"/>
    </row>
    <row r="680" spans="1:17" x14ac:dyDescent="0.3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8"/>
      <c r="P680" s="8"/>
      <c r="Q680" s="18"/>
    </row>
    <row r="681" spans="1:17" x14ac:dyDescent="0.3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8"/>
      <c r="P681" s="8"/>
      <c r="Q681" s="18"/>
    </row>
    <row r="682" spans="1:17" x14ac:dyDescent="0.3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8"/>
      <c r="P682" s="8"/>
      <c r="Q682" s="18"/>
    </row>
    <row r="683" spans="1:17" x14ac:dyDescent="0.3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8"/>
      <c r="P683" s="8"/>
      <c r="Q683" s="18"/>
    </row>
    <row r="684" spans="1:17" x14ac:dyDescent="0.3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8"/>
      <c r="P684" s="8"/>
      <c r="Q684" s="18"/>
    </row>
    <row r="685" spans="1:17" x14ac:dyDescent="0.3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8"/>
      <c r="P685" s="8"/>
      <c r="Q685" s="18"/>
    </row>
    <row r="686" spans="1:17" x14ac:dyDescent="0.3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8"/>
      <c r="P686" s="8"/>
      <c r="Q686" s="18"/>
    </row>
    <row r="687" spans="1:17" x14ac:dyDescent="0.3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8"/>
      <c r="P687" s="8"/>
      <c r="Q687" s="18"/>
    </row>
    <row r="688" spans="1:17" x14ac:dyDescent="0.3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8"/>
      <c r="P688" s="8"/>
      <c r="Q688" s="18"/>
    </row>
    <row r="689" spans="1:17" x14ac:dyDescent="0.3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8"/>
      <c r="P689" s="8"/>
      <c r="Q689" s="18"/>
    </row>
    <row r="690" spans="1:17" x14ac:dyDescent="0.3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8"/>
      <c r="P690" s="8"/>
      <c r="Q690" s="18"/>
    </row>
    <row r="691" spans="1:17" x14ac:dyDescent="0.3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8"/>
      <c r="P691" s="8"/>
      <c r="Q691" s="18"/>
    </row>
    <row r="692" spans="1:17" x14ac:dyDescent="0.3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8"/>
      <c r="P692" s="8"/>
      <c r="Q692" s="18"/>
    </row>
    <row r="693" spans="1:17" x14ac:dyDescent="0.3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8"/>
      <c r="P693" s="8"/>
      <c r="Q693" s="18"/>
    </row>
    <row r="694" spans="1:17" x14ac:dyDescent="0.3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8"/>
      <c r="P694" s="8"/>
      <c r="Q694" s="18"/>
    </row>
    <row r="695" spans="1:17" x14ac:dyDescent="0.3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8"/>
      <c r="P695" s="8"/>
      <c r="Q695" s="18"/>
    </row>
    <row r="696" spans="1:17" x14ac:dyDescent="0.3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8"/>
      <c r="P696" s="8"/>
      <c r="Q696" s="18"/>
    </row>
    <row r="697" spans="1:17" x14ac:dyDescent="0.3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8"/>
      <c r="P697" s="8"/>
      <c r="Q697" s="18"/>
    </row>
    <row r="698" spans="1:17" x14ac:dyDescent="0.3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8"/>
      <c r="P698" s="8"/>
      <c r="Q698" s="18"/>
    </row>
    <row r="699" spans="1:17" x14ac:dyDescent="0.3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8"/>
      <c r="P699" s="8"/>
      <c r="Q699" s="18"/>
    </row>
    <row r="700" spans="1:17" x14ac:dyDescent="0.3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8"/>
      <c r="P700" s="8"/>
      <c r="Q700" s="18"/>
    </row>
    <row r="701" spans="1:17" x14ac:dyDescent="0.3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8"/>
      <c r="P701" s="8"/>
      <c r="Q701" s="18"/>
    </row>
    <row r="702" spans="1:17" x14ac:dyDescent="0.3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8"/>
      <c r="P702" s="8"/>
      <c r="Q702" s="18"/>
    </row>
    <row r="703" spans="1:17" x14ac:dyDescent="0.3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8"/>
      <c r="P703" s="8"/>
      <c r="Q703" s="18"/>
    </row>
    <row r="704" spans="1:17" x14ac:dyDescent="0.3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8"/>
      <c r="P704" s="8"/>
      <c r="Q704" s="18"/>
    </row>
    <row r="705" spans="1:17" x14ac:dyDescent="0.3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8"/>
      <c r="P705" s="8"/>
      <c r="Q705" s="18"/>
    </row>
    <row r="706" spans="1:17" x14ac:dyDescent="0.3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8"/>
      <c r="P706" s="8"/>
      <c r="Q706" s="18"/>
    </row>
    <row r="707" spans="1:17" x14ac:dyDescent="0.3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8"/>
      <c r="P707" s="8"/>
      <c r="Q707" s="18"/>
    </row>
    <row r="708" spans="1:17" x14ac:dyDescent="0.3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8"/>
      <c r="P708" s="8"/>
      <c r="Q708" s="18"/>
    </row>
    <row r="709" spans="1:17" x14ac:dyDescent="0.3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8"/>
      <c r="P709" s="8"/>
      <c r="Q709" s="18"/>
    </row>
    <row r="710" spans="1:17" x14ac:dyDescent="0.3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8"/>
      <c r="P710" s="8"/>
      <c r="Q710" s="18"/>
    </row>
    <row r="711" spans="1:17" x14ac:dyDescent="0.3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8"/>
      <c r="P711" s="8"/>
      <c r="Q711" s="18"/>
    </row>
    <row r="712" spans="1:17" x14ac:dyDescent="0.3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8"/>
      <c r="P712" s="8"/>
      <c r="Q712" s="18"/>
    </row>
    <row r="713" spans="1:17" x14ac:dyDescent="0.3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8"/>
      <c r="P713" s="8"/>
      <c r="Q713" s="18"/>
    </row>
    <row r="714" spans="1:17" x14ac:dyDescent="0.3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8"/>
      <c r="P714" s="8"/>
      <c r="Q714" s="18"/>
    </row>
    <row r="715" spans="1:17" x14ac:dyDescent="0.3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8"/>
      <c r="P715" s="8"/>
      <c r="Q715" s="18"/>
    </row>
    <row r="716" spans="1:17" x14ac:dyDescent="0.3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8"/>
      <c r="P716" s="8"/>
      <c r="Q716" s="18"/>
    </row>
    <row r="717" spans="1:17" x14ac:dyDescent="0.3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8"/>
      <c r="P717" s="8"/>
      <c r="Q717" s="18"/>
    </row>
    <row r="718" spans="1:17" x14ac:dyDescent="0.3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8"/>
      <c r="P718" s="8"/>
      <c r="Q718" s="18"/>
    </row>
    <row r="719" spans="1:17" x14ac:dyDescent="0.3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8"/>
      <c r="P719" s="8"/>
      <c r="Q719" s="18"/>
    </row>
    <row r="720" spans="1:17" x14ac:dyDescent="0.3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8"/>
      <c r="P720" s="8"/>
      <c r="Q720" s="18"/>
    </row>
    <row r="721" spans="1:17" x14ac:dyDescent="0.3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8"/>
      <c r="P721" s="8"/>
      <c r="Q721" s="18"/>
    </row>
    <row r="722" spans="1:17" x14ac:dyDescent="0.3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8"/>
      <c r="P722" s="8"/>
      <c r="Q722" s="18"/>
    </row>
    <row r="723" spans="1:17" x14ac:dyDescent="0.3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8"/>
      <c r="P723" s="8"/>
      <c r="Q723" s="18"/>
    </row>
    <row r="724" spans="1:17" x14ac:dyDescent="0.3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8"/>
      <c r="P724" s="8"/>
      <c r="Q724" s="18"/>
    </row>
    <row r="725" spans="1:17" x14ac:dyDescent="0.3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8"/>
      <c r="P725" s="8"/>
      <c r="Q725" s="18"/>
    </row>
    <row r="726" spans="1:17" x14ac:dyDescent="0.3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8"/>
      <c r="P726" s="8"/>
      <c r="Q726" s="18"/>
    </row>
    <row r="727" spans="1:17" x14ac:dyDescent="0.3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8"/>
      <c r="P727" s="8"/>
      <c r="Q727" s="18"/>
    </row>
    <row r="728" spans="1:17" x14ac:dyDescent="0.3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8"/>
      <c r="P728" s="8"/>
      <c r="Q728" s="18"/>
    </row>
    <row r="729" spans="1:17" x14ac:dyDescent="0.3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8"/>
      <c r="P729" s="8"/>
      <c r="Q729" s="18"/>
    </row>
    <row r="730" spans="1:17" x14ac:dyDescent="0.3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8"/>
      <c r="P730" s="8"/>
      <c r="Q730" s="18"/>
    </row>
    <row r="731" spans="1:17" x14ac:dyDescent="0.3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8"/>
      <c r="P731" s="8"/>
      <c r="Q731" s="18"/>
    </row>
    <row r="732" spans="1:17" x14ac:dyDescent="0.3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8"/>
      <c r="P732" s="8"/>
      <c r="Q732" s="18"/>
    </row>
    <row r="733" spans="1:17" x14ac:dyDescent="0.3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8"/>
      <c r="P733" s="8"/>
      <c r="Q733" s="18"/>
    </row>
    <row r="734" spans="1:17" x14ac:dyDescent="0.3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8"/>
      <c r="P734" s="8"/>
      <c r="Q734" s="18"/>
    </row>
    <row r="735" spans="1:17" x14ac:dyDescent="0.3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8"/>
      <c r="P735" s="8"/>
      <c r="Q735" s="18"/>
    </row>
    <row r="736" spans="1:17" x14ac:dyDescent="0.3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8"/>
      <c r="P736" s="8"/>
      <c r="Q736" s="18"/>
    </row>
    <row r="737" spans="1:17" x14ac:dyDescent="0.3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8"/>
      <c r="P737" s="8"/>
      <c r="Q737" s="18"/>
    </row>
    <row r="738" spans="1:17" x14ac:dyDescent="0.3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8"/>
      <c r="P738" s="8"/>
      <c r="Q738" s="18"/>
    </row>
    <row r="739" spans="1:17" x14ac:dyDescent="0.3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8"/>
      <c r="P739" s="8"/>
      <c r="Q739" s="18"/>
    </row>
    <row r="740" spans="1:17" x14ac:dyDescent="0.3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8"/>
      <c r="P740" s="8"/>
      <c r="Q740" s="18"/>
    </row>
    <row r="741" spans="1:17" x14ac:dyDescent="0.3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8"/>
      <c r="P741" s="8"/>
      <c r="Q741" s="18"/>
    </row>
    <row r="742" spans="1:17" x14ac:dyDescent="0.3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8"/>
      <c r="P742" s="8"/>
      <c r="Q742" s="18"/>
    </row>
    <row r="743" spans="1:17" x14ac:dyDescent="0.3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8"/>
      <c r="P743" s="8"/>
      <c r="Q743" s="18"/>
    </row>
    <row r="744" spans="1:17" x14ac:dyDescent="0.3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8"/>
      <c r="P744" s="8"/>
      <c r="Q744" s="18"/>
    </row>
    <row r="745" spans="1:17" x14ac:dyDescent="0.3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8"/>
      <c r="P745" s="8"/>
      <c r="Q745" s="18"/>
    </row>
    <row r="746" spans="1:17" x14ac:dyDescent="0.3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8"/>
      <c r="P746" s="8"/>
      <c r="Q746" s="18"/>
    </row>
    <row r="747" spans="1:17" x14ac:dyDescent="0.3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8"/>
      <c r="P747" s="8"/>
      <c r="Q747" s="18"/>
    </row>
    <row r="748" spans="1:17" x14ac:dyDescent="0.3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8"/>
      <c r="P748" s="8"/>
      <c r="Q748" s="18"/>
    </row>
    <row r="749" spans="1:17" x14ac:dyDescent="0.3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8"/>
      <c r="P749" s="8"/>
      <c r="Q749" s="18"/>
    </row>
    <row r="750" spans="1:17" x14ac:dyDescent="0.3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8"/>
      <c r="P750" s="8"/>
      <c r="Q750" s="18"/>
    </row>
    <row r="751" spans="1:17" x14ac:dyDescent="0.3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8"/>
      <c r="P751" s="8"/>
      <c r="Q751" s="18"/>
    </row>
    <row r="752" spans="1:17" x14ac:dyDescent="0.3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8"/>
      <c r="P752" s="8"/>
      <c r="Q752" s="18"/>
    </row>
    <row r="753" spans="1:17" x14ac:dyDescent="0.3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8"/>
      <c r="P753" s="8"/>
      <c r="Q753" s="18"/>
    </row>
    <row r="754" spans="1:17" x14ac:dyDescent="0.3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8"/>
      <c r="P754" s="8"/>
      <c r="Q754" s="18"/>
    </row>
    <row r="755" spans="1:17" x14ac:dyDescent="0.3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8"/>
      <c r="P755" s="8"/>
      <c r="Q755" s="18"/>
    </row>
    <row r="756" spans="1:17" x14ac:dyDescent="0.3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8"/>
      <c r="P756" s="8"/>
      <c r="Q756" s="18"/>
    </row>
    <row r="757" spans="1:17" x14ac:dyDescent="0.3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8"/>
      <c r="P757" s="8"/>
      <c r="Q757" s="18"/>
    </row>
    <row r="758" spans="1:17" x14ac:dyDescent="0.3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8"/>
      <c r="P758" s="8"/>
      <c r="Q758" s="18"/>
    </row>
    <row r="759" spans="1:17" x14ac:dyDescent="0.3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8"/>
      <c r="P759" s="8"/>
      <c r="Q759" s="18"/>
    </row>
    <row r="760" spans="1:17" x14ac:dyDescent="0.3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8"/>
      <c r="P760" s="8"/>
      <c r="Q760" s="18"/>
    </row>
    <row r="761" spans="1:17" x14ac:dyDescent="0.3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8"/>
      <c r="P761" s="8"/>
      <c r="Q761" s="18"/>
    </row>
    <row r="762" spans="1:17" x14ac:dyDescent="0.3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8"/>
      <c r="P762" s="8"/>
      <c r="Q762" s="18"/>
    </row>
    <row r="763" spans="1:17" x14ac:dyDescent="0.3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8"/>
      <c r="P763" s="8"/>
      <c r="Q763" s="18"/>
    </row>
    <row r="764" spans="1:17" x14ac:dyDescent="0.3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8"/>
      <c r="P764" s="8"/>
      <c r="Q764" s="18"/>
    </row>
    <row r="765" spans="1:17" x14ac:dyDescent="0.3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8"/>
      <c r="P765" s="8"/>
      <c r="Q765" s="18"/>
    </row>
    <row r="766" spans="1:17" x14ac:dyDescent="0.3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8"/>
      <c r="P766" s="8"/>
      <c r="Q766" s="18"/>
    </row>
    <row r="767" spans="1:17" x14ac:dyDescent="0.3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8"/>
      <c r="P767" s="8"/>
      <c r="Q767" s="18"/>
    </row>
    <row r="768" spans="1:17" x14ac:dyDescent="0.3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8"/>
      <c r="P768" s="8"/>
      <c r="Q768" s="18"/>
    </row>
    <row r="769" spans="1:17" x14ac:dyDescent="0.3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8"/>
      <c r="P769" s="8"/>
      <c r="Q769" s="18"/>
    </row>
    <row r="770" spans="1:17" x14ac:dyDescent="0.3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8"/>
      <c r="P770" s="8"/>
      <c r="Q770" s="18"/>
    </row>
    <row r="771" spans="1:17" x14ac:dyDescent="0.3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8"/>
      <c r="P771" s="8"/>
      <c r="Q771" s="18"/>
    </row>
    <row r="772" spans="1:17" x14ac:dyDescent="0.3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8"/>
      <c r="P772" s="8"/>
      <c r="Q772" s="18"/>
    </row>
    <row r="773" spans="1:17" x14ac:dyDescent="0.3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8"/>
      <c r="P773" s="8"/>
      <c r="Q773" s="18"/>
    </row>
    <row r="774" spans="1:17" x14ac:dyDescent="0.3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8"/>
      <c r="P774" s="8"/>
      <c r="Q774" s="18"/>
    </row>
    <row r="775" spans="1:17" x14ac:dyDescent="0.3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8"/>
      <c r="P775" s="8"/>
      <c r="Q775" s="18"/>
    </row>
    <row r="776" spans="1:17" x14ac:dyDescent="0.3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8"/>
      <c r="P776" s="8"/>
      <c r="Q776" s="18"/>
    </row>
    <row r="777" spans="1:17" x14ac:dyDescent="0.3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8"/>
      <c r="P777" s="8"/>
      <c r="Q777" s="18"/>
    </row>
    <row r="778" spans="1:17" x14ac:dyDescent="0.3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8"/>
      <c r="P778" s="8"/>
      <c r="Q778" s="18"/>
    </row>
    <row r="779" spans="1:17" x14ac:dyDescent="0.3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8"/>
      <c r="P779" s="8"/>
      <c r="Q779" s="18"/>
    </row>
    <row r="780" spans="1:17" x14ac:dyDescent="0.3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8"/>
      <c r="P780" s="8"/>
      <c r="Q780" s="18"/>
    </row>
    <row r="781" spans="1:17" x14ac:dyDescent="0.3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8"/>
      <c r="P781" s="8"/>
      <c r="Q781" s="18"/>
    </row>
    <row r="782" spans="1:17" x14ac:dyDescent="0.3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8"/>
      <c r="P782" s="8"/>
      <c r="Q782" s="18"/>
    </row>
    <row r="783" spans="1:17" x14ac:dyDescent="0.3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8"/>
      <c r="P783" s="8"/>
      <c r="Q783" s="18"/>
    </row>
    <row r="784" spans="1:17" x14ac:dyDescent="0.3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8"/>
      <c r="P784" s="8"/>
      <c r="Q784" s="18"/>
    </row>
    <row r="785" spans="1:17" x14ac:dyDescent="0.3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8"/>
      <c r="P785" s="8"/>
      <c r="Q785" s="18"/>
    </row>
    <row r="786" spans="1:17" x14ac:dyDescent="0.3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8"/>
      <c r="P786" s="8"/>
      <c r="Q786" s="18"/>
    </row>
    <row r="787" spans="1:17" x14ac:dyDescent="0.3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8"/>
      <c r="P787" s="8"/>
      <c r="Q787" s="18"/>
    </row>
    <row r="788" spans="1:17" x14ac:dyDescent="0.3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8"/>
      <c r="P788" s="8"/>
      <c r="Q788" s="18"/>
    </row>
    <row r="789" spans="1:17" x14ac:dyDescent="0.3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8"/>
      <c r="P789" s="8"/>
      <c r="Q789" s="18"/>
    </row>
    <row r="790" spans="1:17" x14ac:dyDescent="0.3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8"/>
      <c r="P790" s="8"/>
      <c r="Q790" s="18"/>
    </row>
    <row r="791" spans="1:17" x14ac:dyDescent="0.3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8"/>
      <c r="P791" s="8"/>
      <c r="Q791" s="18"/>
    </row>
    <row r="792" spans="1:17" x14ac:dyDescent="0.3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8"/>
      <c r="P792" s="8"/>
      <c r="Q792" s="18"/>
    </row>
    <row r="793" spans="1:17" x14ac:dyDescent="0.3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8"/>
      <c r="P793" s="8"/>
      <c r="Q793" s="18"/>
    </row>
    <row r="794" spans="1:17" x14ac:dyDescent="0.3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8"/>
      <c r="P794" s="8"/>
      <c r="Q794" s="18"/>
    </row>
    <row r="795" spans="1:17" x14ac:dyDescent="0.3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8"/>
      <c r="P795" s="8"/>
      <c r="Q795" s="18"/>
    </row>
    <row r="796" spans="1:17" x14ac:dyDescent="0.3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8"/>
      <c r="P796" s="8"/>
      <c r="Q796" s="18"/>
    </row>
    <row r="797" spans="1:17" x14ac:dyDescent="0.3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8"/>
      <c r="P797" s="8"/>
      <c r="Q797" s="18"/>
    </row>
    <row r="798" spans="1:17" x14ac:dyDescent="0.3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8"/>
      <c r="P798" s="8"/>
      <c r="Q798" s="18"/>
    </row>
    <row r="799" spans="1:17" x14ac:dyDescent="0.3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8"/>
      <c r="P799" s="8"/>
      <c r="Q799" s="18"/>
    </row>
    <row r="800" spans="1:17" x14ac:dyDescent="0.3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8"/>
      <c r="P800" s="8"/>
      <c r="Q800" s="18"/>
    </row>
    <row r="801" spans="1:17" x14ac:dyDescent="0.3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8"/>
      <c r="P801" s="8"/>
      <c r="Q801" s="18"/>
    </row>
    <row r="802" spans="1:17" x14ac:dyDescent="0.3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8"/>
      <c r="P802" s="8"/>
      <c r="Q802" s="18"/>
    </row>
    <row r="803" spans="1:17" x14ac:dyDescent="0.3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8"/>
      <c r="P803" s="8"/>
      <c r="Q803" s="18"/>
    </row>
    <row r="804" spans="1:17" x14ac:dyDescent="0.3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8"/>
      <c r="P804" s="8"/>
      <c r="Q804" s="18"/>
    </row>
    <row r="805" spans="1:17" x14ac:dyDescent="0.3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8"/>
      <c r="P805" s="8"/>
      <c r="Q805" s="18"/>
    </row>
    <row r="806" spans="1:17" x14ac:dyDescent="0.3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8"/>
      <c r="P806" s="8"/>
      <c r="Q806" s="18"/>
    </row>
    <row r="807" spans="1:17" x14ac:dyDescent="0.3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8"/>
      <c r="P807" s="8"/>
      <c r="Q807" s="18"/>
    </row>
    <row r="808" spans="1:17" x14ac:dyDescent="0.3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8"/>
      <c r="P808" s="8"/>
      <c r="Q808" s="18"/>
    </row>
    <row r="809" spans="1:17" x14ac:dyDescent="0.3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8"/>
      <c r="P809" s="8"/>
      <c r="Q809" s="18"/>
    </row>
    <row r="810" spans="1:17" x14ac:dyDescent="0.3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8"/>
      <c r="P810" s="8"/>
      <c r="Q810" s="18"/>
    </row>
    <row r="811" spans="1:17" x14ac:dyDescent="0.3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8"/>
      <c r="P811" s="8"/>
      <c r="Q811" s="18"/>
    </row>
    <row r="812" spans="1:17" x14ac:dyDescent="0.3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8"/>
      <c r="P812" s="8"/>
      <c r="Q812" s="18"/>
    </row>
    <row r="813" spans="1:17" x14ac:dyDescent="0.3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8"/>
      <c r="P813" s="8"/>
      <c r="Q813" s="18"/>
    </row>
    <row r="814" spans="1:17" x14ac:dyDescent="0.3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8"/>
      <c r="P814" s="8"/>
      <c r="Q814" s="18"/>
    </row>
    <row r="815" spans="1:17" x14ac:dyDescent="0.3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8"/>
      <c r="P815" s="8"/>
      <c r="Q815" s="18"/>
    </row>
    <row r="816" spans="1:17" x14ac:dyDescent="0.3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8"/>
      <c r="P816" s="8"/>
      <c r="Q816" s="18"/>
    </row>
    <row r="817" spans="1:17" x14ac:dyDescent="0.3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8"/>
      <c r="P817" s="8"/>
      <c r="Q817" s="18"/>
    </row>
    <row r="818" spans="1:17" x14ac:dyDescent="0.3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8"/>
      <c r="P818" s="8"/>
      <c r="Q818" s="18"/>
    </row>
    <row r="819" spans="1:17" x14ac:dyDescent="0.3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8"/>
      <c r="P819" s="8"/>
      <c r="Q819" s="18"/>
    </row>
    <row r="820" spans="1:17" x14ac:dyDescent="0.3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8"/>
      <c r="P820" s="8"/>
      <c r="Q820" s="18"/>
    </row>
    <row r="821" spans="1:17" x14ac:dyDescent="0.3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8"/>
      <c r="P821" s="8"/>
      <c r="Q821" s="18"/>
    </row>
    <row r="822" spans="1:17" x14ac:dyDescent="0.3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8"/>
      <c r="P822" s="8"/>
      <c r="Q822" s="18"/>
    </row>
    <row r="823" spans="1:17" x14ac:dyDescent="0.3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8"/>
      <c r="P823" s="8"/>
      <c r="Q823" s="18"/>
    </row>
    <row r="824" spans="1:17" x14ac:dyDescent="0.3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8"/>
      <c r="P824" s="8"/>
      <c r="Q824" s="18"/>
    </row>
    <row r="825" spans="1:17" x14ac:dyDescent="0.3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8"/>
      <c r="P825" s="8"/>
      <c r="Q825" s="18"/>
    </row>
    <row r="826" spans="1:17" x14ac:dyDescent="0.3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8"/>
      <c r="P826" s="8"/>
      <c r="Q826" s="18"/>
    </row>
    <row r="827" spans="1:17" x14ac:dyDescent="0.3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8"/>
      <c r="P827" s="8"/>
      <c r="Q827" s="18"/>
    </row>
    <row r="828" spans="1:17" x14ac:dyDescent="0.3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8"/>
      <c r="P828" s="8"/>
      <c r="Q828" s="18"/>
    </row>
    <row r="829" spans="1:17" x14ac:dyDescent="0.3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8"/>
      <c r="P829" s="8"/>
      <c r="Q829" s="18"/>
    </row>
    <row r="830" spans="1:17" x14ac:dyDescent="0.3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8"/>
      <c r="P830" s="8"/>
      <c r="Q830" s="18"/>
    </row>
    <row r="831" spans="1:17" x14ac:dyDescent="0.3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8"/>
      <c r="P831" s="8"/>
      <c r="Q831" s="18"/>
    </row>
    <row r="832" spans="1:17" x14ac:dyDescent="0.3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8"/>
      <c r="P832" s="8"/>
      <c r="Q832" s="18"/>
    </row>
    <row r="833" spans="1:17" x14ac:dyDescent="0.3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8"/>
      <c r="P833" s="8"/>
      <c r="Q833" s="18"/>
    </row>
    <row r="834" spans="1:17" x14ac:dyDescent="0.3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8"/>
      <c r="P834" s="8"/>
      <c r="Q834" s="18"/>
    </row>
    <row r="835" spans="1:17" x14ac:dyDescent="0.3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8"/>
      <c r="P835" s="8"/>
      <c r="Q835" s="18"/>
    </row>
    <row r="836" spans="1:17" x14ac:dyDescent="0.3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8"/>
      <c r="P836" s="8"/>
      <c r="Q836" s="18"/>
    </row>
    <row r="837" spans="1:17" x14ac:dyDescent="0.3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8"/>
      <c r="P837" s="8"/>
      <c r="Q837" s="18"/>
    </row>
    <row r="838" spans="1:17" x14ac:dyDescent="0.3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8"/>
      <c r="P838" s="8"/>
      <c r="Q838" s="18"/>
    </row>
    <row r="839" spans="1:17" x14ac:dyDescent="0.3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8"/>
      <c r="P839" s="8"/>
      <c r="Q839" s="18"/>
    </row>
    <row r="840" spans="1:17" x14ac:dyDescent="0.3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8"/>
      <c r="P840" s="8"/>
      <c r="Q840" s="18"/>
    </row>
    <row r="841" spans="1:17" x14ac:dyDescent="0.3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8"/>
      <c r="P841" s="8"/>
      <c r="Q841" s="18"/>
    </row>
    <row r="842" spans="1:17" x14ac:dyDescent="0.3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8"/>
      <c r="P842" s="8"/>
      <c r="Q842" s="18"/>
    </row>
    <row r="843" spans="1:17" x14ac:dyDescent="0.3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8"/>
      <c r="P843" s="8"/>
      <c r="Q843" s="18"/>
    </row>
    <row r="844" spans="1:17" x14ac:dyDescent="0.3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8"/>
      <c r="P844" s="8"/>
      <c r="Q844" s="18"/>
    </row>
    <row r="845" spans="1:17" x14ac:dyDescent="0.3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8"/>
      <c r="P845" s="8"/>
      <c r="Q845" s="18"/>
    </row>
    <row r="846" spans="1:17" x14ac:dyDescent="0.3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8"/>
      <c r="P846" s="8"/>
      <c r="Q846" s="18"/>
    </row>
    <row r="847" spans="1:17" x14ac:dyDescent="0.3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8"/>
      <c r="P847" s="8"/>
      <c r="Q847" s="18"/>
    </row>
    <row r="848" spans="1:17" x14ac:dyDescent="0.3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8"/>
      <c r="P848" s="8"/>
      <c r="Q848" s="18"/>
    </row>
    <row r="849" spans="1:17" x14ac:dyDescent="0.3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8"/>
      <c r="P849" s="8"/>
      <c r="Q849" s="18"/>
    </row>
    <row r="850" spans="1:17" x14ac:dyDescent="0.3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8"/>
      <c r="P850" s="8"/>
      <c r="Q850" s="18"/>
    </row>
    <row r="851" spans="1:17" x14ac:dyDescent="0.3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8"/>
      <c r="P851" s="8"/>
      <c r="Q851" s="18"/>
    </row>
    <row r="852" spans="1:17" x14ac:dyDescent="0.3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8"/>
      <c r="P852" s="8"/>
      <c r="Q852" s="18"/>
    </row>
    <row r="853" spans="1:17" x14ac:dyDescent="0.3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8"/>
      <c r="P853" s="8"/>
      <c r="Q853" s="18"/>
    </row>
    <row r="854" spans="1:17" x14ac:dyDescent="0.3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8"/>
      <c r="P854" s="8"/>
      <c r="Q854" s="18"/>
    </row>
    <row r="855" spans="1:17" x14ac:dyDescent="0.3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8"/>
      <c r="P855" s="8"/>
      <c r="Q855" s="18"/>
    </row>
    <row r="856" spans="1:17" x14ac:dyDescent="0.3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8"/>
      <c r="P856" s="8"/>
      <c r="Q856" s="18"/>
    </row>
    <row r="857" spans="1:17" x14ac:dyDescent="0.3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8"/>
      <c r="P857" s="8"/>
      <c r="Q857" s="18"/>
    </row>
    <row r="858" spans="1:17" x14ac:dyDescent="0.3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8"/>
      <c r="P858" s="8"/>
      <c r="Q858" s="18"/>
    </row>
    <row r="859" spans="1:17" x14ac:dyDescent="0.3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8"/>
      <c r="P859" s="8"/>
      <c r="Q859" s="18"/>
    </row>
    <row r="860" spans="1:17" x14ac:dyDescent="0.3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8"/>
      <c r="P860" s="8"/>
      <c r="Q860" s="18"/>
    </row>
    <row r="861" spans="1:17" x14ac:dyDescent="0.3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8"/>
      <c r="P861" s="8"/>
      <c r="Q861" s="18"/>
    </row>
    <row r="862" spans="1:17" x14ac:dyDescent="0.3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8"/>
      <c r="P862" s="8"/>
      <c r="Q862" s="18"/>
    </row>
    <row r="863" spans="1:17" x14ac:dyDescent="0.3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8"/>
      <c r="P863" s="8"/>
      <c r="Q863" s="18"/>
    </row>
    <row r="864" spans="1:17" x14ac:dyDescent="0.3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8"/>
      <c r="P864" s="8"/>
      <c r="Q864" s="18"/>
    </row>
    <row r="865" spans="1:17" x14ac:dyDescent="0.3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8"/>
      <c r="P865" s="8"/>
      <c r="Q865" s="18"/>
    </row>
    <row r="866" spans="1:17" x14ac:dyDescent="0.3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8"/>
      <c r="P866" s="8"/>
      <c r="Q866" s="18"/>
    </row>
    <row r="867" spans="1:17" x14ac:dyDescent="0.3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8"/>
      <c r="P867" s="8"/>
      <c r="Q867" s="18"/>
    </row>
    <row r="868" spans="1:17" x14ac:dyDescent="0.3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8"/>
      <c r="P868" s="8"/>
      <c r="Q868" s="18"/>
    </row>
    <row r="869" spans="1:17" x14ac:dyDescent="0.3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8"/>
      <c r="P869" s="8"/>
      <c r="Q869" s="18"/>
    </row>
    <row r="870" spans="1:17" x14ac:dyDescent="0.3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8"/>
      <c r="P870" s="8"/>
      <c r="Q870" s="18"/>
    </row>
    <row r="871" spans="1:17" x14ac:dyDescent="0.3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8"/>
      <c r="P871" s="8"/>
      <c r="Q871" s="18"/>
    </row>
    <row r="872" spans="1:17" x14ac:dyDescent="0.3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8"/>
      <c r="P872" s="8"/>
      <c r="Q872" s="18"/>
    </row>
    <row r="873" spans="1:17" x14ac:dyDescent="0.3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8"/>
      <c r="P873" s="8"/>
      <c r="Q873" s="18"/>
    </row>
    <row r="874" spans="1:17" x14ac:dyDescent="0.3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8"/>
      <c r="P874" s="8"/>
      <c r="Q874" s="18"/>
    </row>
    <row r="875" spans="1:17" x14ac:dyDescent="0.3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8"/>
      <c r="P875" s="8"/>
      <c r="Q875" s="18"/>
    </row>
    <row r="876" spans="1:17" x14ac:dyDescent="0.3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8"/>
      <c r="P876" s="8"/>
      <c r="Q876" s="18"/>
    </row>
    <row r="877" spans="1:17" x14ac:dyDescent="0.3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8"/>
      <c r="P877" s="8"/>
      <c r="Q877" s="18"/>
    </row>
    <row r="878" spans="1:17" x14ac:dyDescent="0.3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8"/>
      <c r="P878" s="8"/>
      <c r="Q878" s="18"/>
    </row>
    <row r="879" spans="1:17" x14ac:dyDescent="0.3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8"/>
      <c r="P879" s="8"/>
      <c r="Q879" s="18"/>
    </row>
    <row r="880" spans="1:17" x14ac:dyDescent="0.3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8"/>
      <c r="P880" s="8"/>
      <c r="Q880" s="18"/>
    </row>
    <row r="881" spans="1:17" x14ac:dyDescent="0.3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8"/>
      <c r="P881" s="8"/>
      <c r="Q881" s="18"/>
    </row>
    <row r="882" spans="1:17" x14ac:dyDescent="0.3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8"/>
      <c r="P882" s="8"/>
      <c r="Q882" s="18"/>
    </row>
    <row r="883" spans="1:17" x14ac:dyDescent="0.3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8"/>
      <c r="P883" s="8"/>
      <c r="Q883" s="18"/>
    </row>
    <row r="884" spans="1:17" x14ac:dyDescent="0.3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8"/>
      <c r="P884" s="8"/>
      <c r="Q884" s="18"/>
    </row>
    <row r="885" spans="1:17" x14ac:dyDescent="0.3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8"/>
      <c r="P885" s="8"/>
      <c r="Q885" s="18"/>
    </row>
    <row r="886" spans="1:17" x14ac:dyDescent="0.3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8"/>
      <c r="P886" s="8"/>
      <c r="Q886" s="18"/>
    </row>
    <row r="887" spans="1:17" x14ac:dyDescent="0.3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8"/>
      <c r="P887" s="8"/>
      <c r="Q887" s="18"/>
    </row>
    <row r="888" spans="1:17" x14ac:dyDescent="0.3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8"/>
      <c r="P888" s="8"/>
      <c r="Q888" s="18"/>
    </row>
    <row r="889" spans="1:17" x14ac:dyDescent="0.3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8"/>
      <c r="P889" s="8"/>
      <c r="Q889" s="18"/>
    </row>
    <row r="890" spans="1:17" x14ac:dyDescent="0.3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8"/>
      <c r="P890" s="8"/>
      <c r="Q890" s="18"/>
    </row>
    <row r="891" spans="1:17" x14ac:dyDescent="0.3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8"/>
      <c r="P891" s="8"/>
      <c r="Q891" s="18"/>
    </row>
    <row r="892" spans="1:17" x14ac:dyDescent="0.3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8"/>
      <c r="P892" s="8"/>
      <c r="Q892" s="18"/>
    </row>
    <row r="893" spans="1:17" x14ac:dyDescent="0.3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8"/>
      <c r="P893" s="8"/>
      <c r="Q893" s="18"/>
    </row>
    <row r="894" spans="1:17" x14ac:dyDescent="0.3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8"/>
      <c r="P894" s="8"/>
      <c r="Q894" s="18"/>
    </row>
    <row r="895" spans="1:17" x14ac:dyDescent="0.3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8"/>
      <c r="P895" s="8"/>
      <c r="Q895" s="18"/>
    </row>
    <row r="896" spans="1:17" x14ac:dyDescent="0.3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8"/>
      <c r="P896" s="8"/>
      <c r="Q896" s="18"/>
    </row>
    <row r="897" spans="1:17" x14ac:dyDescent="0.3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8"/>
      <c r="P897" s="8"/>
      <c r="Q897" s="18"/>
    </row>
    <row r="898" spans="1:17" x14ac:dyDescent="0.3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8"/>
      <c r="P898" s="8"/>
      <c r="Q898" s="18"/>
    </row>
    <row r="899" spans="1:17" x14ac:dyDescent="0.3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8"/>
      <c r="P899" s="8"/>
      <c r="Q899" s="18"/>
    </row>
    <row r="900" spans="1:17" x14ac:dyDescent="0.3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8"/>
      <c r="P900" s="8"/>
      <c r="Q900" s="18"/>
    </row>
    <row r="901" spans="1:17" x14ac:dyDescent="0.3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8"/>
      <c r="P901" s="8"/>
      <c r="Q901" s="18"/>
    </row>
    <row r="902" spans="1:17" x14ac:dyDescent="0.3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8"/>
      <c r="P902" s="8"/>
      <c r="Q902" s="18"/>
    </row>
    <row r="903" spans="1:17" x14ac:dyDescent="0.3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8"/>
      <c r="P903" s="8"/>
      <c r="Q903" s="18"/>
    </row>
    <row r="904" spans="1:17" x14ac:dyDescent="0.3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8"/>
      <c r="P904" s="8"/>
      <c r="Q904" s="18"/>
    </row>
    <row r="905" spans="1:17" x14ac:dyDescent="0.3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8"/>
      <c r="P905" s="8"/>
      <c r="Q905" s="18"/>
    </row>
    <row r="906" spans="1:17" x14ac:dyDescent="0.3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8"/>
      <c r="P906" s="8"/>
      <c r="Q906" s="18"/>
    </row>
    <row r="907" spans="1:17" x14ac:dyDescent="0.3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8"/>
      <c r="P907" s="8"/>
      <c r="Q907" s="18"/>
    </row>
    <row r="908" spans="1:17" x14ac:dyDescent="0.3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8"/>
      <c r="P908" s="8"/>
      <c r="Q908" s="18"/>
    </row>
    <row r="909" spans="1:17" x14ac:dyDescent="0.3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8"/>
      <c r="P909" s="8"/>
      <c r="Q909" s="18"/>
    </row>
    <row r="910" spans="1:17" x14ac:dyDescent="0.3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8"/>
      <c r="P910" s="8"/>
      <c r="Q910" s="18"/>
    </row>
    <row r="911" spans="1:17" x14ac:dyDescent="0.3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8"/>
      <c r="P911" s="8"/>
      <c r="Q911" s="18"/>
    </row>
    <row r="912" spans="1:17" x14ac:dyDescent="0.3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8"/>
      <c r="P912" s="8"/>
      <c r="Q912" s="18"/>
    </row>
    <row r="913" spans="1:17" x14ac:dyDescent="0.3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8"/>
      <c r="P913" s="8"/>
      <c r="Q913" s="18"/>
    </row>
    <row r="914" spans="1:17" x14ac:dyDescent="0.3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8"/>
      <c r="P914" s="8"/>
      <c r="Q914" s="18"/>
    </row>
    <row r="915" spans="1:17" x14ac:dyDescent="0.3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8"/>
      <c r="P915" s="8"/>
      <c r="Q915" s="18"/>
    </row>
    <row r="916" spans="1:17" x14ac:dyDescent="0.3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8"/>
      <c r="P916" s="8"/>
      <c r="Q916" s="18"/>
    </row>
    <row r="917" spans="1:17" x14ac:dyDescent="0.3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8"/>
      <c r="P917" s="8"/>
      <c r="Q917" s="18"/>
    </row>
    <row r="918" spans="1:17" x14ac:dyDescent="0.3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8"/>
      <c r="P918" s="8"/>
      <c r="Q918" s="18"/>
    </row>
    <row r="919" spans="1:17" x14ac:dyDescent="0.3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8"/>
      <c r="P919" s="8"/>
      <c r="Q919" s="18"/>
    </row>
    <row r="920" spans="1:17" x14ac:dyDescent="0.3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8"/>
      <c r="P920" s="8"/>
      <c r="Q920" s="18"/>
    </row>
    <row r="921" spans="1:17" x14ac:dyDescent="0.3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8"/>
      <c r="P921" s="8"/>
      <c r="Q921" s="18"/>
    </row>
    <row r="922" spans="1:17" x14ac:dyDescent="0.3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8"/>
      <c r="P922" s="8"/>
      <c r="Q922" s="18"/>
    </row>
    <row r="923" spans="1:17" x14ac:dyDescent="0.3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8"/>
      <c r="P923" s="8"/>
      <c r="Q923" s="18"/>
    </row>
    <row r="924" spans="1:17" x14ac:dyDescent="0.3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8"/>
      <c r="P924" s="8"/>
      <c r="Q924" s="18"/>
    </row>
    <row r="925" spans="1:17" x14ac:dyDescent="0.3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8"/>
      <c r="P925" s="8"/>
      <c r="Q925" s="18"/>
    </row>
    <row r="926" spans="1:17" x14ac:dyDescent="0.3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8"/>
      <c r="P926" s="8"/>
      <c r="Q926" s="18"/>
    </row>
    <row r="927" spans="1:17" x14ac:dyDescent="0.3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8"/>
      <c r="P927" s="8"/>
      <c r="Q927" s="18"/>
    </row>
    <row r="928" spans="1:17" x14ac:dyDescent="0.3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8"/>
      <c r="P928" s="8"/>
      <c r="Q928" s="18"/>
    </row>
    <row r="929" spans="1:17" x14ac:dyDescent="0.3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8"/>
      <c r="P929" s="8"/>
      <c r="Q929" s="18"/>
    </row>
    <row r="930" spans="1:17" x14ac:dyDescent="0.3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8"/>
      <c r="P930" s="8"/>
      <c r="Q930" s="18"/>
    </row>
    <row r="931" spans="1:17" x14ac:dyDescent="0.3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8"/>
      <c r="P931" s="8"/>
      <c r="Q931" s="18"/>
    </row>
    <row r="932" spans="1:17" x14ac:dyDescent="0.3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8"/>
      <c r="P932" s="8"/>
      <c r="Q932" s="18"/>
    </row>
    <row r="933" spans="1:17" x14ac:dyDescent="0.3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8"/>
      <c r="P933" s="8"/>
      <c r="Q933" s="18"/>
    </row>
    <row r="934" spans="1:17" x14ac:dyDescent="0.3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8"/>
      <c r="P934" s="8"/>
      <c r="Q934" s="18"/>
    </row>
    <row r="935" spans="1:17" x14ac:dyDescent="0.3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8"/>
      <c r="P935" s="8"/>
      <c r="Q935" s="18"/>
    </row>
    <row r="936" spans="1:17" x14ac:dyDescent="0.3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8"/>
      <c r="P936" s="8"/>
      <c r="Q936" s="18"/>
    </row>
    <row r="937" spans="1:17" x14ac:dyDescent="0.3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8"/>
      <c r="P937" s="8"/>
      <c r="Q937" s="18"/>
    </row>
    <row r="938" spans="1:17" x14ac:dyDescent="0.3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8"/>
      <c r="P938" s="8"/>
      <c r="Q938" s="18"/>
    </row>
    <row r="939" spans="1:17" x14ac:dyDescent="0.3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8"/>
      <c r="P939" s="8"/>
      <c r="Q939" s="18"/>
    </row>
    <row r="940" spans="1:17" x14ac:dyDescent="0.3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8"/>
      <c r="P940" s="8"/>
      <c r="Q940" s="18"/>
    </row>
    <row r="941" spans="1:17" x14ac:dyDescent="0.3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8"/>
      <c r="P941" s="8"/>
      <c r="Q941" s="18"/>
    </row>
    <row r="942" spans="1:17" x14ac:dyDescent="0.3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8"/>
      <c r="P942" s="8"/>
      <c r="Q942" s="18"/>
    </row>
    <row r="943" spans="1:17" x14ac:dyDescent="0.3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8"/>
      <c r="P943" s="8"/>
      <c r="Q943" s="18"/>
    </row>
    <row r="944" spans="1:17" x14ac:dyDescent="0.3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8"/>
      <c r="P944" s="8"/>
      <c r="Q944" s="18"/>
    </row>
    <row r="945" spans="1:17" x14ac:dyDescent="0.3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8"/>
      <c r="P945" s="8"/>
      <c r="Q945" s="18"/>
    </row>
    <row r="946" spans="1:17" x14ac:dyDescent="0.3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8"/>
      <c r="P946" s="8"/>
      <c r="Q946" s="18"/>
    </row>
    <row r="947" spans="1:17" x14ac:dyDescent="0.3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8"/>
      <c r="P947" s="8"/>
      <c r="Q947" s="18"/>
    </row>
    <row r="948" spans="1:17" x14ac:dyDescent="0.3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8"/>
      <c r="P948" s="8"/>
      <c r="Q948" s="18"/>
    </row>
    <row r="949" spans="1:17" x14ac:dyDescent="0.3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8"/>
      <c r="P949" s="8"/>
      <c r="Q949" s="18"/>
    </row>
    <row r="950" spans="1:17" x14ac:dyDescent="0.3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8"/>
      <c r="P950" s="8"/>
      <c r="Q950" s="18"/>
    </row>
    <row r="951" spans="1:17" x14ac:dyDescent="0.3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8"/>
      <c r="P951" s="8"/>
      <c r="Q951" s="18"/>
    </row>
    <row r="952" spans="1:17" x14ac:dyDescent="0.3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8"/>
      <c r="P952" s="8"/>
      <c r="Q952" s="18"/>
    </row>
    <row r="953" spans="1:17" x14ac:dyDescent="0.3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8"/>
      <c r="P953" s="8"/>
      <c r="Q953" s="18"/>
    </row>
    <row r="954" spans="1:17" x14ac:dyDescent="0.3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8"/>
      <c r="P954" s="8"/>
      <c r="Q954" s="18"/>
    </row>
    <row r="955" spans="1:17" x14ac:dyDescent="0.3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8"/>
      <c r="P955" s="8"/>
      <c r="Q955" s="18"/>
    </row>
    <row r="956" spans="1:17" x14ac:dyDescent="0.3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8"/>
      <c r="P956" s="8"/>
      <c r="Q956" s="18"/>
    </row>
    <row r="957" spans="1:17" x14ac:dyDescent="0.3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8"/>
      <c r="P957" s="8"/>
      <c r="Q957" s="18"/>
    </row>
    <row r="958" spans="1:17" x14ac:dyDescent="0.3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8"/>
      <c r="P958" s="8"/>
      <c r="Q958" s="18"/>
    </row>
    <row r="959" spans="1:17" x14ac:dyDescent="0.3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8"/>
      <c r="P959" s="8"/>
      <c r="Q959" s="18"/>
    </row>
    <row r="960" spans="1:17" x14ac:dyDescent="0.3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8"/>
      <c r="P960" s="8"/>
      <c r="Q960" s="18"/>
    </row>
    <row r="961" spans="1:17" x14ac:dyDescent="0.3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8"/>
      <c r="P961" s="8"/>
      <c r="Q961" s="18"/>
    </row>
    <row r="962" spans="1:17" x14ac:dyDescent="0.3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8"/>
      <c r="P962" s="8"/>
      <c r="Q962" s="18"/>
    </row>
    <row r="963" spans="1:17" x14ac:dyDescent="0.3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8"/>
      <c r="P963" s="8"/>
      <c r="Q963" s="18"/>
    </row>
    <row r="964" spans="1:17" x14ac:dyDescent="0.3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8"/>
      <c r="P964" s="8"/>
      <c r="Q964" s="18"/>
    </row>
    <row r="965" spans="1:17" x14ac:dyDescent="0.3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8"/>
      <c r="P965" s="8"/>
      <c r="Q965" s="18"/>
    </row>
    <row r="966" spans="1:17" x14ac:dyDescent="0.3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8"/>
      <c r="P966" s="8"/>
      <c r="Q966" s="18"/>
    </row>
    <row r="967" spans="1:17" x14ac:dyDescent="0.3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8"/>
      <c r="P967" s="8"/>
      <c r="Q967" s="18"/>
    </row>
    <row r="968" spans="1:17" x14ac:dyDescent="0.3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8"/>
      <c r="P968" s="8"/>
      <c r="Q968" s="18"/>
    </row>
    <row r="969" spans="1:17" x14ac:dyDescent="0.3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8"/>
      <c r="P969" s="8"/>
      <c r="Q969" s="18"/>
    </row>
    <row r="970" spans="1:17" x14ac:dyDescent="0.3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8"/>
      <c r="P970" s="8"/>
      <c r="Q970" s="18"/>
    </row>
    <row r="971" spans="1:17" x14ac:dyDescent="0.3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8"/>
      <c r="P971" s="8"/>
      <c r="Q971" s="18"/>
    </row>
    <row r="972" spans="1:17" x14ac:dyDescent="0.3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8"/>
      <c r="P972" s="8"/>
      <c r="Q972" s="18"/>
    </row>
    <row r="973" spans="1:17" x14ac:dyDescent="0.3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8"/>
      <c r="P973" s="8"/>
      <c r="Q973" s="18"/>
    </row>
    <row r="974" spans="1:17" x14ac:dyDescent="0.3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8"/>
      <c r="P974" s="8"/>
      <c r="Q974" s="18"/>
    </row>
    <row r="975" spans="1:17" x14ac:dyDescent="0.3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8"/>
      <c r="P975" s="8"/>
      <c r="Q975" s="18"/>
    </row>
    <row r="976" spans="1:17" x14ac:dyDescent="0.3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8"/>
      <c r="P976" s="8"/>
      <c r="Q976" s="18"/>
    </row>
    <row r="977" spans="1:17" x14ac:dyDescent="0.3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8"/>
      <c r="P977" s="8"/>
      <c r="Q977" s="18"/>
    </row>
    <row r="978" spans="1:17" x14ac:dyDescent="0.3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8"/>
      <c r="P978" s="8"/>
      <c r="Q978" s="18"/>
    </row>
    <row r="979" spans="1:17" x14ac:dyDescent="0.3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8"/>
      <c r="P979" s="8"/>
      <c r="Q979" s="18"/>
    </row>
    <row r="980" spans="1:17" x14ac:dyDescent="0.3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8"/>
      <c r="P980" s="8"/>
      <c r="Q980" s="18"/>
    </row>
    <row r="981" spans="1:17" x14ac:dyDescent="0.3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8"/>
      <c r="P981" s="8"/>
      <c r="Q981" s="18"/>
    </row>
    <row r="982" spans="1:17" x14ac:dyDescent="0.3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8"/>
      <c r="P982" s="8"/>
      <c r="Q982" s="18"/>
    </row>
    <row r="983" spans="1:17" x14ac:dyDescent="0.3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8"/>
      <c r="P983" s="8"/>
      <c r="Q983" s="18"/>
    </row>
    <row r="984" spans="1:17" x14ac:dyDescent="0.3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8"/>
      <c r="P984" s="8"/>
      <c r="Q984" s="18"/>
    </row>
    <row r="985" spans="1:17" x14ac:dyDescent="0.3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8"/>
      <c r="P985" s="8"/>
      <c r="Q985" s="18"/>
    </row>
    <row r="986" spans="1:17" x14ac:dyDescent="0.3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8"/>
      <c r="P986" s="8"/>
      <c r="Q986" s="18"/>
    </row>
    <row r="987" spans="1:17" x14ac:dyDescent="0.3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8"/>
      <c r="P987" s="8"/>
      <c r="Q987" s="18"/>
    </row>
    <row r="988" spans="1:17" x14ac:dyDescent="0.3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8"/>
      <c r="P988" s="8"/>
      <c r="Q988" s="18"/>
    </row>
    <row r="989" spans="1:17" x14ac:dyDescent="0.3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8"/>
      <c r="P989" s="8"/>
      <c r="Q989" s="18"/>
    </row>
    <row r="990" spans="1:17" x14ac:dyDescent="0.3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8"/>
      <c r="P990" s="8"/>
      <c r="Q990" s="18"/>
    </row>
    <row r="991" spans="1:17" x14ac:dyDescent="0.3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8"/>
      <c r="P991" s="8"/>
      <c r="Q991" s="18"/>
    </row>
    <row r="992" spans="1:17" x14ac:dyDescent="0.3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8"/>
      <c r="P992" s="8"/>
      <c r="Q992" s="18"/>
    </row>
    <row r="993" spans="1:17" x14ac:dyDescent="0.3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8"/>
      <c r="P993" s="8"/>
      <c r="Q993" s="18"/>
    </row>
    <row r="994" spans="1:17" x14ac:dyDescent="0.3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8"/>
      <c r="P994" s="8"/>
      <c r="Q994" s="18"/>
    </row>
    <row r="995" spans="1:17" x14ac:dyDescent="0.3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8"/>
      <c r="P995" s="8"/>
      <c r="Q995" s="18"/>
    </row>
    <row r="996" spans="1:17" x14ac:dyDescent="0.3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8"/>
      <c r="P996" s="8"/>
      <c r="Q996" s="18"/>
    </row>
    <row r="997" spans="1:17" x14ac:dyDescent="0.3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8"/>
      <c r="P997" s="8"/>
      <c r="Q997" s="18"/>
    </row>
    <row r="998" spans="1:17" x14ac:dyDescent="0.3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8"/>
      <c r="P998" s="8"/>
      <c r="Q998" s="18"/>
    </row>
    <row r="999" spans="1:17" x14ac:dyDescent="0.3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8"/>
      <c r="P999" s="8"/>
      <c r="Q999" s="18"/>
    </row>
    <row r="1000" spans="1:17" x14ac:dyDescent="0.3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8"/>
      <c r="P1000" s="8"/>
      <c r="Q1000" s="18"/>
    </row>
    <row r="1001" spans="1:17" x14ac:dyDescent="0.3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8"/>
      <c r="P1001" s="8"/>
      <c r="Q1001" s="18"/>
    </row>
    <row r="1002" spans="1:17" x14ac:dyDescent="0.3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8"/>
      <c r="P1002" s="8"/>
      <c r="Q1002" s="18"/>
    </row>
    <row r="1003" spans="1:17" x14ac:dyDescent="0.3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8"/>
      <c r="P1003" s="8"/>
      <c r="Q1003" s="18"/>
    </row>
    <row r="1004" spans="1:17" x14ac:dyDescent="0.3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8"/>
      <c r="P1004" s="8"/>
      <c r="Q1004" s="18"/>
    </row>
    <row r="1005" spans="1:17" x14ac:dyDescent="0.3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8"/>
      <c r="P1005" s="8"/>
      <c r="Q1005" s="18"/>
    </row>
    <row r="1006" spans="1:17" x14ac:dyDescent="0.3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8"/>
      <c r="P1006" s="8"/>
      <c r="Q1006" s="18"/>
    </row>
    <row r="1007" spans="1:17" x14ac:dyDescent="0.3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8"/>
      <c r="P1007" s="8"/>
      <c r="Q1007" s="18"/>
    </row>
    <row r="1008" spans="1:17" x14ac:dyDescent="0.3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8"/>
      <c r="P1008" s="8"/>
      <c r="Q1008" s="18"/>
    </row>
    <row r="1009" spans="1:17" x14ac:dyDescent="0.3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8"/>
      <c r="P1009" s="8"/>
      <c r="Q1009" s="18"/>
    </row>
    <row r="1010" spans="1:17" x14ac:dyDescent="0.3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8"/>
      <c r="P1010" s="8"/>
      <c r="Q1010" s="18"/>
    </row>
    <row r="1011" spans="1:17" x14ac:dyDescent="0.3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8"/>
      <c r="P1011" s="8"/>
      <c r="Q1011" s="18"/>
    </row>
    <row r="1012" spans="1:17" x14ac:dyDescent="0.3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8"/>
      <c r="P1012" s="8"/>
      <c r="Q1012" s="18"/>
    </row>
    <row r="1013" spans="1:17" x14ac:dyDescent="0.3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8"/>
      <c r="P1013" s="8"/>
      <c r="Q1013" s="18"/>
    </row>
    <row r="1014" spans="1:17" x14ac:dyDescent="0.3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8"/>
      <c r="P1014" s="8"/>
      <c r="Q1014" s="18"/>
    </row>
    <row r="1015" spans="1:17" x14ac:dyDescent="0.3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8"/>
      <c r="P1015" s="8"/>
      <c r="Q1015" s="18"/>
    </row>
    <row r="1016" spans="1:17" x14ac:dyDescent="0.3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8"/>
      <c r="P1016" s="8"/>
      <c r="Q1016" s="18"/>
    </row>
    <row r="1017" spans="1:17" x14ac:dyDescent="0.3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8"/>
      <c r="P1017" s="8"/>
      <c r="Q1017" s="18"/>
    </row>
    <row r="1018" spans="1:17" x14ac:dyDescent="0.3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8"/>
      <c r="P1018" s="8"/>
      <c r="Q1018" s="18"/>
    </row>
    <row r="1019" spans="1:17" x14ac:dyDescent="0.3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8"/>
      <c r="P1019" s="8"/>
      <c r="Q1019" s="18"/>
    </row>
    <row r="1020" spans="1:17" x14ac:dyDescent="0.3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8"/>
      <c r="P1020" s="8"/>
      <c r="Q1020" s="18"/>
    </row>
    <row r="1021" spans="1:17" x14ac:dyDescent="0.3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8"/>
      <c r="P1021" s="8"/>
      <c r="Q1021" s="18"/>
    </row>
    <row r="1022" spans="1:17" x14ac:dyDescent="0.3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8"/>
      <c r="P1022" s="8"/>
      <c r="Q1022" s="18"/>
    </row>
    <row r="1023" spans="1:17" x14ac:dyDescent="0.3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8"/>
      <c r="P1023" s="8"/>
      <c r="Q1023" s="18"/>
    </row>
    <row r="1024" spans="1:17" x14ac:dyDescent="0.3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8"/>
      <c r="P1024" s="8"/>
      <c r="Q1024" s="18"/>
    </row>
    <row r="1025" spans="1:17" x14ac:dyDescent="0.3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8"/>
      <c r="P1025" s="8"/>
      <c r="Q1025" s="18"/>
    </row>
    <row r="1026" spans="1:17" x14ac:dyDescent="0.3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8"/>
      <c r="P1026" s="8"/>
      <c r="Q1026" s="18"/>
    </row>
    <row r="1027" spans="1:17" x14ac:dyDescent="0.3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8"/>
      <c r="P1027" s="8"/>
      <c r="Q1027" s="18"/>
    </row>
    <row r="1028" spans="1:17" x14ac:dyDescent="0.3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8"/>
      <c r="P1028" s="8"/>
      <c r="Q1028" s="18"/>
    </row>
    <row r="1029" spans="1:17" x14ac:dyDescent="0.3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8"/>
      <c r="P1029" s="8"/>
      <c r="Q1029" s="18"/>
    </row>
    <row r="1030" spans="1:17" x14ac:dyDescent="0.3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8"/>
      <c r="P1030" s="8"/>
      <c r="Q1030" s="18"/>
    </row>
    <row r="1031" spans="1:17" x14ac:dyDescent="0.3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8"/>
      <c r="P1031" s="8"/>
      <c r="Q1031" s="18"/>
    </row>
    <row r="1032" spans="1:17" x14ac:dyDescent="0.3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8"/>
      <c r="P1032" s="8"/>
      <c r="Q1032" s="18"/>
    </row>
    <row r="1033" spans="1:17" x14ac:dyDescent="0.3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8"/>
      <c r="P1033" s="8"/>
      <c r="Q1033" s="18"/>
    </row>
    <row r="1034" spans="1:17" x14ac:dyDescent="0.3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8"/>
      <c r="P1034" s="8"/>
      <c r="Q1034" s="18"/>
    </row>
    <row r="1035" spans="1:17" x14ac:dyDescent="0.3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8"/>
      <c r="P1035" s="8"/>
      <c r="Q1035" s="18"/>
    </row>
    <row r="1036" spans="1:17" x14ac:dyDescent="0.3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8"/>
      <c r="P1036" s="8"/>
      <c r="Q1036" s="18"/>
    </row>
    <row r="1037" spans="1:17" x14ac:dyDescent="0.3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8"/>
      <c r="P1037" s="8"/>
      <c r="Q1037" s="18"/>
    </row>
    <row r="1038" spans="1:17" x14ac:dyDescent="0.3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8"/>
      <c r="P1038" s="8"/>
      <c r="Q1038" s="18"/>
    </row>
    <row r="1039" spans="1:17" x14ac:dyDescent="0.3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8"/>
      <c r="P1039" s="8"/>
      <c r="Q1039" s="18"/>
    </row>
    <row r="1040" spans="1:17" x14ac:dyDescent="0.3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8"/>
      <c r="P1040" s="8"/>
      <c r="Q1040" s="18"/>
    </row>
    <row r="1041" spans="1:17" x14ac:dyDescent="0.3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8"/>
      <c r="P1041" s="8"/>
      <c r="Q1041" s="18"/>
    </row>
    <row r="1042" spans="1:17" x14ac:dyDescent="0.3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8"/>
      <c r="P1042" s="8"/>
      <c r="Q1042" s="18"/>
    </row>
    <row r="1043" spans="1:17" x14ac:dyDescent="0.3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8"/>
      <c r="P1043" s="8"/>
      <c r="Q1043" s="18"/>
    </row>
    <row r="1044" spans="1:17" x14ac:dyDescent="0.3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8"/>
      <c r="P1044" s="8"/>
      <c r="Q1044" s="18"/>
    </row>
    <row r="1045" spans="1:17" x14ac:dyDescent="0.3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8"/>
      <c r="P1045" s="8"/>
      <c r="Q1045" s="18"/>
    </row>
    <row r="1046" spans="1:17" x14ac:dyDescent="0.3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8"/>
      <c r="P1046" s="8"/>
      <c r="Q1046" s="18"/>
    </row>
    <row r="1047" spans="1:17" x14ac:dyDescent="0.3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8"/>
      <c r="P1047" s="8"/>
      <c r="Q1047" s="18"/>
    </row>
    <row r="1048" spans="1:17" x14ac:dyDescent="0.3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8"/>
      <c r="P1048" s="8"/>
      <c r="Q1048" s="18"/>
    </row>
    <row r="1049" spans="1:17" x14ac:dyDescent="0.3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8"/>
      <c r="P1049" s="8"/>
      <c r="Q1049" s="18"/>
    </row>
    <row r="1050" spans="1:17" x14ac:dyDescent="0.3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8"/>
      <c r="P1050" s="8"/>
      <c r="Q1050" s="18"/>
    </row>
    <row r="1051" spans="1:17" x14ac:dyDescent="0.3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8"/>
      <c r="P1051" s="8"/>
      <c r="Q1051" s="18"/>
    </row>
    <row r="1052" spans="1:17" x14ac:dyDescent="0.3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8"/>
      <c r="P1052" s="8"/>
      <c r="Q1052" s="18"/>
    </row>
    <row r="1053" spans="1:17" x14ac:dyDescent="0.3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8"/>
      <c r="P1053" s="8"/>
      <c r="Q1053" s="18"/>
    </row>
    <row r="1054" spans="1:17" x14ac:dyDescent="0.3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8"/>
      <c r="P1054" s="8"/>
      <c r="Q1054" s="18"/>
    </row>
    <row r="1055" spans="1:17" x14ac:dyDescent="0.3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8"/>
      <c r="P1055" s="8"/>
      <c r="Q1055" s="18"/>
    </row>
    <row r="1056" spans="1:17" x14ac:dyDescent="0.3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8"/>
      <c r="P1056" s="8"/>
      <c r="Q1056" s="18"/>
    </row>
    <row r="1057" spans="1:17" x14ac:dyDescent="0.3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8"/>
      <c r="P1057" s="8"/>
      <c r="Q1057" s="18"/>
    </row>
    <row r="1058" spans="1:17" x14ac:dyDescent="0.3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8"/>
      <c r="P1058" s="8"/>
      <c r="Q1058" s="18"/>
    </row>
    <row r="1059" spans="1:17" x14ac:dyDescent="0.3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8"/>
      <c r="P1059" s="8"/>
      <c r="Q1059" s="18"/>
    </row>
    <row r="1060" spans="1:17" x14ac:dyDescent="0.3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8"/>
      <c r="P1060" s="8"/>
      <c r="Q1060" s="18"/>
    </row>
    <row r="1061" spans="1:17" x14ac:dyDescent="0.3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8"/>
      <c r="P1061" s="8"/>
      <c r="Q1061" s="18"/>
    </row>
    <row r="1062" spans="1:17" x14ac:dyDescent="0.3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8"/>
      <c r="P1062" s="8"/>
      <c r="Q1062" s="18"/>
    </row>
    <row r="1063" spans="1:17" x14ac:dyDescent="0.3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8"/>
      <c r="P1063" s="8"/>
      <c r="Q1063" s="18"/>
    </row>
    <row r="1064" spans="1:17" x14ac:dyDescent="0.3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8"/>
      <c r="P1064" s="8"/>
      <c r="Q1064" s="18"/>
    </row>
    <row r="1065" spans="1:17" x14ac:dyDescent="0.3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8"/>
      <c r="P1065" s="8"/>
      <c r="Q1065" s="18"/>
    </row>
    <row r="1066" spans="1:17" x14ac:dyDescent="0.3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8"/>
      <c r="P1066" s="8"/>
      <c r="Q1066" s="18"/>
    </row>
    <row r="1067" spans="1:17" x14ac:dyDescent="0.3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8"/>
      <c r="P1067" s="8"/>
      <c r="Q1067" s="18"/>
    </row>
    <row r="1068" spans="1:17" x14ac:dyDescent="0.3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8"/>
      <c r="P1068" s="8"/>
      <c r="Q1068" s="18"/>
    </row>
    <row r="1069" spans="1:17" x14ac:dyDescent="0.3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8"/>
      <c r="P1069" s="8"/>
      <c r="Q1069" s="18"/>
    </row>
    <row r="1070" spans="1:17" x14ac:dyDescent="0.3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8"/>
      <c r="P1070" s="8"/>
      <c r="Q1070" s="18"/>
    </row>
    <row r="1071" spans="1:17" x14ac:dyDescent="0.3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8"/>
      <c r="P1071" s="8"/>
      <c r="Q1071" s="18"/>
    </row>
    <row r="1072" spans="1:17" x14ac:dyDescent="0.3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8"/>
      <c r="P1072" s="8"/>
      <c r="Q1072" s="18"/>
    </row>
    <row r="1073" spans="1:17" x14ac:dyDescent="0.3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8"/>
      <c r="P1073" s="8"/>
      <c r="Q1073" s="18"/>
    </row>
    <row r="1074" spans="1:17" x14ac:dyDescent="0.3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8"/>
      <c r="P1074" s="8"/>
      <c r="Q1074" s="18"/>
    </row>
    <row r="1075" spans="1:17" x14ac:dyDescent="0.3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8"/>
      <c r="P1075" s="8"/>
      <c r="Q1075" s="18"/>
    </row>
    <row r="1076" spans="1:17" x14ac:dyDescent="0.3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8"/>
      <c r="P1076" s="8"/>
      <c r="Q1076" s="18"/>
    </row>
    <row r="1077" spans="1:17" x14ac:dyDescent="0.3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8"/>
      <c r="P1077" s="8"/>
      <c r="Q1077" s="18"/>
    </row>
    <row r="1078" spans="1:17" x14ac:dyDescent="0.3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8"/>
      <c r="P1078" s="8"/>
      <c r="Q1078" s="18"/>
    </row>
    <row r="1079" spans="1:17" x14ac:dyDescent="0.3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8"/>
      <c r="P1079" s="8"/>
      <c r="Q1079" s="18"/>
    </row>
    <row r="1080" spans="1:17" x14ac:dyDescent="0.3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8"/>
      <c r="P1080" s="8"/>
      <c r="Q1080" s="18"/>
    </row>
    <row r="1081" spans="1:17" x14ac:dyDescent="0.3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8"/>
      <c r="P1081" s="8"/>
      <c r="Q1081" s="18"/>
    </row>
    <row r="1082" spans="1:17" x14ac:dyDescent="0.3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8"/>
      <c r="P1082" s="8"/>
      <c r="Q1082" s="18"/>
    </row>
    <row r="1083" spans="1:17" x14ac:dyDescent="0.3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8"/>
      <c r="P1083" s="8"/>
      <c r="Q1083" s="18"/>
    </row>
    <row r="1084" spans="1:17" x14ac:dyDescent="0.3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8"/>
      <c r="P1084" s="8"/>
      <c r="Q1084" s="18"/>
    </row>
    <row r="1085" spans="1:17" x14ac:dyDescent="0.3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8"/>
      <c r="P1085" s="8"/>
      <c r="Q1085" s="18"/>
    </row>
    <row r="1086" spans="1:17" x14ac:dyDescent="0.3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8"/>
      <c r="P1086" s="8"/>
      <c r="Q1086" s="18"/>
    </row>
    <row r="1087" spans="1:17" x14ac:dyDescent="0.3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8"/>
      <c r="P1087" s="8"/>
      <c r="Q1087" s="18"/>
    </row>
    <row r="1088" spans="1:17" x14ac:dyDescent="0.3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8"/>
      <c r="P1088" s="8"/>
      <c r="Q1088" s="18"/>
    </row>
    <row r="1089" spans="1:17" x14ac:dyDescent="0.3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8"/>
      <c r="P1089" s="8"/>
      <c r="Q1089" s="18"/>
    </row>
    <row r="1090" spans="1:17" x14ac:dyDescent="0.3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8"/>
      <c r="P1090" s="8"/>
      <c r="Q1090" s="18"/>
    </row>
    <row r="1091" spans="1:17" x14ac:dyDescent="0.3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8"/>
      <c r="P1091" s="8"/>
      <c r="Q1091" s="18"/>
    </row>
    <row r="1092" spans="1:17" x14ac:dyDescent="0.3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8"/>
      <c r="P1092" s="8"/>
      <c r="Q1092" s="18"/>
    </row>
    <row r="1093" spans="1:17" x14ac:dyDescent="0.3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8"/>
      <c r="P1093" s="8"/>
      <c r="Q1093" s="18"/>
    </row>
    <row r="1094" spans="1:17" x14ac:dyDescent="0.3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8"/>
      <c r="P1094" s="8"/>
      <c r="Q1094" s="18"/>
    </row>
    <row r="1095" spans="1:17" x14ac:dyDescent="0.3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8"/>
      <c r="P1095" s="8"/>
      <c r="Q1095" s="18"/>
    </row>
    <row r="1096" spans="1:17" x14ac:dyDescent="0.3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8"/>
      <c r="P1096" s="8"/>
      <c r="Q1096" s="18"/>
    </row>
    <row r="1097" spans="1:17" x14ac:dyDescent="0.3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8"/>
      <c r="P1097" s="8"/>
      <c r="Q1097" s="18"/>
    </row>
    <row r="1098" spans="1:17" x14ac:dyDescent="0.3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8"/>
      <c r="P1098" s="8"/>
      <c r="Q1098" s="18"/>
    </row>
    <row r="1099" spans="1:17" x14ac:dyDescent="0.3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8"/>
      <c r="P1099" s="8"/>
      <c r="Q1099" s="18"/>
    </row>
    <row r="1100" spans="1:17" x14ac:dyDescent="0.3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8"/>
      <c r="P1100" s="8"/>
      <c r="Q1100" s="18"/>
    </row>
    <row r="1101" spans="1:17" x14ac:dyDescent="0.3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8"/>
      <c r="P1101" s="8"/>
      <c r="Q1101" s="18"/>
    </row>
    <row r="1102" spans="1:17" x14ac:dyDescent="0.3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8"/>
      <c r="P1102" s="8"/>
      <c r="Q1102" s="18"/>
    </row>
    <row r="1103" spans="1:17" x14ac:dyDescent="0.3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8"/>
      <c r="P1103" s="8"/>
      <c r="Q1103" s="18"/>
    </row>
    <row r="1104" spans="1:17" x14ac:dyDescent="0.3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8"/>
      <c r="P1104" s="8"/>
      <c r="Q1104" s="18"/>
    </row>
    <row r="1105" spans="1:17" x14ac:dyDescent="0.3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8"/>
      <c r="P1105" s="8"/>
      <c r="Q1105" s="18"/>
    </row>
    <row r="1106" spans="1:17" x14ac:dyDescent="0.3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8"/>
      <c r="P1106" s="8"/>
      <c r="Q1106" s="18"/>
    </row>
    <row r="1107" spans="1:17" x14ac:dyDescent="0.3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8"/>
      <c r="P1107" s="8"/>
      <c r="Q1107" s="18"/>
    </row>
    <row r="1108" spans="1:17" x14ac:dyDescent="0.3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8"/>
      <c r="P1108" s="8"/>
      <c r="Q1108" s="18"/>
    </row>
    <row r="1109" spans="1:17" x14ac:dyDescent="0.3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8"/>
      <c r="P1109" s="8"/>
      <c r="Q1109" s="18"/>
    </row>
    <row r="1110" spans="1:17" x14ac:dyDescent="0.3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8"/>
      <c r="P1110" s="8"/>
      <c r="Q1110" s="18"/>
    </row>
    <row r="1111" spans="1:17" x14ac:dyDescent="0.3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8"/>
      <c r="P1111" s="8"/>
      <c r="Q1111" s="18"/>
    </row>
    <row r="1112" spans="1:17" x14ac:dyDescent="0.3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8"/>
      <c r="P1112" s="8"/>
      <c r="Q1112" s="18"/>
    </row>
    <row r="1113" spans="1:17" x14ac:dyDescent="0.3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8"/>
      <c r="P1113" s="8"/>
      <c r="Q1113" s="18"/>
    </row>
    <row r="1114" spans="1:17" x14ac:dyDescent="0.3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8"/>
      <c r="P1114" s="8"/>
      <c r="Q1114" s="18"/>
    </row>
    <row r="1115" spans="1:17" x14ac:dyDescent="0.3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8"/>
      <c r="P1115" s="8"/>
      <c r="Q1115" s="18"/>
    </row>
    <row r="1116" spans="1:17" x14ac:dyDescent="0.3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8"/>
      <c r="P1116" s="8"/>
      <c r="Q1116" s="18"/>
    </row>
    <row r="1117" spans="1:17" x14ac:dyDescent="0.3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8"/>
      <c r="P1117" s="8"/>
      <c r="Q1117" s="18"/>
    </row>
    <row r="1118" spans="1:17" x14ac:dyDescent="0.3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8"/>
      <c r="P1118" s="8"/>
      <c r="Q1118" s="18"/>
    </row>
    <row r="1119" spans="1:17" x14ac:dyDescent="0.3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8"/>
      <c r="P1119" s="8"/>
      <c r="Q1119" s="18"/>
    </row>
    <row r="1120" spans="1:17" x14ac:dyDescent="0.3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8"/>
      <c r="P1120" s="8"/>
      <c r="Q1120" s="18"/>
    </row>
    <row r="1121" spans="1:17" x14ac:dyDescent="0.3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8"/>
      <c r="P1121" s="8"/>
      <c r="Q1121" s="18"/>
    </row>
    <row r="1122" spans="1:17" x14ac:dyDescent="0.3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8"/>
      <c r="P1122" s="8"/>
      <c r="Q1122" s="18"/>
    </row>
    <row r="1123" spans="1:17" x14ac:dyDescent="0.3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8"/>
      <c r="P1123" s="8"/>
      <c r="Q1123" s="18"/>
    </row>
    <row r="1124" spans="1:17" x14ac:dyDescent="0.3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8"/>
      <c r="P1124" s="8"/>
      <c r="Q1124" s="18"/>
    </row>
    <row r="1125" spans="1:17" x14ac:dyDescent="0.3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8"/>
      <c r="P1125" s="8"/>
      <c r="Q1125" s="18"/>
    </row>
    <row r="1126" spans="1:17" x14ac:dyDescent="0.3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8"/>
      <c r="P1126" s="8"/>
      <c r="Q1126" s="18"/>
    </row>
    <row r="1127" spans="1:17" x14ac:dyDescent="0.3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8"/>
      <c r="P1127" s="8"/>
      <c r="Q1127" s="18"/>
    </row>
    <row r="1128" spans="1:17" x14ac:dyDescent="0.3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8"/>
      <c r="P1128" s="8"/>
      <c r="Q1128" s="18"/>
    </row>
    <row r="1129" spans="1:17" x14ac:dyDescent="0.3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8"/>
      <c r="P1129" s="8"/>
      <c r="Q1129" s="18"/>
    </row>
    <row r="1130" spans="1:17" x14ac:dyDescent="0.3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8"/>
      <c r="P1130" s="8"/>
      <c r="Q1130" s="18"/>
    </row>
    <row r="1131" spans="1:17" x14ac:dyDescent="0.3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8"/>
      <c r="P1131" s="8"/>
      <c r="Q1131" s="18"/>
    </row>
    <row r="1132" spans="1:17" x14ac:dyDescent="0.3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8"/>
      <c r="P1132" s="8"/>
      <c r="Q1132" s="18"/>
    </row>
    <row r="1133" spans="1:17" x14ac:dyDescent="0.3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8"/>
      <c r="P1133" s="8"/>
      <c r="Q1133" s="18"/>
    </row>
    <row r="1134" spans="1:17" x14ac:dyDescent="0.3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8"/>
      <c r="P1134" s="8"/>
      <c r="Q1134" s="18"/>
    </row>
    <row r="1135" spans="1:17" x14ac:dyDescent="0.3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8"/>
      <c r="P1135" s="8"/>
      <c r="Q1135" s="18"/>
    </row>
    <row r="1136" spans="1:17" x14ac:dyDescent="0.3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8"/>
      <c r="P1136" s="8"/>
      <c r="Q1136" s="18"/>
    </row>
    <row r="1137" spans="1:17" x14ac:dyDescent="0.3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8"/>
      <c r="P1137" s="8"/>
      <c r="Q1137" s="18"/>
    </row>
    <row r="1138" spans="1:17" x14ac:dyDescent="0.3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8"/>
      <c r="P1138" s="8"/>
      <c r="Q1138" s="18"/>
    </row>
    <row r="1139" spans="1:17" x14ac:dyDescent="0.3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8"/>
      <c r="P1139" s="8"/>
      <c r="Q1139" s="18"/>
    </row>
    <row r="1140" spans="1:17" x14ac:dyDescent="0.3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8"/>
      <c r="P1140" s="8"/>
      <c r="Q1140" s="18"/>
    </row>
    <row r="1141" spans="1:17" x14ac:dyDescent="0.3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8"/>
      <c r="P1141" s="8"/>
      <c r="Q1141" s="18"/>
    </row>
    <row r="1142" spans="1:17" x14ac:dyDescent="0.3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8"/>
      <c r="P1142" s="8"/>
      <c r="Q1142" s="18"/>
    </row>
    <row r="1143" spans="1:17" x14ac:dyDescent="0.3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8"/>
      <c r="P1143" s="8"/>
      <c r="Q1143" s="18"/>
    </row>
    <row r="1144" spans="1:17" x14ac:dyDescent="0.3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8"/>
      <c r="P1144" s="8"/>
      <c r="Q1144" s="18"/>
    </row>
    <row r="1145" spans="1:17" x14ac:dyDescent="0.3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8"/>
      <c r="P1145" s="8"/>
      <c r="Q1145" s="18"/>
    </row>
    <row r="1146" spans="1:17" x14ac:dyDescent="0.3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8"/>
      <c r="P1146" s="8"/>
      <c r="Q1146" s="18"/>
    </row>
    <row r="1147" spans="1:17" x14ac:dyDescent="0.3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8"/>
      <c r="P1147" s="8"/>
      <c r="Q1147" s="18"/>
    </row>
    <row r="1148" spans="1:17" x14ac:dyDescent="0.3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8"/>
      <c r="P1148" s="8"/>
      <c r="Q1148" s="18"/>
    </row>
    <row r="1149" spans="1:17" x14ac:dyDescent="0.3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8"/>
      <c r="P1149" s="8"/>
      <c r="Q1149" s="18"/>
    </row>
    <row r="1150" spans="1:17" x14ac:dyDescent="0.3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8"/>
      <c r="P1150" s="8"/>
      <c r="Q1150" s="18"/>
    </row>
    <row r="1151" spans="1:17" x14ac:dyDescent="0.3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8"/>
      <c r="P1151" s="8"/>
      <c r="Q1151" s="18"/>
    </row>
    <row r="1152" spans="1:17" x14ac:dyDescent="0.3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8"/>
      <c r="P1152" s="8"/>
      <c r="Q1152" s="18"/>
    </row>
    <row r="1153" spans="1:17" x14ac:dyDescent="0.3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8"/>
      <c r="P1153" s="8"/>
      <c r="Q1153" s="18"/>
    </row>
    <row r="1154" spans="1:17" x14ac:dyDescent="0.3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8"/>
      <c r="P1154" s="8"/>
      <c r="Q1154" s="18"/>
    </row>
    <row r="1155" spans="1:17" x14ac:dyDescent="0.3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8"/>
      <c r="P1155" s="8"/>
      <c r="Q1155" s="18"/>
    </row>
    <row r="1156" spans="1:17" x14ac:dyDescent="0.3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8"/>
      <c r="P1156" s="8"/>
      <c r="Q1156" s="18"/>
    </row>
    <row r="1157" spans="1:17" x14ac:dyDescent="0.3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8"/>
      <c r="P1157" s="8"/>
      <c r="Q1157" s="18"/>
    </row>
    <row r="1158" spans="1:17" x14ac:dyDescent="0.3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8"/>
      <c r="P1158" s="8"/>
      <c r="Q1158" s="18"/>
    </row>
    <row r="1159" spans="1:17" x14ac:dyDescent="0.3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8"/>
      <c r="P1159" s="8"/>
      <c r="Q1159" s="18"/>
    </row>
    <row r="1160" spans="1:17" x14ac:dyDescent="0.3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8"/>
      <c r="P1160" s="8"/>
      <c r="Q1160" s="18"/>
    </row>
    <row r="1161" spans="1:17" x14ac:dyDescent="0.3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8"/>
      <c r="P1161" s="8"/>
      <c r="Q1161" s="18"/>
    </row>
    <row r="1162" spans="1:17" x14ac:dyDescent="0.3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8"/>
      <c r="P1162" s="8"/>
      <c r="Q1162" s="18"/>
    </row>
    <row r="1163" spans="1:17" x14ac:dyDescent="0.3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8"/>
      <c r="P1163" s="8"/>
      <c r="Q1163" s="18"/>
    </row>
    <row r="1164" spans="1:17" x14ac:dyDescent="0.3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8"/>
      <c r="P1164" s="8"/>
      <c r="Q1164" s="18"/>
    </row>
    <row r="1165" spans="1:17" x14ac:dyDescent="0.3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8"/>
      <c r="P1165" s="8"/>
      <c r="Q1165" s="18"/>
    </row>
    <row r="1166" spans="1:17" x14ac:dyDescent="0.3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8"/>
      <c r="P1166" s="8"/>
      <c r="Q1166" s="18"/>
    </row>
    <row r="1167" spans="1:17" x14ac:dyDescent="0.3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8"/>
      <c r="P1167" s="8"/>
      <c r="Q1167" s="18"/>
    </row>
    <row r="1168" spans="1:17" x14ac:dyDescent="0.3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8"/>
      <c r="P1168" s="8"/>
      <c r="Q1168" s="18"/>
    </row>
    <row r="1169" spans="1:17" x14ac:dyDescent="0.3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8"/>
      <c r="P1169" s="8"/>
      <c r="Q1169" s="18"/>
    </row>
    <row r="1170" spans="1:17" x14ac:dyDescent="0.3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8"/>
      <c r="P1170" s="8"/>
      <c r="Q1170" s="18"/>
    </row>
    <row r="1171" spans="1:17" x14ac:dyDescent="0.3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8"/>
      <c r="P1171" s="8"/>
      <c r="Q1171" s="18"/>
    </row>
    <row r="1172" spans="1:17" x14ac:dyDescent="0.3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8"/>
      <c r="P1172" s="8"/>
      <c r="Q1172" s="18"/>
    </row>
    <row r="1173" spans="1:17" x14ac:dyDescent="0.3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8"/>
      <c r="P1173" s="8"/>
      <c r="Q1173" s="18"/>
    </row>
    <row r="1174" spans="1:17" x14ac:dyDescent="0.3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8"/>
      <c r="P1174" s="8"/>
      <c r="Q1174" s="18"/>
    </row>
    <row r="1175" spans="1:17" x14ac:dyDescent="0.3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8"/>
      <c r="P1175" s="8"/>
      <c r="Q1175" s="18"/>
    </row>
    <row r="1176" spans="1:17" x14ac:dyDescent="0.3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8"/>
      <c r="P1176" s="8"/>
      <c r="Q1176" s="18"/>
    </row>
    <row r="1177" spans="1:17" x14ac:dyDescent="0.3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8"/>
      <c r="P1177" s="8"/>
      <c r="Q1177" s="18"/>
    </row>
    <row r="1178" spans="1:17" x14ac:dyDescent="0.3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8"/>
      <c r="P1178" s="8"/>
      <c r="Q1178" s="18"/>
    </row>
    <row r="1179" spans="1:17" x14ac:dyDescent="0.3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8"/>
      <c r="P1179" s="8"/>
      <c r="Q1179" s="18"/>
    </row>
    <row r="1180" spans="1:17" x14ac:dyDescent="0.3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8"/>
      <c r="P1180" s="8"/>
      <c r="Q1180" s="18"/>
    </row>
    <row r="1181" spans="1:17" x14ac:dyDescent="0.3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8"/>
      <c r="P1181" s="8"/>
      <c r="Q1181" s="18"/>
    </row>
    <row r="1182" spans="1:17" x14ac:dyDescent="0.3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8"/>
      <c r="P1182" s="8"/>
      <c r="Q1182" s="18"/>
    </row>
    <row r="1183" spans="1:17" x14ac:dyDescent="0.3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8"/>
      <c r="P1183" s="8"/>
      <c r="Q1183" s="18"/>
    </row>
    <row r="1184" spans="1:17" x14ac:dyDescent="0.3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8"/>
      <c r="P1184" s="8"/>
      <c r="Q1184" s="18"/>
    </row>
    <row r="1185" spans="1:17" x14ac:dyDescent="0.3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8"/>
      <c r="P1185" s="8"/>
      <c r="Q1185" s="18"/>
    </row>
    <row r="1186" spans="1:17" x14ac:dyDescent="0.3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8"/>
      <c r="P1186" s="8"/>
      <c r="Q1186" s="18"/>
    </row>
    <row r="1187" spans="1:17" x14ac:dyDescent="0.3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8"/>
      <c r="P1187" s="8"/>
      <c r="Q1187" s="18"/>
    </row>
    <row r="1188" spans="1:17" x14ac:dyDescent="0.3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8"/>
      <c r="P1188" s="8"/>
      <c r="Q1188" s="18"/>
    </row>
    <row r="1189" spans="1:17" x14ac:dyDescent="0.3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8"/>
      <c r="P1189" s="8"/>
      <c r="Q1189" s="18"/>
    </row>
    <row r="1190" spans="1:17" x14ac:dyDescent="0.3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8"/>
      <c r="P1190" s="8"/>
      <c r="Q1190" s="18"/>
    </row>
    <row r="1191" spans="1:17" x14ac:dyDescent="0.3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8"/>
      <c r="P1191" s="8"/>
      <c r="Q1191" s="18"/>
    </row>
    <row r="1192" spans="1:17" x14ac:dyDescent="0.3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8"/>
      <c r="P1192" s="8"/>
      <c r="Q1192" s="18"/>
    </row>
    <row r="1193" spans="1:17" x14ac:dyDescent="0.3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8"/>
      <c r="P1193" s="8"/>
      <c r="Q1193" s="18"/>
    </row>
    <row r="1194" spans="1:17" x14ac:dyDescent="0.3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8"/>
      <c r="P1194" s="8"/>
      <c r="Q1194" s="18"/>
    </row>
    <row r="1195" spans="1:17" x14ac:dyDescent="0.3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8"/>
      <c r="P1195" s="8"/>
      <c r="Q1195" s="18"/>
    </row>
    <row r="1196" spans="1:17" x14ac:dyDescent="0.3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8"/>
      <c r="P1196" s="8"/>
      <c r="Q1196" s="18"/>
    </row>
    <row r="1197" spans="1:17" x14ac:dyDescent="0.3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8"/>
      <c r="P1197" s="8"/>
      <c r="Q1197" s="18"/>
    </row>
    <row r="1198" spans="1:17" x14ac:dyDescent="0.3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8"/>
      <c r="P1198" s="8"/>
      <c r="Q1198" s="18"/>
    </row>
    <row r="1199" spans="1:17" x14ac:dyDescent="0.3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8"/>
      <c r="P1199" s="8"/>
      <c r="Q1199" s="18"/>
    </row>
    <row r="1200" spans="1:17" x14ac:dyDescent="0.3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8"/>
      <c r="P1200" s="8"/>
      <c r="Q1200" s="18"/>
    </row>
    <row r="1201" spans="1:17" x14ac:dyDescent="0.3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8"/>
      <c r="P1201" s="8"/>
      <c r="Q1201" s="18"/>
    </row>
    <row r="1202" spans="1:17" x14ac:dyDescent="0.3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8"/>
      <c r="P1202" s="8"/>
      <c r="Q1202" s="18"/>
    </row>
    <row r="1203" spans="1:17" x14ac:dyDescent="0.3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8"/>
      <c r="P1203" s="8"/>
      <c r="Q1203" s="18"/>
    </row>
    <row r="1204" spans="1:17" x14ac:dyDescent="0.3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8"/>
      <c r="P1204" s="8"/>
      <c r="Q1204" s="18"/>
    </row>
    <row r="1205" spans="1:17" x14ac:dyDescent="0.3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8"/>
      <c r="P1205" s="8"/>
      <c r="Q1205" s="18"/>
    </row>
    <row r="1206" spans="1:17" x14ac:dyDescent="0.3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8"/>
      <c r="P1206" s="8"/>
      <c r="Q1206" s="18"/>
    </row>
    <row r="1207" spans="1:17" x14ac:dyDescent="0.3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8"/>
      <c r="P1207" s="8"/>
      <c r="Q1207" s="18"/>
    </row>
    <row r="1208" spans="1:17" x14ac:dyDescent="0.3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8"/>
      <c r="P1208" s="8"/>
      <c r="Q1208" s="18"/>
    </row>
    <row r="1209" spans="1:17" x14ac:dyDescent="0.3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8"/>
      <c r="P1209" s="8"/>
      <c r="Q1209" s="18"/>
    </row>
    <row r="1210" spans="1:17" x14ac:dyDescent="0.3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8"/>
      <c r="P1210" s="8"/>
      <c r="Q1210" s="18"/>
    </row>
    <row r="1211" spans="1:17" x14ac:dyDescent="0.3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8"/>
      <c r="P1211" s="8"/>
      <c r="Q1211" s="18"/>
    </row>
    <row r="1212" spans="1:17" x14ac:dyDescent="0.3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8"/>
      <c r="P1212" s="8"/>
      <c r="Q1212" s="18"/>
    </row>
    <row r="1213" spans="1:17" x14ac:dyDescent="0.3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8"/>
      <c r="P1213" s="8"/>
      <c r="Q1213" s="18"/>
    </row>
    <row r="1214" spans="1:17" x14ac:dyDescent="0.3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8"/>
      <c r="P1214" s="8"/>
      <c r="Q1214" s="18"/>
    </row>
    <row r="1215" spans="1:17" x14ac:dyDescent="0.3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8"/>
      <c r="P1215" s="8"/>
      <c r="Q1215" s="18"/>
    </row>
    <row r="1216" spans="1:17" x14ac:dyDescent="0.3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8"/>
      <c r="P1216" s="8"/>
      <c r="Q1216" s="18"/>
    </row>
    <row r="1217" spans="1:17" x14ac:dyDescent="0.3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8"/>
      <c r="P1217" s="8"/>
      <c r="Q1217" s="18"/>
    </row>
    <row r="1218" spans="1:17" x14ac:dyDescent="0.3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8"/>
      <c r="P1218" s="8"/>
      <c r="Q1218" s="18"/>
    </row>
    <row r="1219" spans="1:17" x14ac:dyDescent="0.3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8"/>
      <c r="P1219" s="8"/>
      <c r="Q1219" s="18"/>
    </row>
    <row r="1220" spans="1:17" x14ac:dyDescent="0.3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8"/>
      <c r="P1220" s="8"/>
      <c r="Q1220" s="18"/>
    </row>
    <row r="1221" spans="1:17" x14ac:dyDescent="0.3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8"/>
      <c r="P1221" s="8"/>
      <c r="Q1221" s="18"/>
    </row>
    <row r="1222" spans="1:17" x14ac:dyDescent="0.3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8"/>
      <c r="P1222" s="8"/>
      <c r="Q1222" s="18"/>
    </row>
    <row r="1223" spans="1:17" x14ac:dyDescent="0.3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8"/>
      <c r="P1223" s="8"/>
      <c r="Q1223" s="18"/>
    </row>
  </sheetData>
  <autoFilter ref="A1:S135" xr:uid="{00000000-0009-0000-0000-000001000000}"/>
  <mergeCells count="5">
    <mergeCell ref="Q1:S1"/>
    <mergeCell ref="T1:V1"/>
    <mergeCell ref="W1:Y1"/>
    <mergeCell ref="Z1:AB1"/>
    <mergeCell ref="AC1:AE1"/>
  </mergeCells>
  <phoneticPr fontId="43" type="noConversion"/>
  <pageMargins left="0.70866141732283472" right="0.70866141732283472" top="0.74803149606299213" bottom="0.74803149606299213" header="0.31496062992125984" footer="0.31496062992125984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C000"/>
  </sheetPr>
  <dimension ref="A1:CW40"/>
  <sheetViews>
    <sheetView view="pageBreakPreview" zoomScaleNormal="100" zoomScaleSheetLayoutView="100" workbookViewId="0">
      <selection activeCell="F23" sqref="F23:J23"/>
    </sheetView>
  </sheetViews>
  <sheetFormatPr defaultColWidth="9.109375" defaultRowHeight="15.6" x14ac:dyDescent="0.3"/>
  <cols>
    <col min="1" max="1" width="14" style="5" customWidth="1"/>
    <col min="2" max="2" width="9.33203125" style="5" customWidth="1"/>
    <col min="3" max="3" width="2.6640625" style="5" customWidth="1"/>
    <col min="4" max="4" width="15.109375" style="5" customWidth="1"/>
    <col min="5" max="5" width="25" style="5" customWidth="1"/>
    <col min="6" max="6" width="9.109375" style="5"/>
    <col min="7" max="7" width="11.33203125" style="5" customWidth="1"/>
    <col min="8" max="8" width="2.109375" style="5" customWidth="1"/>
    <col min="9" max="9" width="7.33203125" style="5" customWidth="1"/>
    <col min="10" max="10" width="15.6640625" style="5" customWidth="1"/>
    <col min="11" max="11" width="2" style="5" customWidth="1"/>
    <col min="12" max="12" width="12.44140625" style="2" customWidth="1"/>
    <col min="13" max="13" width="11.88671875" style="2" customWidth="1"/>
    <col min="14" max="14" width="28.88671875" style="4" customWidth="1"/>
    <col min="15" max="101" width="9.109375" style="4"/>
    <col min="102" max="16384" width="9.109375" style="5"/>
  </cols>
  <sheetData>
    <row r="1" spans="1:23" ht="24.75" customHeight="1" x14ac:dyDescent="0.3">
      <c r="A1" s="36" t="s">
        <v>12</v>
      </c>
      <c r="D1" s="152" t="s">
        <v>7</v>
      </c>
      <c r="E1" s="152"/>
      <c r="F1" s="153" t="str">
        <f>CONCATENATE(VLOOKUP(K1,'ВК ЭОМ'!A3:A102,1,FALSE),"/",N1)</f>
        <v>4/ЭОМ</v>
      </c>
      <c r="G1" s="154"/>
      <c r="H1" s="19"/>
      <c r="K1" s="200">
        <v>4</v>
      </c>
      <c r="L1" s="201"/>
      <c r="M1" s="201"/>
      <c r="N1" s="23" t="s">
        <v>714</v>
      </c>
    </row>
    <row r="2" spans="1:23" ht="22.95" customHeight="1" x14ac:dyDescent="0.3">
      <c r="D2" s="20"/>
      <c r="G2" s="21" t="s">
        <v>9</v>
      </c>
      <c r="H2" s="202" t="str">
        <f>VLOOKUP(K1,'ВК ЭОМ'!A3:O102,7,FALSE)</f>
        <v>15.06.2023г.</v>
      </c>
      <c r="I2" s="202"/>
      <c r="J2" s="202"/>
      <c r="K2" s="200"/>
      <c r="L2" s="201"/>
      <c r="M2" s="201"/>
      <c r="N2" s="31"/>
    </row>
    <row r="3" spans="1:23" ht="15" customHeight="1" x14ac:dyDescent="0.3">
      <c r="K3" s="201"/>
      <c r="L3" s="201"/>
      <c r="M3" s="201"/>
      <c r="N3" s="32"/>
    </row>
    <row r="4" spans="1:23" ht="40.200000000000003" customHeight="1" x14ac:dyDescent="0.3">
      <c r="A4" s="186" t="s">
        <v>22</v>
      </c>
      <c r="B4" s="186"/>
      <c r="C4" s="186"/>
      <c r="D4" s="186"/>
      <c r="E4" s="186"/>
      <c r="F4" s="168" t="s">
        <v>10</v>
      </c>
      <c r="G4" s="168"/>
      <c r="H4" s="168"/>
      <c r="I4" s="168"/>
      <c r="J4" s="168"/>
      <c r="K4" s="201"/>
      <c r="L4" s="201"/>
      <c r="M4" s="201"/>
      <c r="N4" s="32"/>
    </row>
    <row r="5" spans="1:23" ht="45.6" customHeight="1" x14ac:dyDescent="0.3">
      <c r="A5" s="186" t="s">
        <v>23</v>
      </c>
      <c r="B5" s="186"/>
      <c r="C5" s="186"/>
      <c r="D5" s="186"/>
      <c r="E5" s="186"/>
      <c r="F5" s="162" t="str">
        <f>VLOOKUP(K1,'ВК ЭОМ'!A3:M102,2,FALSE)</f>
        <v>Кабель ППГнг(А)-FRHF 5х16</v>
      </c>
      <c r="G5" s="175"/>
      <c r="H5" s="175"/>
      <c r="I5" s="175"/>
      <c r="J5" s="176"/>
      <c r="K5" s="201"/>
      <c r="L5" s="201"/>
      <c r="M5" s="201"/>
      <c r="N5" s="32"/>
    </row>
    <row r="6" spans="1:23" ht="40.200000000000003" customHeight="1" x14ac:dyDescent="0.3">
      <c r="A6" s="186" t="s">
        <v>24</v>
      </c>
      <c r="B6" s="186"/>
      <c r="C6" s="186"/>
      <c r="D6" s="186"/>
      <c r="E6" s="186"/>
      <c r="F6" s="162" t="str">
        <f>VLOOKUP(K1,'ВК ЭОМ'!A3:Q102,3,FALSE)</f>
        <v>№3-509</v>
      </c>
      <c r="G6" s="175"/>
      <c r="H6" s="175"/>
      <c r="I6" s="175"/>
      <c r="J6" s="176"/>
      <c r="K6" s="201"/>
      <c r="L6" s="201"/>
      <c r="M6" s="201"/>
      <c r="N6" s="32"/>
      <c r="O6" s="30"/>
      <c r="P6" s="30"/>
      <c r="Q6" s="30"/>
      <c r="R6" s="190"/>
      <c r="S6" s="190"/>
      <c r="T6" s="190"/>
      <c r="U6" s="190"/>
      <c r="V6" s="190"/>
      <c r="W6" s="190"/>
    </row>
    <row r="7" spans="1:23" ht="35.4" customHeight="1" x14ac:dyDescent="0.3">
      <c r="A7" s="186" t="s">
        <v>25</v>
      </c>
      <c r="B7" s="186"/>
      <c r="C7" s="186"/>
      <c r="D7" s="186"/>
      <c r="E7" s="186"/>
      <c r="F7" s="162" t="str">
        <f>VLOOKUP(K1,'ВК ЭОМ'!A3:O102,4,FALSE)</f>
        <v>ООО "КЗ ПЕРЕСВЕТ"</v>
      </c>
      <c r="G7" s="175"/>
      <c r="H7" s="175"/>
      <c r="I7" s="175"/>
      <c r="J7" s="176"/>
      <c r="K7" s="201"/>
      <c r="L7" s="201"/>
      <c r="M7" s="201"/>
      <c r="N7" s="32"/>
    </row>
    <row r="8" spans="1:23" ht="30" customHeight="1" x14ac:dyDescent="0.3">
      <c r="A8" s="186" t="s">
        <v>26</v>
      </c>
      <c r="B8" s="186"/>
      <c r="C8" s="186"/>
      <c r="D8" s="186"/>
      <c r="E8" s="186"/>
      <c r="F8" s="162" t="str">
        <f>VLOOKUP(K1,'ВК ЭОМ'!A3:Q102,9,FALSE)</f>
        <v>03.2020г.</v>
      </c>
      <c r="G8" s="175"/>
      <c r="H8" s="175"/>
      <c r="I8" s="175"/>
      <c r="J8" s="176"/>
      <c r="K8" s="201"/>
      <c r="L8" s="201"/>
      <c r="M8" s="201"/>
      <c r="N8" s="32"/>
    </row>
    <row r="9" spans="1:23" ht="32.4" customHeight="1" x14ac:dyDescent="0.3">
      <c r="A9" s="169" t="s">
        <v>27</v>
      </c>
      <c r="B9" s="170"/>
      <c r="C9" s="170"/>
      <c r="D9" s="170"/>
      <c r="E9" s="171"/>
      <c r="F9" s="162" t="str">
        <f>VLOOKUP(K1,'ВК ЭОМ'!A3:M102,5,FALSE)</f>
        <v>ООО "СевКомНефтегаз"</v>
      </c>
      <c r="G9" s="175"/>
      <c r="H9" s="175"/>
      <c r="I9" s="175"/>
      <c r="J9" s="176"/>
      <c r="L9" s="7"/>
      <c r="M9" s="3"/>
    </row>
    <row r="10" spans="1:23" ht="41.25" customHeight="1" x14ac:dyDescent="0.3">
      <c r="A10" s="206" t="s">
        <v>0</v>
      </c>
      <c r="B10" s="207"/>
      <c r="C10" s="159" t="str">
        <f>VLOOKUP(K1,'ВК ЭОМ'!A3:Q102,13,FALSE)</f>
        <v>№2001/ВЖК от 20.01.2023г.</v>
      </c>
      <c r="D10" s="160"/>
      <c r="E10" s="161"/>
      <c r="F10" s="155" t="s">
        <v>4</v>
      </c>
      <c r="G10" s="156"/>
      <c r="H10" s="162" t="str">
        <f>VLOOKUP(K1,'ВК ЭОМ'!A3:Q102,6,FALSE)</f>
        <v>20 м</v>
      </c>
      <c r="I10" s="175"/>
      <c r="J10" s="176"/>
    </row>
    <row r="11" spans="1:23" ht="17.25" customHeight="1" x14ac:dyDescent="0.3">
      <c r="A11" s="165" t="s">
        <v>17</v>
      </c>
      <c r="B11" s="166"/>
      <c r="C11" s="166"/>
      <c r="D11" s="166"/>
      <c r="E11" s="167"/>
      <c r="F11" s="168" t="str">
        <f>VLOOKUP(K1,'ВК ЭОМ'!A3:Q102,10,FALSE)</f>
        <v>январь 2023г.</v>
      </c>
      <c r="G11" s="168"/>
      <c r="H11" s="168"/>
      <c r="I11" s="168"/>
      <c r="J11" s="168"/>
    </row>
    <row r="12" spans="1:23" ht="17.25" customHeight="1" x14ac:dyDescent="0.3">
      <c r="A12" s="177" t="s">
        <v>18</v>
      </c>
      <c r="B12" s="178"/>
      <c r="C12" s="178"/>
      <c r="D12" s="178"/>
      <c r="E12" s="179"/>
      <c r="F12" s="197" t="str">
        <f>VLOOKUP(K1,'ВК ЭОМ'!A3:O102,15,FALSE)</f>
        <v>-</v>
      </c>
      <c r="G12" s="198"/>
      <c r="H12" s="198"/>
      <c r="I12" s="198"/>
      <c r="J12" s="199"/>
    </row>
    <row r="13" spans="1:23" ht="17.25" customHeight="1" x14ac:dyDescent="0.3">
      <c r="A13" s="177" t="s">
        <v>19</v>
      </c>
      <c r="B13" s="178"/>
      <c r="C13" s="178"/>
      <c r="D13" s="178"/>
      <c r="E13" s="179"/>
      <c r="F13" s="180" t="s">
        <v>34</v>
      </c>
      <c r="G13" s="181"/>
      <c r="H13" s="181"/>
      <c r="I13" s="181"/>
      <c r="J13" s="182"/>
    </row>
    <row r="14" spans="1:23" ht="43.5" customHeight="1" x14ac:dyDescent="0.3">
      <c r="A14" s="169" t="s">
        <v>20</v>
      </c>
      <c r="B14" s="170"/>
      <c r="C14" s="170"/>
      <c r="D14" s="171"/>
      <c r="E14" s="187" t="s">
        <v>715</v>
      </c>
      <c r="F14" s="188"/>
      <c r="G14" s="188"/>
      <c r="H14" s="188"/>
      <c r="I14" s="188"/>
      <c r="J14" s="189"/>
    </row>
    <row r="15" spans="1:23" ht="33" customHeight="1" x14ac:dyDescent="0.3">
      <c r="A15" s="186" t="s">
        <v>21</v>
      </c>
      <c r="B15" s="186"/>
      <c r="C15" s="159" t="str">
        <f>VLOOKUP(K1,'ВК ЭОМ'!A4:Q102,12,FALSE)</f>
        <v>588-19-2-ЭОМ.СО ред. 11 л.8</v>
      </c>
      <c r="D15" s="160"/>
      <c r="E15" s="160"/>
      <c r="F15" s="160"/>
      <c r="G15" s="160"/>
      <c r="H15" s="160"/>
      <c r="I15" s="160"/>
      <c r="J15" s="161"/>
      <c r="K15" s="5" t="s">
        <v>35</v>
      </c>
    </row>
    <row r="16" spans="1:23" ht="45" customHeight="1" x14ac:dyDescent="0.3">
      <c r="A16" s="191" t="s">
        <v>28</v>
      </c>
      <c r="B16" s="192"/>
      <c r="C16" s="192"/>
      <c r="D16" s="192"/>
      <c r="E16" s="193"/>
      <c r="F16" s="168" t="str">
        <f>VLOOKUP(K1,'ВК ЭОМ'!A3:Q102,11,FALSE)</f>
        <v>ТУ 27.32.13-003-06953238-2018
ГОСТ 31996-2012</v>
      </c>
      <c r="G16" s="168"/>
      <c r="H16" s="168"/>
      <c r="I16" s="168"/>
      <c r="J16" s="168"/>
    </row>
    <row r="17" spans="1:14" ht="21" customHeight="1" x14ac:dyDescent="0.3">
      <c r="A17" s="194"/>
      <c r="B17" s="195"/>
      <c r="C17" s="195"/>
      <c r="D17" s="195"/>
      <c r="E17" s="196"/>
      <c r="F17" s="162" t="str">
        <f>VLOOKUP(K1,'ВК ЭОМ'!A3:Q102,12,FALSE)</f>
        <v>588-19-2-ЭОМ.СО ред. 11 л.8</v>
      </c>
      <c r="G17" s="175"/>
      <c r="H17" s="175"/>
      <c r="I17" s="175"/>
      <c r="J17" s="176"/>
      <c r="K17" s="5" t="s">
        <v>35</v>
      </c>
    </row>
    <row r="18" spans="1:14" ht="25.2" customHeight="1" x14ac:dyDescent="0.3">
      <c r="A18" s="186" t="s">
        <v>14</v>
      </c>
      <c r="B18" s="186"/>
      <c r="C18" s="186"/>
      <c r="D18" s="186"/>
      <c r="E18" s="186"/>
      <c r="F18" s="186"/>
      <c r="G18" s="186"/>
      <c r="H18" s="168" t="s">
        <v>1</v>
      </c>
      <c r="I18" s="168"/>
      <c r="J18" s="168"/>
    </row>
    <row r="19" spans="1:14" ht="25.2" customHeight="1" x14ac:dyDescent="0.3">
      <c r="A19" s="169" t="s">
        <v>15</v>
      </c>
      <c r="B19" s="170"/>
      <c r="C19" s="170"/>
      <c r="D19" s="170"/>
      <c r="E19" s="170"/>
      <c r="F19" s="170"/>
      <c r="G19" s="170"/>
      <c r="H19" s="170"/>
      <c r="I19" s="170"/>
      <c r="J19" s="171"/>
    </row>
    <row r="20" spans="1:14" ht="25.2" customHeight="1" x14ac:dyDescent="0.3">
      <c r="A20" s="169" t="s">
        <v>16</v>
      </c>
      <c r="B20" s="170"/>
      <c r="C20" s="170"/>
      <c r="D20" s="170"/>
      <c r="E20" s="170"/>
      <c r="F20" s="170"/>
      <c r="G20" s="170"/>
      <c r="H20" s="170"/>
      <c r="I20" s="170"/>
      <c r="J20" s="171"/>
    </row>
    <row r="21" spans="1:14" ht="16.95" customHeight="1" x14ac:dyDescent="0.3">
      <c r="A21" s="183" t="s">
        <v>303</v>
      </c>
      <c r="B21" s="184"/>
      <c r="C21" s="184"/>
      <c r="D21" s="184"/>
      <c r="E21" s="184"/>
      <c r="F21" s="184"/>
      <c r="G21" s="184"/>
      <c r="H21" s="184"/>
      <c r="I21" s="184"/>
      <c r="J21" s="185"/>
    </row>
    <row r="22" spans="1:14" x14ac:dyDescent="0.3">
      <c r="A22" s="155" t="s">
        <v>3</v>
      </c>
      <c r="B22" s="156"/>
      <c r="C22" s="162" t="s">
        <v>34</v>
      </c>
      <c r="D22" s="163"/>
      <c r="E22" s="163"/>
      <c r="F22" s="163"/>
      <c r="G22" s="163"/>
      <c r="H22" s="163"/>
      <c r="I22" s="163"/>
      <c r="J22" s="164"/>
    </row>
    <row r="23" spans="1:14" ht="46.8" customHeight="1" x14ac:dyDescent="0.3">
      <c r="A23" s="157"/>
      <c r="B23" s="158"/>
      <c r="C23" s="172" t="s">
        <v>6</v>
      </c>
      <c r="D23" s="173"/>
      <c r="E23" s="174"/>
      <c r="F23" s="162" t="str">
        <f>VLOOKUP(K1,'ВК ЭОМ'!A3:Q102,13,FALSE)</f>
        <v>№2001/ВЖК от 20.01.2023г.</v>
      </c>
      <c r="G23" s="175"/>
      <c r="H23" s="175"/>
      <c r="I23" s="175"/>
      <c r="J23" s="176"/>
    </row>
    <row r="24" spans="1:14" ht="49.5" customHeight="1" x14ac:dyDescent="0.3">
      <c r="A24" s="157"/>
      <c r="B24" s="158"/>
      <c r="C24" s="159" t="str">
        <f>VLOOKUP(K1,'ВК ЭОМ'!A3:Q102,14,FALSE)</f>
        <v>Паспорт качества №1298 от 03.2020г.;
Сертификат соответствия № ЕАЭС RU C-RU.НА75.В.00428/20 от 30.04.2020г.</v>
      </c>
      <c r="D24" s="160"/>
      <c r="E24" s="160"/>
      <c r="F24" s="160"/>
      <c r="G24" s="160"/>
      <c r="H24" s="160"/>
      <c r="I24" s="160"/>
      <c r="J24" s="161"/>
    </row>
    <row r="25" spans="1:14" ht="24" customHeight="1" x14ac:dyDescent="0.3">
      <c r="A25" s="211" t="s">
        <v>2</v>
      </c>
      <c r="B25" s="211"/>
      <c r="C25" s="211"/>
      <c r="D25" s="211"/>
      <c r="E25" s="209"/>
      <c r="F25" s="212"/>
      <c r="G25" s="212"/>
      <c r="H25" s="212"/>
      <c r="I25" s="212"/>
      <c r="J25" s="210"/>
    </row>
    <row r="26" spans="1:14" ht="34.950000000000003" customHeight="1" x14ac:dyDescent="0.3">
      <c r="A26" s="22" t="str">
        <f>H2</f>
        <v>15.06.2023г.</v>
      </c>
      <c r="B26" s="159" t="s">
        <v>33</v>
      </c>
      <c r="C26" s="160"/>
      <c r="D26" s="160"/>
      <c r="E26" s="161"/>
      <c r="F26" s="162" t="str">
        <f>N26</f>
        <v>Абраменко Д.Г.</v>
      </c>
      <c r="G26" s="175"/>
      <c r="H26" s="176"/>
      <c r="I26" s="209"/>
      <c r="J26" s="210"/>
      <c r="L26" s="2" t="s">
        <v>5</v>
      </c>
      <c r="M26" s="6" t="s">
        <v>31</v>
      </c>
      <c r="N26" s="2" t="s">
        <v>32</v>
      </c>
    </row>
    <row r="27" spans="1:14" ht="34.950000000000003" customHeight="1" x14ac:dyDescent="0.3">
      <c r="A27" s="22" t="str">
        <f>A26</f>
        <v>15.06.2023г.</v>
      </c>
      <c r="B27" s="159" t="s">
        <v>29</v>
      </c>
      <c r="C27" s="160"/>
      <c r="D27" s="160"/>
      <c r="E27" s="161"/>
      <c r="F27" s="168" t="str">
        <f>N27</f>
        <v>Мордвинкин А.В.</v>
      </c>
      <c r="G27" s="168"/>
      <c r="H27" s="168"/>
      <c r="I27" s="209"/>
      <c r="J27" s="210"/>
      <c r="L27" s="2" t="s">
        <v>36</v>
      </c>
      <c r="M27" s="2" t="s">
        <v>8</v>
      </c>
      <c r="N27" s="2" t="s">
        <v>36</v>
      </c>
    </row>
    <row r="28" spans="1:14" ht="34.950000000000003" customHeight="1" x14ac:dyDescent="0.3">
      <c r="A28" s="22" t="str">
        <f>A27</f>
        <v>15.06.2023г.</v>
      </c>
      <c r="B28" s="159" t="s">
        <v>30</v>
      </c>
      <c r="C28" s="160"/>
      <c r="D28" s="160"/>
      <c r="E28" s="161"/>
      <c r="F28" s="168" t="str">
        <f>L28</f>
        <v>Титов М.С.</v>
      </c>
      <c r="G28" s="168"/>
      <c r="H28" s="168"/>
      <c r="I28" s="208"/>
      <c r="J28" s="208"/>
      <c r="L28" s="2" t="s">
        <v>11</v>
      </c>
      <c r="M28" s="2" t="s">
        <v>13</v>
      </c>
      <c r="N28" s="2" t="s">
        <v>47</v>
      </c>
    </row>
    <row r="29" spans="1:14" ht="34.950000000000003" customHeight="1" x14ac:dyDescent="0.3">
      <c r="A29" s="1"/>
      <c r="B29" s="205"/>
      <c r="C29" s="205"/>
      <c r="D29" s="205"/>
      <c r="E29" s="205"/>
      <c r="F29" s="203"/>
      <c r="G29" s="203"/>
      <c r="H29" s="203"/>
      <c r="I29" s="204"/>
      <c r="J29" s="204"/>
    </row>
    <row r="40" spans="6:11" ht="409.5" customHeight="1" x14ac:dyDescent="0.3">
      <c r="F40" s="151" t="s">
        <v>46</v>
      </c>
      <c r="G40" s="151"/>
      <c r="H40" s="151"/>
      <c r="I40" s="151"/>
      <c r="J40" s="151"/>
      <c r="K40" s="151"/>
    </row>
  </sheetData>
  <mergeCells count="59">
    <mergeCell ref="F29:H29"/>
    <mergeCell ref="I29:J29"/>
    <mergeCell ref="B29:E29"/>
    <mergeCell ref="A10:B10"/>
    <mergeCell ref="C10:E10"/>
    <mergeCell ref="B28:E28"/>
    <mergeCell ref="F28:H28"/>
    <mergeCell ref="I28:J28"/>
    <mergeCell ref="B26:E26"/>
    <mergeCell ref="F26:H26"/>
    <mergeCell ref="I26:J26"/>
    <mergeCell ref="B27:E27"/>
    <mergeCell ref="F27:H27"/>
    <mergeCell ref="I27:J27"/>
    <mergeCell ref="A25:D25"/>
    <mergeCell ref="E25:J25"/>
    <mergeCell ref="R6:W6"/>
    <mergeCell ref="A16:E17"/>
    <mergeCell ref="A6:E6"/>
    <mergeCell ref="F6:J6"/>
    <mergeCell ref="A7:E7"/>
    <mergeCell ref="F7:J7"/>
    <mergeCell ref="A8:E8"/>
    <mergeCell ref="F8:J8"/>
    <mergeCell ref="A9:E9"/>
    <mergeCell ref="F9:J9"/>
    <mergeCell ref="F10:G10"/>
    <mergeCell ref="A12:E12"/>
    <mergeCell ref="F12:J12"/>
    <mergeCell ref="H10:J10"/>
    <mergeCell ref="K1:M8"/>
    <mergeCell ref="H2:J2"/>
    <mergeCell ref="A18:G18"/>
    <mergeCell ref="A20:J20"/>
    <mergeCell ref="A4:E4"/>
    <mergeCell ref="F4:J4"/>
    <mergeCell ref="A5:E5"/>
    <mergeCell ref="F5:J5"/>
    <mergeCell ref="F16:J16"/>
    <mergeCell ref="F17:J17"/>
    <mergeCell ref="E14:J14"/>
    <mergeCell ref="A15:B15"/>
    <mergeCell ref="C15:J15"/>
    <mergeCell ref="F40:K40"/>
    <mergeCell ref="D1:E1"/>
    <mergeCell ref="F1:G1"/>
    <mergeCell ref="A22:B24"/>
    <mergeCell ref="C24:J24"/>
    <mergeCell ref="C22:J22"/>
    <mergeCell ref="A11:E11"/>
    <mergeCell ref="F11:J11"/>
    <mergeCell ref="H18:J18"/>
    <mergeCell ref="A19:J19"/>
    <mergeCell ref="C23:E23"/>
    <mergeCell ref="F23:J23"/>
    <mergeCell ref="A13:E13"/>
    <mergeCell ref="F13:J13"/>
    <mergeCell ref="A21:J21"/>
    <mergeCell ref="A14:D14"/>
  </mergeCells>
  <dataValidations count="1">
    <dataValidation type="list" allowBlank="1" showInputMessage="1" showErrorMessage="1" sqref="H18:J18" xr:uid="{00000000-0002-0000-0200-000000000000}">
      <formula1>соответствуют</formula1>
    </dataValidation>
  </dataValidations>
  <pageMargins left="0.78740157480314965" right="0.31496062992125984" top="0.35433070866141736" bottom="0.35433070866141736" header="0.31496062992125984" footer="0.31496062992125984"/>
  <pageSetup paperSize="9" scale="81" fitToWidth="0" fitToHeight="0"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ule1.PrintCopiesWithNumbers">
                <anchor moveWithCells="1">
                  <from>
                    <xdr:col>13</xdr:col>
                    <xdr:colOff>114300</xdr:colOff>
                    <xdr:row>5</xdr:row>
                    <xdr:rowOff>99060</xdr:rowOff>
                  </from>
                  <to>
                    <xdr:col>13</xdr:col>
                    <xdr:colOff>1851660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odule2.PrintCopiesWithNumbers">
                <anchor moveWithCells="1">
                  <from>
                    <xdr:col>13</xdr:col>
                    <xdr:colOff>99060</xdr:colOff>
                    <xdr:row>3</xdr:row>
                    <xdr:rowOff>99060</xdr:rowOff>
                  </from>
                  <to>
                    <xdr:col>13</xdr:col>
                    <xdr:colOff>1813560</xdr:colOff>
                    <xdr:row>4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K123"/>
  <sheetViews>
    <sheetView view="pageBreakPreview" topLeftCell="AJ1" zoomScale="130" zoomScaleNormal="115" zoomScaleSheetLayoutView="130" workbookViewId="0">
      <selection activeCell="BU21" sqref="BU21:DG21"/>
    </sheetView>
  </sheetViews>
  <sheetFormatPr defaultRowHeight="14.4" x14ac:dyDescent="0.3"/>
  <cols>
    <col min="1" max="127" width="1" customWidth="1"/>
    <col min="128" max="128" width="1.109375" customWidth="1"/>
    <col min="129" max="186" width="0.6640625" customWidth="1"/>
    <col min="187" max="187" width="2" customWidth="1"/>
    <col min="188" max="190" width="0.33203125" customWidth="1"/>
    <col min="191" max="191" width="1.33203125" customWidth="1"/>
  </cols>
  <sheetData>
    <row r="1" spans="1:191" ht="12" customHeight="1" x14ac:dyDescent="0.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1" t="s">
        <v>48</v>
      </c>
      <c r="ED1" s="40"/>
      <c r="EE1" s="40"/>
      <c r="EF1" s="40"/>
      <c r="EG1" s="40"/>
      <c r="EH1" s="42"/>
      <c r="EI1" s="42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2"/>
    </row>
    <row r="2" spans="1:191" ht="12" customHeight="1" x14ac:dyDescent="0.3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1" t="s">
        <v>49</v>
      </c>
      <c r="ED2" s="40"/>
      <c r="EE2" s="40"/>
      <c r="EF2" s="40"/>
      <c r="EG2" s="40"/>
      <c r="EH2" s="42"/>
      <c r="EI2" s="42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2"/>
    </row>
    <row r="3" spans="1:191" ht="12" customHeigh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1" t="s">
        <v>50</v>
      </c>
      <c r="ED3" s="40"/>
      <c r="EE3" s="40"/>
      <c r="EF3" s="40"/>
      <c r="EG3" s="40"/>
      <c r="EH3" s="42"/>
      <c r="EI3" s="42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2"/>
    </row>
    <row r="4" spans="1:191" ht="15" thickBot="1" x14ac:dyDescent="0.35">
      <c r="A4" s="40"/>
      <c r="B4" s="40"/>
      <c r="C4" s="40"/>
      <c r="D4" s="43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224" t="s">
        <v>51</v>
      </c>
      <c r="FN4" s="225"/>
      <c r="FO4" s="225"/>
      <c r="FP4" s="225"/>
      <c r="FQ4" s="225"/>
      <c r="FR4" s="225"/>
      <c r="FS4" s="225"/>
      <c r="FT4" s="225"/>
      <c r="FU4" s="225"/>
      <c r="FV4" s="225"/>
      <c r="FW4" s="225"/>
      <c r="FX4" s="225"/>
      <c r="FY4" s="225"/>
      <c r="FZ4" s="225"/>
      <c r="GA4" s="225"/>
      <c r="GB4" s="225"/>
      <c r="GC4" s="225"/>
      <c r="GD4" s="225"/>
      <c r="GE4" s="226"/>
      <c r="GF4" s="40"/>
      <c r="GG4" s="40"/>
      <c r="GH4" s="40"/>
      <c r="GI4" s="42"/>
    </row>
    <row r="5" spans="1:191" x14ac:dyDescent="0.3">
      <c r="A5" s="40"/>
      <c r="B5" s="40"/>
      <c r="C5" s="40"/>
      <c r="D5" s="44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5" t="s">
        <v>52</v>
      </c>
      <c r="EQ5" s="40"/>
      <c r="ER5" s="40"/>
      <c r="ES5" s="42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227" t="s">
        <v>53</v>
      </c>
      <c r="FN5" s="228"/>
      <c r="FO5" s="228"/>
      <c r="FP5" s="228"/>
      <c r="FQ5" s="228"/>
      <c r="FR5" s="228"/>
      <c r="FS5" s="228"/>
      <c r="FT5" s="228"/>
      <c r="FU5" s="228"/>
      <c r="FV5" s="228"/>
      <c r="FW5" s="228"/>
      <c r="FX5" s="228"/>
      <c r="FY5" s="228"/>
      <c r="FZ5" s="228"/>
      <c r="GA5" s="228"/>
      <c r="GB5" s="228"/>
      <c r="GC5" s="228"/>
      <c r="GD5" s="228"/>
      <c r="GE5" s="229"/>
      <c r="GF5" s="40"/>
      <c r="GG5" s="40"/>
      <c r="GH5" s="40"/>
      <c r="GI5" s="42"/>
    </row>
    <row r="6" spans="1:191" ht="17.399999999999999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6" t="s">
        <v>54</v>
      </c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230" t="s">
        <v>55</v>
      </c>
      <c r="DS6" s="230"/>
      <c r="DT6" s="230"/>
      <c r="DU6" s="230"/>
      <c r="DV6" s="230"/>
      <c r="DW6" s="230"/>
      <c r="DX6" s="230"/>
      <c r="DY6" s="230"/>
      <c r="DZ6" s="230"/>
      <c r="EA6" s="230"/>
      <c r="EB6" s="230"/>
      <c r="EC6" s="230"/>
      <c r="ED6" s="230"/>
      <c r="EE6" s="230"/>
      <c r="EF6" s="230"/>
      <c r="EG6" s="230"/>
      <c r="EH6" s="230"/>
      <c r="EI6" s="230"/>
      <c r="EJ6" s="230"/>
      <c r="EK6" s="230"/>
      <c r="EL6" s="230"/>
      <c r="EM6" s="230"/>
      <c r="EN6" s="230"/>
      <c r="EO6" s="230"/>
      <c r="EP6" s="230"/>
      <c r="EQ6" s="230"/>
      <c r="ER6" s="230"/>
      <c r="ES6" s="230"/>
      <c r="ET6" s="230"/>
      <c r="EU6" s="230"/>
      <c r="EV6" s="230"/>
      <c r="EW6" s="230"/>
      <c r="EX6" s="230"/>
      <c r="EY6" s="230"/>
      <c r="EZ6" s="230"/>
      <c r="FA6" s="230"/>
      <c r="FB6" s="230"/>
      <c r="FC6" s="230"/>
      <c r="FD6" s="230"/>
      <c r="FE6" s="230"/>
      <c r="FF6" s="230"/>
      <c r="FG6" s="230"/>
      <c r="FH6" s="40"/>
      <c r="FI6" s="40" t="s">
        <v>56</v>
      </c>
      <c r="FJ6" s="40"/>
      <c r="FK6" s="40"/>
      <c r="FL6" s="40"/>
      <c r="FM6" s="231" t="s">
        <v>310</v>
      </c>
      <c r="FN6" s="232"/>
      <c r="FO6" s="232"/>
      <c r="FP6" s="232"/>
      <c r="FQ6" s="232"/>
      <c r="FR6" s="232"/>
      <c r="FS6" s="232"/>
      <c r="FT6" s="232"/>
      <c r="FU6" s="232"/>
      <c r="FV6" s="232"/>
      <c r="FW6" s="232"/>
      <c r="FX6" s="232"/>
      <c r="FY6" s="232"/>
      <c r="FZ6" s="232"/>
      <c r="GA6" s="232"/>
      <c r="GB6" s="232"/>
      <c r="GC6" s="232"/>
      <c r="GD6" s="232"/>
      <c r="GE6" s="233"/>
      <c r="GF6" s="40"/>
      <c r="GG6" s="40"/>
      <c r="GH6" s="40"/>
      <c r="GI6" s="42"/>
    </row>
    <row r="7" spans="1:191" ht="10.199999999999999" customHeight="1" x14ac:dyDescent="0.3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234" t="s">
        <v>57</v>
      </c>
      <c r="DS7" s="234"/>
      <c r="DT7" s="234"/>
      <c r="DU7" s="234"/>
      <c r="DV7" s="234"/>
      <c r="DW7" s="234"/>
      <c r="DX7" s="234"/>
      <c r="DY7" s="234"/>
      <c r="DZ7" s="234"/>
      <c r="EA7" s="234"/>
      <c r="EB7" s="234"/>
      <c r="EC7" s="234"/>
      <c r="ED7" s="234"/>
      <c r="EE7" s="234"/>
      <c r="EF7" s="234"/>
      <c r="EG7" s="234"/>
      <c r="EH7" s="234"/>
      <c r="EI7" s="234"/>
      <c r="EJ7" s="234"/>
      <c r="EK7" s="234"/>
      <c r="EL7" s="234"/>
      <c r="EM7" s="234"/>
      <c r="EN7" s="234"/>
      <c r="EO7" s="234"/>
      <c r="EP7" s="234"/>
      <c r="EQ7" s="234"/>
      <c r="ER7" s="234"/>
      <c r="ES7" s="234"/>
      <c r="ET7" s="234"/>
      <c r="EU7" s="234"/>
      <c r="EV7" s="234"/>
      <c r="EW7" s="234"/>
      <c r="EX7" s="234"/>
      <c r="EY7" s="234"/>
      <c r="EZ7" s="234"/>
      <c r="FA7" s="234"/>
      <c r="FB7" s="234"/>
      <c r="FC7" s="234"/>
      <c r="FD7" s="234"/>
      <c r="FE7" s="234"/>
      <c r="FF7" s="234"/>
      <c r="FG7" s="234"/>
      <c r="FH7" s="40"/>
      <c r="FI7" s="40"/>
      <c r="FJ7" s="40"/>
      <c r="FK7" s="40"/>
      <c r="FL7" s="40"/>
      <c r="FM7" s="235" t="s">
        <v>308</v>
      </c>
      <c r="FN7" s="236"/>
      <c r="FO7" s="236"/>
      <c r="FP7" s="236"/>
      <c r="FQ7" s="236"/>
      <c r="FR7" s="236"/>
      <c r="FS7" s="239" t="s">
        <v>262</v>
      </c>
      <c r="FT7" s="240"/>
      <c r="FU7" s="240"/>
      <c r="FV7" s="240"/>
      <c r="FW7" s="240"/>
      <c r="FX7" s="240"/>
      <c r="FY7" s="241"/>
      <c r="FZ7" s="236" t="s">
        <v>59</v>
      </c>
      <c r="GA7" s="236"/>
      <c r="GB7" s="236"/>
      <c r="GC7" s="236"/>
      <c r="GD7" s="236"/>
      <c r="GE7" s="245"/>
      <c r="GF7" s="40"/>
      <c r="GG7" s="40"/>
      <c r="GH7" s="40"/>
      <c r="GI7" s="42"/>
    </row>
    <row r="8" spans="1:191" ht="10.199999999999999" customHeigh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7"/>
      <c r="DS8" s="47"/>
      <c r="DT8" s="47"/>
      <c r="DU8" s="47"/>
      <c r="DV8" s="47"/>
      <c r="DW8" s="47"/>
      <c r="DX8" s="47"/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47"/>
      <c r="FC8" s="47"/>
      <c r="FD8" s="47"/>
      <c r="FE8" s="47"/>
      <c r="FF8" s="47"/>
      <c r="FG8" s="47"/>
      <c r="FH8" s="40"/>
      <c r="FI8" s="40"/>
      <c r="FJ8" s="40"/>
      <c r="FK8" s="48" t="s">
        <v>60</v>
      </c>
      <c r="FL8" s="40"/>
      <c r="FM8" s="237"/>
      <c r="FN8" s="238"/>
      <c r="FO8" s="238"/>
      <c r="FP8" s="238"/>
      <c r="FQ8" s="238"/>
      <c r="FR8" s="238"/>
      <c r="FS8" s="242"/>
      <c r="FT8" s="243"/>
      <c r="FU8" s="243"/>
      <c r="FV8" s="243"/>
      <c r="FW8" s="243"/>
      <c r="FX8" s="243"/>
      <c r="FY8" s="244"/>
      <c r="FZ8" s="238"/>
      <c r="GA8" s="238"/>
      <c r="GB8" s="238"/>
      <c r="GC8" s="238"/>
      <c r="GD8" s="238"/>
      <c r="GE8" s="246"/>
      <c r="GF8" s="40"/>
      <c r="GG8" s="40"/>
      <c r="GH8" s="40"/>
      <c r="GI8" s="42"/>
    </row>
    <row r="9" spans="1:191" ht="13.2" customHeight="1" x14ac:dyDescent="0.3">
      <c r="A9" s="40" t="s">
        <v>61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214" t="s">
        <v>62</v>
      </c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  <c r="BX9" s="214"/>
      <c r="BY9" s="214"/>
      <c r="BZ9" s="214"/>
      <c r="CA9" s="214"/>
      <c r="CB9" s="214"/>
      <c r="CC9" s="214"/>
      <c r="CD9" s="214"/>
      <c r="CE9" s="214"/>
      <c r="CF9" s="214"/>
      <c r="CG9" s="214"/>
      <c r="CH9" s="214"/>
      <c r="CI9" s="214"/>
      <c r="CJ9" s="214"/>
      <c r="CK9" s="214"/>
      <c r="CL9" s="214"/>
      <c r="CM9" s="214"/>
      <c r="CN9" s="214"/>
      <c r="CO9" s="214"/>
      <c r="CP9" s="214"/>
      <c r="CQ9" s="214"/>
      <c r="CR9" s="214"/>
      <c r="CS9" s="214"/>
      <c r="CT9" s="214"/>
      <c r="CU9" s="214"/>
      <c r="CV9" s="214"/>
      <c r="CW9" s="214"/>
      <c r="CX9" s="214"/>
      <c r="CY9" s="214"/>
      <c r="CZ9" s="214"/>
      <c r="DA9" s="214"/>
      <c r="DB9" s="214"/>
      <c r="DC9" s="214"/>
      <c r="DD9" s="214"/>
      <c r="DE9" s="214"/>
      <c r="DF9" s="214"/>
      <c r="DG9" s="214"/>
      <c r="DH9" s="214"/>
      <c r="DI9" s="214"/>
      <c r="DJ9" s="214"/>
      <c r="DK9" s="214"/>
      <c r="DL9" s="214"/>
      <c r="DM9" s="214"/>
      <c r="DN9" s="214"/>
      <c r="DO9" s="214"/>
      <c r="DP9" s="214"/>
      <c r="DQ9" s="214"/>
      <c r="DR9" s="214"/>
      <c r="DS9" s="214"/>
      <c r="DT9" s="214"/>
      <c r="DU9" s="214"/>
      <c r="DV9" s="214"/>
      <c r="DW9" s="214"/>
      <c r="DX9" s="214"/>
      <c r="DY9" s="214"/>
      <c r="DZ9" s="214"/>
      <c r="EA9" s="214"/>
      <c r="EB9" s="214"/>
      <c r="EC9" s="214"/>
      <c r="ED9" s="214"/>
      <c r="EE9" s="214"/>
      <c r="EF9" s="214"/>
      <c r="EG9" s="214"/>
      <c r="EH9" s="214"/>
      <c r="EI9" s="214"/>
      <c r="EJ9" s="214"/>
      <c r="EK9" s="214"/>
      <c r="EL9" s="214"/>
      <c r="EM9" s="214"/>
      <c r="EN9" s="214"/>
      <c r="EO9" s="214"/>
      <c r="EP9" s="214"/>
      <c r="EQ9" s="214"/>
      <c r="ER9" s="214"/>
      <c r="ES9" s="214"/>
      <c r="ET9" s="214"/>
      <c r="EU9" s="214"/>
      <c r="EV9" s="214"/>
      <c r="EW9" s="214"/>
      <c r="EX9" s="214"/>
      <c r="EY9" s="214"/>
      <c r="EZ9" s="214"/>
      <c r="FA9" s="215" t="s">
        <v>63</v>
      </c>
      <c r="FB9" s="215"/>
      <c r="FC9" s="215"/>
      <c r="FD9" s="215"/>
      <c r="FE9" s="215"/>
      <c r="FF9" s="215"/>
      <c r="FG9" s="215"/>
      <c r="FH9" s="215"/>
      <c r="FI9" s="215"/>
      <c r="FJ9" s="215"/>
      <c r="FK9" s="215"/>
      <c r="FL9" s="216"/>
      <c r="FM9" s="217"/>
      <c r="FN9" s="218"/>
      <c r="FO9" s="218"/>
      <c r="FP9" s="218"/>
      <c r="FQ9" s="218"/>
      <c r="FR9" s="218"/>
      <c r="FS9" s="218"/>
      <c r="FT9" s="218"/>
      <c r="FU9" s="218"/>
      <c r="FV9" s="218"/>
      <c r="FW9" s="218"/>
      <c r="FX9" s="218"/>
      <c r="FY9" s="218"/>
      <c r="FZ9" s="218"/>
      <c r="GA9" s="218"/>
      <c r="GB9" s="218"/>
      <c r="GC9" s="218"/>
      <c r="GD9" s="218"/>
      <c r="GE9" s="219"/>
      <c r="GF9" s="40"/>
      <c r="GG9" s="40"/>
      <c r="GH9" s="40"/>
      <c r="GI9" s="42"/>
    </row>
    <row r="10" spans="1:191" ht="6.6" customHeight="1" x14ac:dyDescent="0.3">
      <c r="A10" s="42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0"/>
      <c r="V10" s="220" t="s">
        <v>64</v>
      </c>
      <c r="W10" s="220"/>
      <c r="X10" s="220"/>
      <c r="Y10" s="220"/>
      <c r="Z10" s="220"/>
      <c r="AA10" s="220"/>
      <c r="AB10" s="220"/>
      <c r="AC10" s="220"/>
      <c r="AD10" s="220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220"/>
      <c r="CK10" s="220"/>
      <c r="CL10" s="220"/>
      <c r="CM10" s="220"/>
      <c r="CN10" s="220"/>
      <c r="CO10" s="220"/>
      <c r="CP10" s="220"/>
      <c r="CQ10" s="220"/>
      <c r="CR10" s="220"/>
      <c r="CS10" s="220"/>
      <c r="CT10" s="220"/>
      <c r="CU10" s="220"/>
      <c r="CV10" s="220"/>
      <c r="CW10" s="220"/>
      <c r="CX10" s="220"/>
      <c r="CY10" s="220"/>
      <c r="CZ10" s="220"/>
      <c r="DA10" s="220"/>
      <c r="DB10" s="220"/>
      <c r="DC10" s="220"/>
      <c r="DD10" s="220"/>
      <c r="DE10" s="220"/>
      <c r="DF10" s="220"/>
      <c r="DG10" s="220"/>
      <c r="DH10" s="220"/>
      <c r="DI10" s="220"/>
      <c r="DJ10" s="220"/>
      <c r="DK10" s="220"/>
      <c r="DL10" s="220"/>
      <c r="DM10" s="220"/>
      <c r="DN10" s="220"/>
      <c r="DO10" s="220"/>
      <c r="DP10" s="220"/>
      <c r="DQ10" s="220"/>
      <c r="DR10" s="220"/>
      <c r="DS10" s="220"/>
      <c r="DT10" s="220"/>
      <c r="DU10" s="220"/>
      <c r="DV10" s="220"/>
      <c r="DW10" s="220"/>
      <c r="DX10" s="220"/>
      <c r="DY10" s="220"/>
      <c r="DZ10" s="220"/>
      <c r="EA10" s="220"/>
      <c r="EB10" s="220"/>
      <c r="EC10" s="220"/>
      <c r="ED10" s="220"/>
      <c r="EE10" s="220"/>
      <c r="EF10" s="220"/>
      <c r="EG10" s="220"/>
      <c r="EH10" s="220"/>
      <c r="EI10" s="220"/>
      <c r="EJ10" s="220"/>
      <c r="EK10" s="220"/>
      <c r="EL10" s="220"/>
      <c r="EM10" s="220"/>
      <c r="EN10" s="220"/>
      <c r="EO10" s="220"/>
      <c r="EP10" s="220"/>
      <c r="EQ10" s="220"/>
      <c r="ER10" s="220"/>
      <c r="ES10" s="220"/>
      <c r="ET10" s="220"/>
      <c r="EU10" s="220"/>
      <c r="EV10" s="220"/>
      <c r="EW10" s="220"/>
      <c r="EX10" s="220"/>
      <c r="EY10" s="220"/>
      <c r="EZ10" s="220"/>
      <c r="FA10" s="215" t="s">
        <v>63</v>
      </c>
      <c r="FB10" s="215"/>
      <c r="FC10" s="215"/>
      <c r="FD10" s="215"/>
      <c r="FE10" s="215"/>
      <c r="FF10" s="215"/>
      <c r="FG10" s="215"/>
      <c r="FH10" s="215"/>
      <c r="FI10" s="215"/>
      <c r="FJ10" s="215"/>
      <c r="FK10" s="215"/>
      <c r="FL10" s="216"/>
      <c r="FM10" s="221"/>
      <c r="FN10" s="222"/>
      <c r="FO10" s="222"/>
      <c r="FP10" s="222"/>
      <c r="FQ10" s="222"/>
      <c r="FR10" s="222"/>
      <c r="FS10" s="222"/>
      <c r="FT10" s="222"/>
      <c r="FU10" s="222"/>
      <c r="FV10" s="222"/>
      <c r="FW10" s="222"/>
      <c r="FX10" s="222"/>
      <c r="FY10" s="222"/>
      <c r="FZ10" s="222"/>
      <c r="GA10" s="222"/>
      <c r="GB10" s="222"/>
      <c r="GC10" s="222"/>
      <c r="GD10" s="222"/>
      <c r="GE10" s="223"/>
      <c r="GF10" s="40"/>
      <c r="GG10" s="40"/>
      <c r="GH10" s="40"/>
      <c r="GI10" s="42"/>
    </row>
    <row r="11" spans="1:191" ht="12.6" customHeight="1" x14ac:dyDescent="0.3">
      <c r="A11" s="213" t="s">
        <v>65</v>
      </c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4" t="s">
        <v>62</v>
      </c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/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5"/>
      <c r="FB11" s="215"/>
      <c r="FC11" s="215"/>
      <c r="FD11" s="215"/>
      <c r="FE11" s="215"/>
      <c r="FF11" s="215"/>
      <c r="FG11" s="215"/>
      <c r="FH11" s="215"/>
      <c r="FI11" s="215"/>
      <c r="FJ11" s="215"/>
      <c r="FK11" s="215"/>
      <c r="FL11" s="216"/>
      <c r="FM11" s="217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/>
      <c r="GE11" s="219"/>
      <c r="GF11" s="40"/>
      <c r="GG11" s="40"/>
      <c r="GH11" s="40"/>
      <c r="GI11" s="42"/>
    </row>
    <row r="12" spans="1:191" ht="6.6" customHeight="1" x14ac:dyDescent="0.3">
      <c r="A12" s="251" t="s">
        <v>66</v>
      </c>
      <c r="B12" s="251"/>
      <c r="C12" s="251"/>
      <c r="D12" s="251"/>
      <c r="E12" s="251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40"/>
      <c r="Q12" s="40"/>
      <c r="R12" s="40"/>
      <c r="S12" s="40"/>
      <c r="T12" s="40"/>
      <c r="U12" s="40"/>
      <c r="V12" s="252" t="s">
        <v>64</v>
      </c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0"/>
      <c r="DQ12" s="220"/>
      <c r="DR12" s="220"/>
      <c r="DS12" s="220"/>
      <c r="DT12" s="220"/>
      <c r="DU12" s="220"/>
      <c r="DV12" s="220"/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15" t="s">
        <v>63</v>
      </c>
      <c r="FB12" s="215"/>
      <c r="FC12" s="215"/>
      <c r="FD12" s="215"/>
      <c r="FE12" s="215"/>
      <c r="FF12" s="215"/>
      <c r="FG12" s="215"/>
      <c r="FH12" s="215"/>
      <c r="FI12" s="215"/>
      <c r="FJ12" s="215"/>
      <c r="FK12" s="215"/>
      <c r="FL12" s="216"/>
      <c r="FM12" s="221"/>
      <c r="FN12" s="222"/>
      <c r="FO12" s="222"/>
      <c r="FP12" s="222"/>
      <c r="FQ12" s="222"/>
      <c r="FR12" s="222"/>
      <c r="FS12" s="222"/>
      <c r="FT12" s="222"/>
      <c r="FU12" s="222"/>
      <c r="FV12" s="222"/>
      <c r="FW12" s="222"/>
      <c r="FX12" s="222"/>
      <c r="FY12" s="222"/>
      <c r="FZ12" s="222"/>
      <c r="GA12" s="222"/>
      <c r="GB12" s="222"/>
      <c r="GC12" s="222"/>
      <c r="GD12" s="222"/>
      <c r="GE12" s="223"/>
      <c r="GF12" s="40"/>
      <c r="GG12" s="40"/>
      <c r="GH12" s="40"/>
      <c r="GI12" s="42"/>
    </row>
    <row r="13" spans="1:191" ht="12.6" customHeight="1" thickBot="1" x14ac:dyDescent="0.35">
      <c r="A13" s="251"/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6" t="s">
        <v>62</v>
      </c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6"/>
      <c r="FM13" s="253"/>
      <c r="FN13" s="254"/>
      <c r="FO13" s="254"/>
      <c r="FP13" s="254"/>
      <c r="FQ13" s="254"/>
      <c r="FR13" s="254"/>
      <c r="FS13" s="254"/>
      <c r="FT13" s="254"/>
      <c r="FU13" s="254"/>
      <c r="FV13" s="254"/>
      <c r="FW13" s="254"/>
      <c r="FX13" s="254"/>
      <c r="FY13" s="254"/>
      <c r="FZ13" s="254"/>
      <c r="GA13" s="254"/>
      <c r="GB13" s="254"/>
      <c r="GC13" s="254"/>
      <c r="GD13" s="254"/>
      <c r="GE13" s="255"/>
      <c r="GF13" s="40"/>
      <c r="GG13" s="40"/>
      <c r="GH13" s="40"/>
      <c r="GI13" s="42"/>
    </row>
    <row r="14" spans="1:191" ht="7.95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257" t="s">
        <v>67</v>
      </c>
      <c r="W14" s="257"/>
      <c r="X14" s="257"/>
      <c r="Y14" s="257"/>
      <c r="Z14" s="257"/>
      <c r="AA14" s="257"/>
      <c r="AB14" s="257"/>
      <c r="AC14" s="257"/>
      <c r="AD14" s="257"/>
      <c r="AE14" s="257"/>
      <c r="AF14" s="257"/>
      <c r="AG14" s="257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7"/>
      <c r="BI14" s="257"/>
      <c r="BJ14" s="257"/>
      <c r="BK14" s="257"/>
      <c r="BL14" s="257"/>
      <c r="BM14" s="257"/>
      <c r="BN14" s="257"/>
      <c r="BO14" s="257"/>
      <c r="BP14" s="257"/>
      <c r="BQ14" s="257"/>
      <c r="BR14" s="257"/>
      <c r="BS14" s="257"/>
      <c r="BT14" s="257"/>
      <c r="BU14" s="257"/>
      <c r="BV14" s="257"/>
      <c r="BW14" s="257"/>
      <c r="BX14" s="257"/>
      <c r="BY14" s="257"/>
      <c r="BZ14" s="257"/>
      <c r="CA14" s="257"/>
      <c r="CB14" s="257"/>
      <c r="CC14" s="257"/>
      <c r="CD14" s="257"/>
      <c r="CE14" s="257"/>
      <c r="CF14" s="257"/>
      <c r="CG14" s="257"/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  <c r="DI14" s="257"/>
      <c r="DJ14" s="257"/>
      <c r="DK14" s="257"/>
      <c r="DL14" s="257"/>
      <c r="DM14" s="257"/>
      <c r="DN14" s="257"/>
      <c r="DO14" s="257"/>
      <c r="DP14" s="257"/>
      <c r="DQ14" s="257"/>
      <c r="DR14" s="257"/>
      <c r="DS14" s="257"/>
      <c r="DT14" s="257"/>
      <c r="DU14" s="257"/>
      <c r="DV14" s="257"/>
      <c r="DW14" s="257"/>
      <c r="DX14" s="257"/>
      <c r="DY14" s="257"/>
      <c r="DZ14" s="257"/>
      <c r="EA14" s="257"/>
      <c r="EB14" s="257"/>
      <c r="EC14" s="257"/>
      <c r="ED14" s="257"/>
      <c r="EE14" s="257"/>
      <c r="EF14" s="257"/>
      <c r="EG14" s="257"/>
      <c r="EH14" s="257"/>
      <c r="EI14" s="257"/>
      <c r="EJ14" s="257"/>
      <c r="EK14" s="257"/>
      <c r="EL14" s="257"/>
      <c r="EM14" s="257"/>
      <c r="EN14" s="257"/>
      <c r="EO14" s="257"/>
      <c r="EP14" s="257"/>
      <c r="EQ14" s="257"/>
      <c r="ER14" s="257"/>
      <c r="ES14" s="257"/>
      <c r="ET14" s="257"/>
      <c r="EU14" s="257"/>
      <c r="EV14" s="257"/>
      <c r="EW14" s="257"/>
      <c r="EX14" s="257"/>
      <c r="EY14" s="257"/>
      <c r="EZ14" s="257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2"/>
    </row>
    <row r="15" spans="1:191" ht="15" thickBot="1" x14ac:dyDescent="0.35">
      <c r="A15" s="258" t="s">
        <v>68</v>
      </c>
      <c r="B15" s="258"/>
      <c r="C15" s="258"/>
      <c r="D15" s="258"/>
      <c r="E15" s="258"/>
      <c r="F15" s="258"/>
      <c r="G15" s="258"/>
      <c r="H15" s="258"/>
      <c r="I15" s="258"/>
      <c r="J15" s="258"/>
      <c r="K15" s="258"/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  <c r="AB15" s="258"/>
      <c r="AC15" s="258"/>
      <c r="AD15" s="258"/>
      <c r="AE15" s="258"/>
      <c r="AF15" s="258"/>
      <c r="AG15" s="258"/>
      <c r="AH15" s="258"/>
      <c r="AI15" s="258"/>
      <c r="AJ15" s="258"/>
      <c r="AK15" s="258"/>
      <c r="AL15" s="258"/>
      <c r="AM15" s="258"/>
      <c r="AN15" s="258"/>
      <c r="AO15" s="258"/>
      <c r="AP15" s="258"/>
      <c r="AQ15" s="258"/>
      <c r="AR15" s="258"/>
      <c r="AS15" s="258"/>
      <c r="AT15" s="258"/>
      <c r="AU15" s="258"/>
      <c r="AV15" s="258"/>
      <c r="AW15" s="258"/>
      <c r="AX15" s="258"/>
      <c r="AY15" s="258"/>
      <c r="AZ15" s="258"/>
      <c r="BA15" s="258"/>
      <c r="BB15" s="258"/>
      <c r="BC15" s="258"/>
      <c r="BD15" s="258"/>
      <c r="BE15" s="258"/>
      <c r="BF15" s="258"/>
      <c r="BG15" s="258"/>
      <c r="BH15" s="258"/>
      <c r="BI15" s="258"/>
      <c r="BJ15" s="258"/>
      <c r="BK15" s="258"/>
      <c r="BL15" s="258"/>
      <c r="BM15" s="258"/>
      <c r="BN15" s="258"/>
      <c r="BO15" s="258"/>
      <c r="BP15" s="258"/>
      <c r="BQ15" s="258"/>
      <c r="BR15" s="258"/>
      <c r="BS15" s="258"/>
      <c r="BT15" s="258"/>
      <c r="BU15" s="258"/>
      <c r="BV15" s="258"/>
      <c r="BW15" s="258"/>
      <c r="BX15" s="258"/>
      <c r="BY15" s="258"/>
      <c r="BZ15" s="258"/>
      <c r="CA15" s="258"/>
      <c r="CB15" s="258"/>
      <c r="CC15" s="258"/>
      <c r="CD15" s="258"/>
      <c r="CE15" s="258"/>
      <c r="CF15" s="258"/>
      <c r="CG15" s="258"/>
      <c r="CH15" s="258"/>
      <c r="CI15" s="258"/>
      <c r="CJ15" s="258"/>
      <c r="CK15" s="258"/>
      <c r="CL15" s="258"/>
      <c r="CM15" s="258"/>
      <c r="CN15" s="258"/>
      <c r="CO15" s="258"/>
      <c r="CP15" s="258"/>
      <c r="CQ15" s="258"/>
      <c r="CR15" s="258"/>
      <c r="CS15" s="258"/>
      <c r="CT15" s="258"/>
      <c r="CU15" s="258"/>
      <c r="CV15" s="258"/>
      <c r="CW15" s="258"/>
      <c r="CX15" s="258"/>
      <c r="CY15" s="258"/>
      <c r="CZ15" s="258"/>
      <c r="DA15" s="258"/>
      <c r="DB15" s="258"/>
      <c r="DC15" s="258"/>
      <c r="DD15" s="258"/>
      <c r="DE15" s="258"/>
      <c r="DF15" s="258"/>
      <c r="DG15" s="258"/>
      <c r="DH15" s="258"/>
      <c r="DI15" s="258"/>
      <c r="DJ15" s="258"/>
      <c r="DK15" s="258"/>
      <c r="DL15" s="258"/>
      <c r="DM15" s="258"/>
      <c r="DN15" s="258"/>
      <c r="DO15" s="258"/>
      <c r="DP15" s="258"/>
      <c r="DQ15" s="258"/>
      <c r="DR15" s="258"/>
      <c r="DS15" s="258"/>
      <c r="DT15" s="258"/>
      <c r="DU15" s="258"/>
      <c r="DV15" s="258"/>
      <c r="DW15" s="258"/>
      <c r="DX15" s="258"/>
      <c r="DY15" s="258"/>
      <c r="DZ15" s="258"/>
      <c r="EA15" s="258"/>
      <c r="EB15" s="258"/>
      <c r="EC15" s="258"/>
      <c r="ED15" s="258"/>
      <c r="EE15" s="258"/>
      <c r="EF15" s="258"/>
      <c r="EG15" s="258"/>
      <c r="EH15" s="258"/>
      <c r="EI15" s="258"/>
      <c r="EJ15" s="258"/>
      <c r="EK15" s="258"/>
      <c r="EL15" s="258"/>
      <c r="EM15" s="258"/>
      <c r="EN15" s="258"/>
      <c r="EO15" s="258"/>
      <c r="EP15" s="258"/>
      <c r="EQ15" s="258"/>
      <c r="ER15" s="258"/>
      <c r="ES15" s="258"/>
      <c r="ET15" s="258"/>
      <c r="EU15" s="258"/>
      <c r="EV15" s="258"/>
      <c r="EW15" s="258"/>
      <c r="EX15" s="258"/>
      <c r="EY15" s="258"/>
      <c r="EZ15" s="258"/>
      <c r="FA15" s="258"/>
      <c r="FB15" s="258"/>
      <c r="FC15" s="258"/>
      <c r="FD15" s="258"/>
      <c r="FE15" s="258"/>
      <c r="FF15" s="258"/>
      <c r="FG15" s="258"/>
      <c r="FH15" s="258"/>
      <c r="FI15" s="258"/>
      <c r="FJ15" s="258"/>
      <c r="FK15" s="258"/>
      <c r="FL15" s="258"/>
      <c r="FM15" s="258"/>
      <c r="FN15" s="258"/>
      <c r="FO15" s="258"/>
      <c r="FP15" s="258"/>
      <c r="FQ15" s="258"/>
      <c r="FR15" s="258"/>
      <c r="FS15" s="258"/>
      <c r="FT15" s="258"/>
      <c r="FU15" s="258"/>
      <c r="FV15" s="258"/>
      <c r="FW15" s="258"/>
      <c r="FX15" s="258"/>
      <c r="FY15" s="258"/>
      <c r="FZ15" s="258"/>
      <c r="GA15" s="258"/>
      <c r="GB15" s="258"/>
      <c r="GC15" s="258"/>
      <c r="GD15" s="258"/>
      <c r="GE15" s="258"/>
      <c r="GF15" s="40"/>
      <c r="GG15" s="40"/>
      <c r="GH15" s="40"/>
      <c r="GI15" s="42"/>
    </row>
    <row r="16" spans="1:191" ht="28.95" customHeight="1" thickTop="1" x14ac:dyDescent="0.3">
      <c r="A16" s="259" t="s">
        <v>69</v>
      </c>
      <c r="B16" s="248"/>
      <c r="C16" s="248"/>
      <c r="D16" s="248"/>
      <c r="E16" s="248"/>
      <c r="F16" s="248"/>
      <c r="G16" s="248"/>
      <c r="H16" s="248"/>
      <c r="I16" s="248"/>
      <c r="J16" s="248"/>
      <c r="K16" s="248"/>
      <c r="L16" s="259" t="s">
        <v>70</v>
      </c>
      <c r="M16" s="248"/>
      <c r="N16" s="248"/>
      <c r="O16" s="248"/>
      <c r="P16" s="248"/>
      <c r="Q16" s="248"/>
      <c r="R16" s="248"/>
      <c r="S16" s="248"/>
      <c r="T16" s="248"/>
      <c r="U16" s="248"/>
      <c r="V16" s="248"/>
      <c r="W16" s="248"/>
      <c r="X16" s="248"/>
      <c r="Y16" s="248"/>
      <c r="Z16" s="248"/>
      <c r="AA16" s="248"/>
      <c r="AB16" s="248"/>
      <c r="AC16" s="248"/>
      <c r="AD16" s="248"/>
      <c r="AE16" s="249"/>
      <c r="AF16" s="248" t="s">
        <v>71</v>
      </c>
      <c r="AG16" s="248"/>
      <c r="AH16" s="248"/>
      <c r="AI16" s="248"/>
      <c r="AJ16" s="248"/>
      <c r="AK16" s="248"/>
      <c r="AL16" s="248"/>
      <c r="AM16" s="248"/>
      <c r="AN16" s="248"/>
      <c r="AO16" s="248"/>
      <c r="AP16" s="248"/>
      <c r="AQ16" s="248"/>
      <c r="AR16" s="249"/>
      <c r="AS16" s="259" t="s">
        <v>72</v>
      </c>
      <c r="AT16" s="248"/>
      <c r="AU16" s="248"/>
      <c r="AV16" s="248"/>
      <c r="AW16" s="248"/>
      <c r="AX16" s="248"/>
      <c r="AY16" s="248"/>
      <c r="AZ16" s="248"/>
      <c r="BA16" s="248"/>
      <c r="BB16" s="248"/>
      <c r="BC16" s="248"/>
      <c r="BD16" s="249"/>
      <c r="BE16" s="248" t="s">
        <v>73</v>
      </c>
      <c r="BF16" s="248"/>
      <c r="BG16" s="248"/>
      <c r="BH16" s="248"/>
      <c r="BI16" s="248"/>
      <c r="BJ16" s="248"/>
      <c r="BK16" s="248"/>
      <c r="BL16" s="248"/>
      <c r="BM16" s="248"/>
      <c r="BN16" s="248"/>
      <c r="BO16" s="248"/>
      <c r="BP16" s="248"/>
      <c r="BQ16" s="248"/>
      <c r="BR16" s="248"/>
      <c r="BS16" s="248"/>
      <c r="BT16" s="250"/>
      <c r="BU16" s="247" t="s">
        <v>74</v>
      </c>
      <c r="BV16" s="248"/>
      <c r="BW16" s="248"/>
      <c r="BX16" s="248"/>
      <c r="BY16" s="248"/>
      <c r="BZ16" s="248"/>
      <c r="CA16" s="248"/>
      <c r="CB16" s="248"/>
      <c r="CC16" s="248"/>
      <c r="CD16" s="248"/>
      <c r="CE16" s="248"/>
      <c r="CF16" s="248"/>
      <c r="CG16" s="248"/>
      <c r="CH16" s="248"/>
      <c r="CI16" s="248"/>
      <c r="CJ16" s="248"/>
      <c r="CK16" s="248"/>
      <c r="CL16" s="248"/>
      <c r="CM16" s="248"/>
      <c r="CN16" s="248"/>
      <c r="CO16" s="248"/>
      <c r="CP16" s="248"/>
      <c r="CQ16" s="248"/>
      <c r="CR16" s="248"/>
      <c r="CS16" s="248"/>
      <c r="CT16" s="248"/>
      <c r="CU16" s="248"/>
      <c r="CV16" s="248"/>
      <c r="CW16" s="248"/>
      <c r="CX16" s="248"/>
      <c r="CY16" s="248"/>
      <c r="CZ16" s="248"/>
      <c r="DA16" s="248"/>
      <c r="DB16" s="248"/>
      <c r="DC16" s="248"/>
      <c r="DD16" s="248"/>
      <c r="DE16" s="248"/>
      <c r="DF16" s="248"/>
      <c r="DG16" s="250"/>
      <c r="DH16" s="247" t="s">
        <v>75</v>
      </c>
      <c r="DI16" s="248"/>
      <c r="DJ16" s="248"/>
      <c r="DK16" s="248"/>
      <c r="DL16" s="248"/>
      <c r="DM16" s="248"/>
      <c r="DN16" s="248"/>
      <c r="DO16" s="248"/>
      <c r="DP16" s="248"/>
      <c r="DQ16" s="248"/>
      <c r="DR16" s="250"/>
      <c r="DS16" s="247" t="s">
        <v>43</v>
      </c>
      <c r="DT16" s="248"/>
      <c r="DU16" s="248"/>
      <c r="DV16" s="248"/>
      <c r="DW16" s="248"/>
      <c r="DX16" s="248"/>
      <c r="DY16" s="248"/>
      <c r="DZ16" s="248"/>
      <c r="EA16" s="248"/>
      <c r="EB16" s="248"/>
      <c r="EC16" s="250"/>
      <c r="ED16" s="247">
        <v>2</v>
      </c>
      <c r="EE16" s="248"/>
      <c r="EF16" s="248"/>
      <c r="EG16" s="248"/>
      <c r="EH16" s="248"/>
      <c r="EI16" s="248"/>
      <c r="EJ16" s="248"/>
      <c r="EK16" s="248"/>
      <c r="EL16" s="248"/>
      <c r="EM16" s="248"/>
      <c r="EN16" s="249"/>
      <c r="EO16" s="248" t="s">
        <v>288</v>
      </c>
      <c r="EP16" s="248"/>
      <c r="EQ16" s="248"/>
      <c r="ER16" s="248"/>
      <c r="ES16" s="248"/>
      <c r="ET16" s="248"/>
      <c r="EU16" s="248"/>
      <c r="EV16" s="248"/>
      <c r="EW16" s="248"/>
      <c r="EX16" s="248"/>
      <c r="EY16" s="248"/>
      <c r="EZ16" s="248"/>
      <c r="FA16" s="248"/>
      <c r="FB16" s="250"/>
      <c r="FC16" s="247" t="s">
        <v>76</v>
      </c>
      <c r="FD16" s="248"/>
      <c r="FE16" s="248"/>
      <c r="FF16" s="248"/>
      <c r="FG16" s="248"/>
      <c r="FH16" s="248"/>
      <c r="FI16" s="248"/>
      <c r="FJ16" s="248"/>
      <c r="FK16" s="248"/>
      <c r="FL16" s="248"/>
      <c r="FM16" s="250"/>
      <c r="FN16" s="247" t="s">
        <v>77</v>
      </c>
      <c r="FO16" s="248"/>
      <c r="FP16" s="248"/>
      <c r="FQ16" s="248"/>
      <c r="FR16" s="248"/>
      <c r="FS16" s="248"/>
      <c r="FT16" s="248"/>
      <c r="FU16" s="248"/>
      <c r="FV16" s="248"/>
      <c r="FW16" s="248"/>
      <c r="FX16" s="248"/>
      <c r="FY16" s="248"/>
      <c r="FZ16" s="248"/>
      <c r="GA16" s="248"/>
      <c r="GB16" s="248"/>
      <c r="GC16" s="248"/>
      <c r="GD16" s="248"/>
      <c r="GE16" s="249"/>
      <c r="GF16" s="40"/>
      <c r="GG16" s="40"/>
      <c r="GH16" s="40"/>
      <c r="GI16" s="42"/>
    </row>
    <row r="17" spans="1:192" ht="9" customHeight="1" thickBot="1" x14ac:dyDescent="0.35">
      <c r="A17" s="264">
        <v>1</v>
      </c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4">
        <v>2</v>
      </c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261"/>
      <c r="Z17" s="261"/>
      <c r="AA17" s="261"/>
      <c r="AB17" s="261"/>
      <c r="AC17" s="261"/>
      <c r="AD17" s="261"/>
      <c r="AE17" s="263"/>
      <c r="AF17" s="261">
        <v>3</v>
      </c>
      <c r="AG17" s="261"/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3"/>
      <c r="AS17" s="264">
        <v>4</v>
      </c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3"/>
      <c r="BE17" s="261">
        <v>5</v>
      </c>
      <c r="BF17" s="261"/>
      <c r="BG17" s="261"/>
      <c r="BH17" s="261"/>
      <c r="BI17" s="261"/>
      <c r="BJ17" s="261"/>
      <c r="BK17" s="261"/>
      <c r="BL17" s="261"/>
      <c r="BM17" s="261"/>
      <c r="BN17" s="261"/>
      <c r="BO17" s="261"/>
      <c r="BP17" s="261"/>
      <c r="BQ17" s="261"/>
      <c r="BR17" s="261"/>
      <c r="BS17" s="261"/>
      <c r="BT17" s="262"/>
      <c r="BU17" s="260">
        <v>6</v>
      </c>
      <c r="BV17" s="261"/>
      <c r="BW17" s="261"/>
      <c r="BX17" s="261"/>
      <c r="BY17" s="261"/>
      <c r="BZ17" s="261"/>
      <c r="CA17" s="261"/>
      <c r="CB17" s="261"/>
      <c r="CC17" s="261"/>
      <c r="CD17" s="261"/>
      <c r="CE17" s="261"/>
      <c r="CF17" s="261"/>
      <c r="CG17" s="261"/>
      <c r="CH17" s="261"/>
      <c r="CI17" s="261"/>
      <c r="CJ17" s="261"/>
      <c r="CK17" s="261"/>
      <c r="CL17" s="261"/>
      <c r="CM17" s="261"/>
      <c r="CN17" s="261"/>
      <c r="CO17" s="261"/>
      <c r="CP17" s="261"/>
      <c r="CQ17" s="261"/>
      <c r="CR17" s="261"/>
      <c r="CS17" s="261"/>
      <c r="CT17" s="261"/>
      <c r="CU17" s="261"/>
      <c r="CV17" s="261"/>
      <c r="CW17" s="261"/>
      <c r="CX17" s="261"/>
      <c r="CY17" s="261"/>
      <c r="CZ17" s="261"/>
      <c r="DA17" s="261"/>
      <c r="DB17" s="261"/>
      <c r="DC17" s="261"/>
      <c r="DD17" s="261"/>
      <c r="DE17" s="261"/>
      <c r="DF17" s="261"/>
      <c r="DG17" s="262"/>
      <c r="DH17" s="260">
        <v>7</v>
      </c>
      <c r="DI17" s="261"/>
      <c r="DJ17" s="261"/>
      <c r="DK17" s="261"/>
      <c r="DL17" s="261"/>
      <c r="DM17" s="261"/>
      <c r="DN17" s="261"/>
      <c r="DO17" s="261"/>
      <c r="DP17" s="261"/>
      <c r="DQ17" s="261"/>
      <c r="DR17" s="262"/>
      <c r="DS17" s="260">
        <v>8</v>
      </c>
      <c r="DT17" s="261"/>
      <c r="DU17" s="261"/>
      <c r="DV17" s="261"/>
      <c r="DW17" s="261"/>
      <c r="DX17" s="261"/>
      <c r="DY17" s="261"/>
      <c r="DZ17" s="261"/>
      <c r="EA17" s="261"/>
      <c r="EB17" s="261"/>
      <c r="EC17" s="262"/>
      <c r="ED17" s="260">
        <v>9</v>
      </c>
      <c r="EE17" s="261"/>
      <c r="EF17" s="261"/>
      <c r="EG17" s="261"/>
      <c r="EH17" s="261"/>
      <c r="EI17" s="261"/>
      <c r="EJ17" s="261"/>
      <c r="EK17" s="261"/>
      <c r="EL17" s="261"/>
      <c r="EM17" s="261"/>
      <c r="EN17" s="263"/>
      <c r="EO17" s="261">
        <v>10</v>
      </c>
      <c r="EP17" s="261"/>
      <c r="EQ17" s="261"/>
      <c r="ER17" s="261"/>
      <c r="ES17" s="261"/>
      <c r="ET17" s="261"/>
      <c r="EU17" s="261"/>
      <c r="EV17" s="261"/>
      <c r="EW17" s="261"/>
      <c r="EX17" s="261"/>
      <c r="EY17" s="261"/>
      <c r="EZ17" s="261"/>
      <c r="FA17" s="261"/>
      <c r="FB17" s="262"/>
      <c r="FC17" s="260">
        <v>11</v>
      </c>
      <c r="FD17" s="261"/>
      <c r="FE17" s="261"/>
      <c r="FF17" s="261"/>
      <c r="FG17" s="261"/>
      <c r="FH17" s="261"/>
      <c r="FI17" s="261"/>
      <c r="FJ17" s="261"/>
      <c r="FK17" s="261"/>
      <c r="FL17" s="261"/>
      <c r="FM17" s="262"/>
      <c r="FN17" s="260">
        <v>12</v>
      </c>
      <c r="FO17" s="261"/>
      <c r="FP17" s="261"/>
      <c r="FQ17" s="261"/>
      <c r="FR17" s="261"/>
      <c r="FS17" s="261"/>
      <c r="FT17" s="261"/>
      <c r="FU17" s="261"/>
      <c r="FV17" s="261"/>
      <c r="FW17" s="261"/>
      <c r="FX17" s="261"/>
      <c r="FY17" s="261"/>
      <c r="FZ17" s="261"/>
      <c r="GA17" s="261"/>
      <c r="GB17" s="261"/>
      <c r="GC17" s="261"/>
      <c r="GD17" s="261"/>
      <c r="GE17" s="263"/>
      <c r="GF17" s="40"/>
      <c r="GG17" s="40"/>
      <c r="GH17" s="40"/>
      <c r="GI17" s="42"/>
    </row>
    <row r="18" spans="1:192" ht="24" customHeight="1" thickBot="1" x14ac:dyDescent="0.35">
      <c r="A18" s="272" t="s">
        <v>78</v>
      </c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  <c r="AR18" s="270"/>
      <c r="AS18" s="273">
        <v>1</v>
      </c>
      <c r="AT18" s="273"/>
      <c r="AU18" s="273"/>
      <c r="AV18" s="273"/>
      <c r="AW18" s="273"/>
      <c r="AX18" s="273"/>
      <c r="AY18" s="273"/>
      <c r="AZ18" s="273"/>
      <c r="BA18" s="273"/>
      <c r="BB18" s="273"/>
      <c r="BC18" s="273"/>
      <c r="BD18" s="273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274" t="s">
        <v>307</v>
      </c>
      <c r="BV18" s="275" t="s">
        <v>79</v>
      </c>
      <c r="BW18" s="275" t="s">
        <v>79</v>
      </c>
      <c r="BX18" s="275" t="s">
        <v>79</v>
      </c>
      <c r="BY18" s="275" t="s">
        <v>79</v>
      </c>
      <c r="BZ18" s="275" t="s">
        <v>79</v>
      </c>
      <c r="CA18" s="275" t="s">
        <v>79</v>
      </c>
      <c r="CB18" s="275" t="s">
        <v>79</v>
      </c>
      <c r="CC18" s="275" t="s">
        <v>79</v>
      </c>
      <c r="CD18" s="275" t="s">
        <v>79</v>
      </c>
      <c r="CE18" s="275" t="s">
        <v>79</v>
      </c>
      <c r="CF18" s="275" t="s">
        <v>79</v>
      </c>
      <c r="CG18" s="275" t="s">
        <v>79</v>
      </c>
      <c r="CH18" s="275" t="s">
        <v>79</v>
      </c>
      <c r="CI18" s="275" t="s">
        <v>79</v>
      </c>
      <c r="CJ18" s="275" t="s">
        <v>79</v>
      </c>
      <c r="CK18" s="275" t="s">
        <v>79</v>
      </c>
      <c r="CL18" s="275" t="s">
        <v>79</v>
      </c>
      <c r="CM18" s="275" t="s">
        <v>79</v>
      </c>
      <c r="CN18" s="275" t="s">
        <v>79</v>
      </c>
      <c r="CO18" s="275" t="s">
        <v>79</v>
      </c>
      <c r="CP18" s="275" t="s">
        <v>79</v>
      </c>
      <c r="CQ18" s="275" t="s">
        <v>79</v>
      </c>
      <c r="CR18" s="275" t="s">
        <v>79</v>
      </c>
      <c r="CS18" s="275" t="s">
        <v>79</v>
      </c>
      <c r="CT18" s="275" t="s">
        <v>79</v>
      </c>
      <c r="CU18" s="275" t="s">
        <v>79</v>
      </c>
      <c r="CV18" s="275" t="s">
        <v>79</v>
      </c>
      <c r="CW18" s="275" t="s">
        <v>79</v>
      </c>
      <c r="CX18" s="275" t="s">
        <v>79</v>
      </c>
      <c r="CY18" s="275" t="s">
        <v>79</v>
      </c>
      <c r="CZ18" s="275" t="s">
        <v>79</v>
      </c>
      <c r="DA18" s="275" t="s">
        <v>79</v>
      </c>
      <c r="DB18" s="275" t="s">
        <v>79</v>
      </c>
      <c r="DC18" s="275" t="s">
        <v>79</v>
      </c>
      <c r="DD18" s="275" t="s">
        <v>79</v>
      </c>
      <c r="DE18" s="275" t="s">
        <v>79</v>
      </c>
      <c r="DF18" s="275" t="s">
        <v>79</v>
      </c>
      <c r="DG18" s="276" t="s">
        <v>79</v>
      </c>
      <c r="DH18" s="265" t="s">
        <v>312</v>
      </c>
      <c r="DI18" s="265"/>
      <c r="DJ18" s="265"/>
      <c r="DK18" s="265"/>
      <c r="DL18" s="265"/>
      <c r="DM18" s="265"/>
      <c r="DN18" s="265"/>
      <c r="DO18" s="265"/>
      <c r="DP18" s="265"/>
      <c r="DQ18" s="265"/>
      <c r="DR18" s="265"/>
      <c r="DS18" s="266"/>
      <c r="DT18" s="266"/>
      <c r="DU18" s="266"/>
      <c r="DV18" s="266"/>
      <c r="DW18" s="266"/>
      <c r="DX18" s="266"/>
      <c r="DY18" s="266"/>
      <c r="DZ18" s="266"/>
      <c r="EA18" s="266"/>
      <c r="EB18" s="266"/>
      <c r="EC18" s="266"/>
      <c r="ED18" s="266"/>
      <c r="EE18" s="266"/>
      <c r="EF18" s="266"/>
      <c r="EG18" s="266"/>
      <c r="EH18" s="266"/>
      <c r="EI18" s="266"/>
      <c r="EJ18" s="266"/>
      <c r="EK18" s="266"/>
      <c r="EL18" s="266"/>
      <c r="EM18" s="266"/>
      <c r="EN18" s="266"/>
      <c r="EO18" s="267">
        <v>50</v>
      </c>
      <c r="EP18" s="267"/>
      <c r="EQ18" s="267"/>
      <c r="ER18" s="267"/>
      <c r="ES18" s="267"/>
      <c r="ET18" s="267"/>
      <c r="EU18" s="267"/>
      <c r="EV18" s="267"/>
      <c r="EW18" s="267"/>
      <c r="EX18" s="267"/>
      <c r="EY18" s="267"/>
      <c r="EZ18" s="267"/>
      <c r="FA18" s="267"/>
      <c r="FB18" s="267"/>
      <c r="FC18" s="269"/>
      <c r="FD18" s="269"/>
      <c r="FE18" s="269"/>
      <c r="FF18" s="269"/>
      <c r="FG18" s="269"/>
      <c r="FH18" s="269"/>
      <c r="FI18" s="269"/>
      <c r="FJ18" s="269"/>
      <c r="FK18" s="269"/>
      <c r="FL18" s="269"/>
      <c r="FM18" s="269"/>
      <c r="FN18" s="270"/>
      <c r="FO18" s="270"/>
      <c r="FP18" s="270"/>
      <c r="FQ18" s="270"/>
      <c r="FR18" s="270"/>
      <c r="FS18" s="270"/>
      <c r="FT18" s="270"/>
      <c r="FU18" s="270"/>
      <c r="FV18" s="270"/>
      <c r="FW18" s="270"/>
      <c r="FX18" s="270"/>
      <c r="FY18" s="270"/>
      <c r="FZ18" s="270"/>
      <c r="GA18" s="270"/>
      <c r="GB18" s="270"/>
      <c r="GC18" s="270"/>
      <c r="GD18" s="270"/>
      <c r="GE18" s="271"/>
      <c r="GF18" s="40"/>
      <c r="GG18" s="40"/>
      <c r="GH18" s="40"/>
      <c r="GI18" s="42"/>
      <c r="GJ18">
        <f>AS18*5</f>
        <v>5</v>
      </c>
    </row>
    <row r="19" spans="1:192" ht="19.2" customHeight="1" thickBot="1" x14ac:dyDescent="0.35">
      <c r="A19" s="279" t="s">
        <v>81</v>
      </c>
      <c r="B19" s="277"/>
      <c r="C19" s="277"/>
      <c r="D19" s="277"/>
      <c r="E19" s="277"/>
      <c r="F19" s="277"/>
      <c r="G19" s="277"/>
      <c r="H19" s="277"/>
      <c r="I19" s="277"/>
      <c r="J19" s="277"/>
      <c r="K19" s="277"/>
      <c r="L19" s="277"/>
      <c r="M19" s="277"/>
      <c r="N19" s="277"/>
      <c r="O19" s="277"/>
      <c r="P19" s="277"/>
      <c r="Q19" s="277"/>
      <c r="R19" s="277"/>
      <c r="S19" s="277"/>
      <c r="T19" s="277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80">
        <v>1</v>
      </c>
      <c r="AT19" s="280"/>
      <c r="AU19" s="280"/>
      <c r="AV19" s="280"/>
      <c r="AW19" s="280"/>
      <c r="AX19" s="280"/>
      <c r="AY19" s="280"/>
      <c r="AZ19" s="280"/>
      <c r="BA19" s="280"/>
      <c r="BB19" s="280"/>
      <c r="BC19" s="280"/>
      <c r="BD19" s="280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281"/>
      <c r="BV19" s="282"/>
      <c r="BW19" s="282"/>
      <c r="BX19" s="282"/>
      <c r="BY19" s="282"/>
      <c r="BZ19" s="282"/>
      <c r="CA19" s="282"/>
      <c r="CB19" s="282"/>
      <c r="CC19" s="282"/>
      <c r="CD19" s="282"/>
      <c r="CE19" s="282"/>
      <c r="CF19" s="282"/>
      <c r="CG19" s="282"/>
      <c r="CH19" s="282"/>
      <c r="CI19" s="282"/>
      <c r="CJ19" s="282"/>
      <c r="CK19" s="282"/>
      <c r="CL19" s="282"/>
      <c r="CM19" s="282"/>
      <c r="CN19" s="282"/>
      <c r="CO19" s="282"/>
      <c r="CP19" s="282"/>
      <c r="CQ19" s="282"/>
      <c r="CR19" s="282"/>
      <c r="CS19" s="282"/>
      <c r="CT19" s="282"/>
      <c r="CU19" s="282"/>
      <c r="CV19" s="282"/>
      <c r="CW19" s="282"/>
      <c r="CX19" s="282"/>
      <c r="CY19" s="282"/>
      <c r="CZ19" s="282"/>
      <c r="DA19" s="282"/>
      <c r="DB19" s="282"/>
      <c r="DC19" s="282"/>
      <c r="DD19" s="282"/>
      <c r="DE19" s="282"/>
      <c r="DF19" s="282"/>
      <c r="DG19" s="283"/>
      <c r="DH19" s="265" t="s">
        <v>312</v>
      </c>
      <c r="DI19" s="265"/>
      <c r="DJ19" s="265"/>
      <c r="DK19" s="265"/>
      <c r="DL19" s="265"/>
      <c r="DM19" s="265"/>
      <c r="DN19" s="265"/>
      <c r="DO19" s="265"/>
      <c r="DP19" s="265"/>
      <c r="DQ19" s="265"/>
      <c r="DR19" s="265"/>
      <c r="DS19" s="284"/>
      <c r="DT19" s="284"/>
      <c r="DU19" s="284"/>
      <c r="DV19" s="284"/>
      <c r="DW19" s="284"/>
      <c r="DX19" s="284"/>
      <c r="DY19" s="284"/>
      <c r="DZ19" s="284"/>
      <c r="EA19" s="284"/>
      <c r="EB19" s="284"/>
      <c r="EC19" s="284"/>
      <c r="ED19" s="284"/>
      <c r="EE19" s="284"/>
      <c r="EF19" s="284"/>
      <c r="EG19" s="284"/>
      <c r="EH19" s="284"/>
      <c r="EI19" s="284"/>
      <c r="EJ19" s="284"/>
      <c r="EK19" s="284"/>
      <c r="EL19" s="284"/>
      <c r="EM19" s="284"/>
      <c r="EN19" s="284"/>
      <c r="EO19" s="267">
        <v>60</v>
      </c>
      <c r="EP19" s="267"/>
      <c r="EQ19" s="267"/>
      <c r="ER19" s="267"/>
      <c r="ES19" s="267"/>
      <c r="ET19" s="267"/>
      <c r="EU19" s="267"/>
      <c r="EV19" s="267"/>
      <c r="EW19" s="267"/>
      <c r="EX19" s="267"/>
      <c r="EY19" s="267"/>
      <c r="EZ19" s="267"/>
      <c r="FA19" s="267"/>
      <c r="FB19" s="267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77"/>
      <c r="FO19" s="277"/>
      <c r="FP19" s="277"/>
      <c r="FQ19" s="277"/>
      <c r="FR19" s="277"/>
      <c r="FS19" s="277"/>
      <c r="FT19" s="277"/>
      <c r="FU19" s="277"/>
      <c r="FV19" s="277"/>
      <c r="FW19" s="277"/>
      <c r="FX19" s="277"/>
      <c r="FY19" s="277"/>
      <c r="FZ19" s="277"/>
      <c r="GA19" s="277"/>
      <c r="GB19" s="277"/>
      <c r="GC19" s="277"/>
      <c r="GD19" s="277"/>
      <c r="GE19" s="278"/>
      <c r="GF19" s="40"/>
      <c r="GG19" s="40"/>
      <c r="GH19" s="40"/>
      <c r="GI19" s="42"/>
      <c r="GJ19">
        <f>AS19*20.9</f>
        <v>20.9</v>
      </c>
    </row>
    <row r="20" spans="1:192" ht="18.600000000000001" customHeight="1" thickBot="1" x14ac:dyDescent="0.35">
      <c r="A20" s="279" t="s">
        <v>82</v>
      </c>
      <c r="B20" s="277"/>
      <c r="C20" s="277"/>
      <c r="D20" s="277"/>
      <c r="E20" s="277"/>
      <c r="F20" s="277"/>
      <c r="G20" s="277"/>
      <c r="H20" s="277"/>
      <c r="I20" s="277"/>
      <c r="J20" s="277"/>
      <c r="K20" s="277"/>
      <c r="L20" s="277"/>
      <c r="M20" s="277"/>
      <c r="N20" s="277"/>
      <c r="O20" s="277"/>
      <c r="P20" s="277"/>
      <c r="Q20" s="277"/>
      <c r="R20" s="277"/>
      <c r="S20" s="277"/>
      <c r="T20" s="277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80"/>
      <c r="AT20" s="280"/>
      <c r="AU20" s="280"/>
      <c r="AV20" s="280"/>
      <c r="AW20" s="280"/>
      <c r="AX20" s="280"/>
      <c r="AY20" s="280"/>
      <c r="AZ20" s="280"/>
      <c r="BA20" s="280"/>
      <c r="BB20" s="280"/>
      <c r="BC20" s="280"/>
      <c r="BD20" s="280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289"/>
      <c r="BV20" s="290"/>
      <c r="BW20" s="290"/>
      <c r="BX20" s="290"/>
      <c r="BY20" s="290"/>
      <c r="BZ20" s="290"/>
      <c r="CA20" s="290"/>
      <c r="CB20" s="290"/>
      <c r="CC20" s="290"/>
      <c r="CD20" s="290"/>
      <c r="CE20" s="290"/>
      <c r="CF20" s="290"/>
      <c r="CG20" s="290"/>
      <c r="CH20" s="290"/>
      <c r="CI20" s="290"/>
      <c r="CJ20" s="290"/>
      <c r="CK20" s="290"/>
      <c r="CL20" s="290"/>
      <c r="CM20" s="290"/>
      <c r="CN20" s="290"/>
      <c r="CO20" s="290"/>
      <c r="CP20" s="290"/>
      <c r="CQ20" s="290"/>
      <c r="CR20" s="290"/>
      <c r="CS20" s="290"/>
      <c r="CT20" s="290"/>
      <c r="CU20" s="290"/>
      <c r="CV20" s="290"/>
      <c r="CW20" s="290"/>
      <c r="CX20" s="290"/>
      <c r="CY20" s="290"/>
      <c r="CZ20" s="290"/>
      <c r="DA20" s="290"/>
      <c r="DB20" s="290"/>
      <c r="DC20" s="290"/>
      <c r="DD20" s="290"/>
      <c r="DE20" s="290"/>
      <c r="DF20" s="290"/>
      <c r="DG20" s="291"/>
      <c r="DH20" s="285"/>
      <c r="DI20" s="286"/>
      <c r="DJ20" s="286"/>
      <c r="DK20" s="286"/>
      <c r="DL20" s="286"/>
      <c r="DM20" s="286"/>
      <c r="DN20" s="286"/>
      <c r="DO20" s="286"/>
      <c r="DP20" s="286"/>
      <c r="DQ20" s="286"/>
      <c r="DR20" s="287"/>
      <c r="DS20" s="284"/>
      <c r="DT20" s="284"/>
      <c r="DU20" s="284"/>
      <c r="DV20" s="284"/>
      <c r="DW20" s="284"/>
      <c r="DX20" s="284"/>
      <c r="DY20" s="284"/>
      <c r="DZ20" s="284"/>
      <c r="EA20" s="284"/>
      <c r="EB20" s="284"/>
      <c r="EC20" s="284"/>
      <c r="ED20" s="284"/>
      <c r="EE20" s="284"/>
      <c r="EF20" s="284"/>
      <c r="EG20" s="284"/>
      <c r="EH20" s="284"/>
      <c r="EI20" s="284"/>
      <c r="EJ20" s="284"/>
      <c r="EK20" s="284"/>
      <c r="EL20" s="284"/>
      <c r="EM20" s="284"/>
      <c r="EN20" s="284"/>
      <c r="EO20" s="288"/>
      <c r="EP20" s="288"/>
      <c r="EQ20" s="288"/>
      <c r="ER20" s="288"/>
      <c r="ES20" s="288"/>
      <c r="ET20" s="288"/>
      <c r="EU20" s="288"/>
      <c r="EV20" s="288"/>
      <c r="EW20" s="288"/>
      <c r="EX20" s="288"/>
      <c r="EY20" s="288"/>
      <c r="EZ20" s="288"/>
      <c r="FA20" s="288"/>
      <c r="FB20" s="288"/>
      <c r="FC20" s="268"/>
      <c r="FD20" s="268"/>
      <c r="FE20" s="268"/>
      <c r="FF20" s="268"/>
      <c r="FG20" s="268"/>
      <c r="FH20" s="268"/>
      <c r="FI20" s="268"/>
      <c r="FJ20" s="268"/>
      <c r="FK20" s="268"/>
      <c r="FL20" s="268"/>
      <c r="FM20" s="268"/>
      <c r="FN20" s="277"/>
      <c r="FO20" s="277"/>
      <c r="FP20" s="277"/>
      <c r="FQ20" s="277"/>
      <c r="FR20" s="277"/>
      <c r="FS20" s="277"/>
      <c r="FT20" s="277"/>
      <c r="FU20" s="277"/>
      <c r="FV20" s="277"/>
      <c r="FW20" s="277"/>
      <c r="FX20" s="277"/>
      <c r="FY20" s="277"/>
      <c r="FZ20" s="277"/>
      <c r="GA20" s="277"/>
      <c r="GB20" s="277"/>
      <c r="GC20" s="277"/>
      <c r="GD20" s="277"/>
      <c r="GE20" s="278"/>
      <c r="GF20" s="40"/>
      <c r="GG20" s="40"/>
      <c r="GH20" s="40"/>
      <c r="GI20" s="42"/>
      <c r="GJ20">
        <f>AS20*10.9</f>
        <v>0</v>
      </c>
    </row>
    <row r="21" spans="1:192" ht="18.600000000000001" customHeight="1" thickBot="1" x14ac:dyDescent="0.35">
      <c r="A21" s="279" t="s">
        <v>83</v>
      </c>
      <c r="B21" s="277"/>
      <c r="C21" s="277"/>
      <c r="D21" s="277"/>
      <c r="E21" s="277"/>
      <c r="F21" s="277"/>
      <c r="G21" s="277"/>
      <c r="H21" s="277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80"/>
      <c r="AT21" s="280"/>
      <c r="AU21" s="280"/>
      <c r="AV21" s="280"/>
      <c r="AW21" s="280"/>
      <c r="AX21" s="280"/>
      <c r="AY21" s="280"/>
      <c r="AZ21" s="280"/>
      <c r="BA21" s="280"/>
      <c r="BB21" s="280"/>
      <c r="BC21" s="280"/>
      <c r="BD21" s="280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289"/>
      <c r="BV21" s="290"/>
      <c r="BW21" s="290"/>
      <c r="BX21" s="290"/>
      <c r="BY21" s="290"/>
      <c r="BZ21" s="290"/>
      <c r="CA21" s="290"/>
      <c r="CB21" s="290"/>
      <c r="CC21" s="290"/>
      <c r="CD21" s="290"/>
      <c r="CE21" s="290"/>
      <c r="CF21" s="290"/>
      <c r="CG21" s="290"/>
      <c r="CH21" s="290"/>
      <c r="CI21" s="290"/>
      <c r="CJ21" s="290"/>
      <c r="CK21" s="290"/>
      <c r="CL21" s="290"/>
      <c r="CM21" s="290"/>
      <c r="CN21" s="290"/>
      <c r="CO21" s="290"/>
      <c r="CP21" s="290"/>
      <c r="CQ21" s="290"/>
      <c r="CR21" s="290"/>
      <c r="CS21" s="290"/>
      <c r="CT21" s="290"/>
      <c r="CU21" s="290"/>
      <c r="CV21" s="290"/>
      <c r="CW21" s="290"/>
      <c r="CX21" s="290"/>
      <c r="CY21" s="290"/>
      <c r="CZ21" s="290"/>
      <c r="DA21" s="290"/>
      <c r="DB21" s="290"/>
      <c r="DC21" s="290"/>
      <c r="DD21" s="290"/>
      <c r="DE21" s="290"/>
      <c r="DF21" s="290"/>
      <c r="DG21" s="291"/>
      <c r="DH21" s="285"/>
      <c r="DI21" s="286"/>
      <c r="DJ21" s="286"/>
      <c r="DK21" s="286"/>
      <c r="DL21" s="286"/>
      <c r="DM21" s="286"/>
      <c r="DN21" s="286"/>
      <c r="DO21" s="286"/>
      <c r="DP21" s="286"/>
      <c r="DQ21" s="286"/>
      <c r="DR21" s="287"/>
      <c r="DS21" s="284"/>
      <c r="DT21" s="284"/>
      <c r="DU21" s="284"/>
      <c r="DV21" s="284"/>
      <c r="DW21" s="284"/>
      <c r="DX21" s="284"/>
      <c r="DY21" s="284"/>
      <c r="DZ21" s="284"/>
      <c r="EA21" s="284"/>
      <c r="EB21" s="284"/>
      <c r="EC21" s="284"/>
      <c r="ED21" s="284"/>
      <c r="EE21" s="284"/>
      <c r="EF21" s="284"/>
      <c r="EG21" s="284"/>
      <c r="EH21" s="284"/>
      <c r="EI21" s="284"/>
      <c r="EJ21" s="284"/>
      <c r="EK21" s="284"/>
      <c r="EL21" s="284"/>
      <c r="EM21" s="284"/>
      <c r="EN21" s="284"/>
      <c r="EO21" s="288"/>
      <c r="EP21" s="288"/>
      <c r="EQ21" s="288"/>
      <c r="ER21" s="288"/>
      <c r="ES21" s="288"/>
      <c r="ET21" s="288"/>
      <c r="EU21" s="288"/>
      <c r="EV21" s="288"/>
      <c r="EW21" s="288"/>
      <c r="EX21" s="288"/>
      <c r="EY21" s="288"/>
      <c r="EZ21" s="288"/>
      <c r="FA21" s="288"/>
      <c r="FB21" s="288"/>
      <c r="FC21" s="268"/>
      <c r="FD21" s="268"/>
      <c r="FE21" s="268"/>
      <c r="FF21" s="268"/>
      <c r="FG21" s="268"/>
      <c r="FH21" s="268"/>
      <c r="FI21" s="268"/>
      <c r="FJ21" s="268"/>
      <c r="FK21" s="268"/>
      <c r="FL21" s="268"/>
      <c r="FM21" s="268"/>
      <c r="FN21" s="277"/>
      <c r="FO21" s="277"/>
      <c r="FP21" s="277"/>
      <c r="FQ21" s="277"/>
      <c r="FR21" s="277"/>
      <c r="FS21" s="277"/>
      <c r="FT21" s="277"/>
      <c r="FU21" s="277"/>
      <c r="FV21" s="277"/>
      <c r="FW21" s="277"/>
      <c r="FX21" s="277"/>
      <c r="FY21" s="277"/>
      <c r="FZ21" s="277"/>
      <c r="GA21" s="277"/>
      <c r="GB21" s="277"/>
      <c r="GC21" s="277"/>
      <c r="GD21" s="277"/>
      <c r="GE21" s="278"/>
      <c r="GF21" s="40"/>
      <c r="GG21" s="40"/>
      <c r="GH21" s="40"/>
      <c r="GI21" s="42"/>
      <c r="GJ21">
        <f>AS21*1.82</f>
        <v>0</v>
      </c>
    </row>
    <row r="22" spans="1:192" ht="18.600000000000001" customHeight="1" thickBot="1" x14ac:dyDescent="0.35">
      <c r="A22" s="279" t="s">
        <v>84</v>
      </c>
      <c r="B22" s="277"/>
      <c r="C22" s="277"/>
      <c r="D22" s="277"/>
      <c r="E22" s="277"/>
      <c r="F22" s="277"/>
      <c r="G22" s="277"/>
      <c r="H22" s="277"/>
      <c r="I22" s="277"/>
      <c r="J22" s="277"/>
      <c r="K22" s="277"/>
      <c r="L22" s="277"/>
      <c r="M22" s="277"/>
      <c r="N22" s="277"/>
      <c r="O22" s="277"/>
      <c r="P22" s="277"/>
      <c r="Q22" s="277"/>
      <c r="R22" s="277"/>
      <c r="S22" s="277"/>
      <c r="T22" s="277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80"/>
      <c r="AT22" s="280"/>
      <c r="AU22" s="280"/>
      <c r="AV22" s="280"/>
      <c r="AW22" s="280"/>
      <c r="AX22" s="280"/>
      <c r="AY22" s="280"/>
      <c r="AZ22" s="280"/>
      <c r="BA22" s="280"/>
      <c r="BB22" s="280"/>
      <c r="BC22" s="280"/>
      <c r="BD22" s="280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289"/>
      <c r="BV22" s="290"/>
      <c r="BW22" s="290"/>
      <c r="BX22" s="290"/>
      <c r="BY22" s="290"/>
      <c r="BZ22" s="290"/>
      <c r="CA22" s="290"/>
      <c r="CB22" s="290"/>
      <c r="CC22" s="290"/>
      <c r="CD22" s="290"/>
      <c r="CE22" s="290"/>
      <c r="CF22" s="290"/>
      <c r="CG22" s="290"/>
      <c r="CH22" s="290"/>
      <c r="CI22" s="290"/>
      <c r="CJ22" s="290"/>
      <c r="CK22" s="290"/>
      <c r="CL22" s="290"/>
      <c r="CM22" s="290"/>
      <c r="CN22" s="290"/>
      <c r="CO22" s="290"/>
      <c r="CP22" s="290"/>
      <c r="CQ22" s="290"/>
      <c r="CR22" s="290"/>
      <c r="CS22" s="290"/>
      <c r="CT22" s="290"/>
      <c r="CU22" s="290"/>
      <c r="CV22" s="290"/>
      <c r="CW22" s="290"/>
      <c r="CX22" s="290"/>
      <c r="CY22" s="290"/>
      <c r="CZ22" s="290"/>
      <c r="DA22" s="290"/>
      <c r="DB22" s="290"/>
      <c r="DC22" s="290"/>
      <c r="DD22" s="290"/>
      <c r="DE22" s="290"/>
      <c r="DF22" s="290"/>
      <c r="DG22" s="291"/>
      <c r="DH22" s="285"/>
      <c r="DI22" s="286"/>
      <c r="DJ22" s="286"/>
      <c r="DK22" s="286"/>
      <c r="DL22" s="286"/>
      <c r="DM22" s="286"/>
      <c r="DN22" s="286"/>
      <c r="DO22" s="286"/>
      <c r="DP22" s="286"/>
      <c r="DQ22" s="286"/>
      <c r="DR22" s="287"/>
      <c r="DS22" s="284"/>
      <c r="DT22" s="284"/>
      <c r="DU22" s="284"/>
      <c r="DV22" s="284"/>
      <c r="DW22" s="284"/>
      <c r="DX22" s="284"/>
      <c r="DY22" s="284"/>
      <c r="DZ22" s="284"/>
      <c r="EA22" s="284"/>
      <c r="EB22" s="284"/>
      <c r="EC22" s="284"/>
      <c r="ED22" s="284"/>
      <c r="EE22" s="284"/>
      <c r="EF22" s="284"/>
      <c r="EG22" s="284"/>
      <c r="EH22" s="284"/>
      <c r="EI22" s="284"/>
      <c r="EJ22" s="284"/>
      <c r="EK22" s="284"/>
      <c r="EL22" s="284"/>
      <c r="EM22" s="284"/>
      <c r="EN22" s="284"/>
      <c r="EO22" s="288"/>
      <c r="EP22" s="288"/>
      <c r="EQ22" s="288"/>
      <c r="ER22" s="288"/>
      <c r="ES22" s="288"/>
      <c r="ET22" s="288"/>
      <c r="EU22" s="288"/>
      <c r="EV22" s="288"/>
      <c r="EW22" s="288"/>
      <c r="EX22" s="288"/>
      <c r="EY22" s="288"/>
      <c r="EZ22" s="288"/>
      <c r="FA22" s="288"/>
      <c r="FB22" s="288"/>
      <c r="FC22" s="268"/>
      <c r="FD22" s="268"/>
      <c r="FE22" s="268"/>
      <c r="FF22" s="268"/>
      <c r="FG22" s="268"/>
      <c r="FH22" s="268"/>
      <c r="FI22" s="268"/>
      <c r="FJ22" s="268"/>
      <c r="FK22" s="268"/>
      <c r="FL22" s="268"/>
      <c r="FM22" s="268"/>
      <c r="FN22" s="277"/>
      <c r="FO22" s="277"/>
      <c r="FP22" s="277"/>
      <c r="FQ22" s="277"/>
      <c r="FR22" s="277"/>
      <c r="FS22" s="277"/>
      <c r="FT22" s="277"/>
      <c r="FU22" s="277"/>
      <c r="FV22" s="277"/>
      <c r="FW22" s="277"/>
      <c r="FX22" s="277"/>
      <c r="FY22" s="277"/>
      <c r="FZ22" s="277"/>
      <c r="GA22" s="277"/>
      <c r="GB22" s="277"/>
      <c r="GC22" s="277"/>
      <c r="GD22" s="277"/>
      <c r="GE22" s="278"/>
      <c r="GF22" s="40"/>
      <c r="GG22" s="40"/>
      <c r="GH22" s="40"/>
      <c r="GI22" s="42"/>
      <c r="GJ22">
        <f>AS22*1.46</f>
        <v>0</v>
      </c>
    </row>
    <row r="23" spans="1:192" ht="18.600000000000001" customHeight="1" thickBot="1" x14ac:dyDescent="0.35">
      <c r="A23" s="279" t="s">
        <v>85</v>
      </c>
      <c r="B23" s="277"/>
      <c r="C23" s="277"/>
      <c r="D23" s="277"/>
      <c r="E23" s="277"/>
      <c r="F23" s="277"/>
      <c r="G23" s="277"/>
      <c r="H23" s="277"/>
      <c r="I23" s="277"/>
      <c r="J23" s="277"/>
      <c r="K23" s="277"/>
      <c r="L23" s="277"/>
      <c r="M23" s="277"/>
      <c r="N23" s="277"/>
      <c r="O23" s="277"/>
      <c r="P23" s="277"/>
      <c r="Q23" s="277"/>
      <c r="R23" s="277"/>
      <c r="S23" s="277"/>
      <c r="T23" s="277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80"/>
      <c r="AT23" s="280"/>
      <c r="AU23" s="280"/>
      <c r="AV23" s="280"/>
      <c r="AW23" s="280"/>
      <c r="AX23" s="280"/>
      <c r="AY23" s="280"/>
      <c r="AZ23" s="280"/>
      <c r="BA23" s="280"/>
      <c r="BB23" s="280"/>
      <c r="BC23" s="280"/>
      <c r="BD23" s="280"/>
      <c r="BE23" s="268"/>
      <c r="BF23" s="268"/>
      <c r="BG23" s="268"/>
      <c r="BH23" s="268"/>
      <c r="BI23" s="268"/>
      <c r="BJ23" s="268"/>
      <c r="BK23" s="268"/>
      <c r="BL23" s="268"/>
      <c r="BM23" s="268"/>
      <c r="BN23" s="268"/>
      <c r="BO23" s="268"/>
      <c r="BP23" s="268"/>
      <c r="BQ23" s="268"/>
      <c r="BR23" s="268"/>
      <c r="BS23" s="268"/>
      <c r="BT23" s="268"/>
      <c r="BU23" s="289"/>
      <c r="BV23" s="290"/>
      <c r="BW23" s="290"/>
      <c r="BX23" s="290"/>
      <c r="BY23" s="290"/>
      <c r="BZ23" s="290"/>
      <c r="CA23" s="290"/>
      <c r="CB23" s="290"/>
      <c r="CC23" s="290"/>
      <c r="CD23" s="290"/>
      <c r="CE23" s="290"/>
      <c r="CF23" s="290"/>
      <c r="CG23" s="290"/>
      <c r="CH23" s="290"/>
      <c r="CI23" s="290"/>
      <c r="CJ23" s="290"/>
      <c r="CK23" s="290"/>
      <c r="CL23" s="290"/>
      <c r="CM23" s="290"/>
      <c r="CN23" s="290"/>
      <c r="CO23" s="290"/>
      <c r="CP23" s="290"/>
      <c r="CQ23" s="290"/>
      <c r="CR23" s="290"/>
      <c r="CS23" s="290"/>
      <c r="CT23" s="290"/>
      <c r="CU23" s="290"/>
      <c r="CV23" s="290"/>
      <c r="CW23" s="290"/>
      <c r="CX23" s="290"/>
      <c r="CY23" s="290"/>
      <c r="CZ23" s="290"/>
      <c r="DA23" s="290"/>
      <c r="DB23" s="290"/>
      <c r="DC23" s="290"/>
      <c r="DD23" s="290"/>
      <c r="DE23" s="290"/>
      <c r="DF23" s="290"/>
      <c r="DG23" s="291"/>
      <c r="DH23" s="285"/>
      <c r="DI23" s="286"/>
      <c r="DJ23" s="286"/>
      <c r="DK23" s="286"/>
      <c r="DL23" s="286"/>
      <c r="DM23" s="286"/>
      <c r="DN23" s="286"/>
      <c r="DO23" s="286"/>
      <c r="DP23" s="286"/>
      <c r="DQ23" s="286"/>
      <c r="DR23" s="287"/>
      <c r="DS23" s="284"/>
      <c r="DT23" s="284"/>
      <c r="DU23" s="284"/>
      <c r="DV23" s="284"/>
      <c r="DW23" s="284"/>
      <c r="DX23" s="284"/>
      <c r="DY23" s="284"/>
      <c r="DZ23" s="284"/>
      <c r="EA23" s="284"/>
      <c r="EB23" s="284"/>
      <c r="EC23" s="284"/>
      <c r="ED23" s="284"/>
      <c r="EE23" s="284"/>
      <c r="EF23" s="284"/>
      <c r="EG23" s="284"/>
      <c r="EH23" s="284"/>
      <c r="EI23" s="284"/>
      <c r="EJ23" s="284"/>
      <c r="EK23" s="284"/>
      <c r="EL23" s="284"/>
      <c r="EM23" s="284"/>
      <c r="EN23" s="284"/>
      <c r="EO23" s="288"/>
      <c r="EP23" s="288"/>
      <c r="EQ23" s="288"/>
      <c r="ER23" s="288"/>
      <c r="ES23" s="288"/>
      <c r="ET23" s="288"/>
      <c r="EU23" s="288"/>
      <c r="EV23" s="288"/>
      <c r="EW23" s="288"/>
      <c r="EX23" s="288"/>
      <c r="EY23" s="288"/>
      <c r="EZ23" s="288"/>
      <c r="FA23" s="288"/>
      <c r="FB23" s="288"/>
      <c r="FC23" s="268"/>
      <c r="FD23" s="268"/>
      <c r="FE23" s="268"/>
      <c r="FF23" s="268"/>
      <c r="FG23" s="268"/>
      <c r="FH23" s="268"/>
      <c r="FI23" s="268"/>
      <c r="FJ23" s="268"/>
      <c r="FK23" s="268"/>
      <c r="FL23" s="268"/>
      <c r="FM23" s="268"/>
      <c r="FN23" s="277"/>
      <c r="FO23" s="277"/>
      <c r="FP23" s="277"/>
      <c r="FQ23" s="277"/>
      <c r="FR23" s="277"/>
      <c r="FS23" s="277"/>
      <c r="FT23" s="277"/>
      <c r="FU23" s="277"/>
      <c r="FV23" s="277"/>
      <c r="FW23" s="277"/>
      <c r="FX23" s="277"/>
      <c r="FY23" s="277"/>
      <c r="FZ23" s="277"/>
      <c r="GA23" s="277"/>
      <c r="GB23" s="277"/>
      <c r="GC23" s="277"/>
      <c r="GD23" s="277"/>
      <c r="GE23" s="278"/>
      <c r="GF23" s="40"/>
      <c r="GG23" s="40"/>
      <c r="GH23" s="40"/>
      <c r="GI23" s="42"/>
      <c r="GJ23">
        <f>AS23*1.46</f>
        <v>0</v>
      </c>
    </row>
    <row r="24" spans="1:192" ht="18.600000000000001" customHeight="1" thickBot="1" x14ac:dyDescent="0.35">
      <c r="A24" s="279" t="s">
        <v>86</v>
      </c>
      <c r="B24" s="277"/>
      <c r="C24" s="277"/>
      <c r="D24" s="277"/>
      <c r="E24" s="277"/>
      <c r="F24" s="277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80"/>
      <c r="AT24" s="280"/>
      <c r="AU24" s="280"/>
      <c r="AV24" s="280"/>
      <c r="AW24" s="280"/>
      <c r="AX24" s="280"/>
      <c r="AY24" s="280"/>
      <c r="AZ24" s="280"/>
      <c r="BA24" s="280"/>
      <c r="BB24" s="280"/>
      <c r="BC24" s="280"/>
      <c r="BD24" s="280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89"/>
      <c r="BV24" s="290"/>
      <c r="BW24" s="290"/>
      <c r="BX24" s="290"/>
      <c r="BY24" s="290"/>
      <c r="BZ24" s="290"/>
      <c r="CA24" s="290"/>
      <c r="CB24" s="290"/>
      <c r="CC24" s="290"/>
      <c r="CD24" s="290"/>
      <c r="CE24" s="290"/>
      <c r="CF24" s="290"/>
      <c r="CG24" s="290"/>
      <c r="CH24" s="290"/>
      <c r="CI24" s="290"/>
      <c r="CJ24" s="290"/>
      <c r="CK24" s="290"/>
      <c r="CL24" s="290"/>
      <c r="CM24" s="290"/>
      <c r="CN24" s="290"/>
      <c r="CO24" s="290"/>
      <c r="CP24" s="290"/>
      <c r="CQ24" s="290"/>
      <c r="CR24" s="290"/>
      <c r="CS24" s="290"/>
      <c r="CT24" s="290"/>
      <c r="CU24" s="290"/>
      <c r="CV24" s="290"/>
      <c r="CW24" s="290"/>
      <c r="CX24" s="290"/>
      <c r="CY24" s="290"/>
      <c r="CZ24" s="290"/>
      <c r="DA24" s="290"/>
      <c r="DB24" s="290"/>
      <c r="DC24" s="290"/>
      <c r="DD24" s="290"/>
      <c r="DE24" s="290"/>
      <c r="DF24" s="290"/>
      <c r="DG24" s="291"/>
      <c r="DH24" s="285"/>
      <c r="DI24" s="286"/>
      <c r="DJ24" s="286"/>
      <c r="DK24" s="286"/>
      <c r="DL24" s="286"/>
      <c r="DM24" s="286"/>
      <c r="DN24" s="286"/>
      <c r="DO24" s="286"/>
      <c r="DP24" s="286"/>
      <c r="DQ24" s="286"/>
      <c r="DR24" s="287"/>
      <c r="DS24" s="284"/>
      <c r="DT24" s="284"/>
      <c r="DU24" s="284"/>
      <c r="DV24" s="284"/>
      <c r="DW24" s="284"/>
      <c r="DX24" s="284"/>
      <c r="DY24" s="284"/>
      <c r="DZ24" s="284"/>
      <c r="EA24" s="284"/>
      <c r="EB24" s="284"/>
      <c r="EC24" s="284"/>
      <c r="ED24" s="284"/>
      <c r="EE24" s="284"/>
      <c r="EF24" s="284"/>
      <c r="EG24" s="284"/>
      <c r="EH24" s="284"/>
      <c r="EI24" s="284"/>
      <c r="EJ24" s="284"/>
      <c r="EK24" s="284"/>
      <c r="EL24" s="284"/>
      <c r="EM24" s="284"/>
      <c r="EN24" s="284"/>
      <c r="EO24" s="288"/>
      <c r="EP24" s="288"/>
      <c r="EQ24" s="288"/>
      <c r="ER24" s="288"/>
      <c r="ES24" s="288"/>
      <c r="ET24" s="288"/>
      <c r="EU24" s="288"/>
      <c r="EV24" s="288"/>
      <c r="EW24" s="288"/>
      <c r="EX24" s="288"/>
      <c r="EY24" s="288"/>
      <c r="EZ24" s="288"/>
      <c r="FA24" s="288"/>
      <c r="FB24" s="288"/>
      <c r="FC24" s="268"/>
      <c r="FD24" s="268"/>
      <c r="FE24" s="268"/>
      <c r="FF24" s="268"/>
      <c r="FG24" s="268"/>
      <c r="FH24" s="268"/>
      <c r="FI24" s="268"/>
      <c r="FJ24" s="268"/>
      <c r="FK24" s="268"/>
      <c r="FL24" s="268"/>
      <c r="FM24" s="268"/>
      <c r="FN24" s="277"/>
      <c r="FO24" s="277"/>
      <c r="FP24" s="277"/>
      <c r="FQ24" s="277"/>
      <c r="FR24" s="277"/>
      <c r="FS24" s="277"/>
      <c r="FT24" s="277"/>
      <c r="FU24" s="277"/>
      <c r="FV24" s="277"/>
      <c r="FW24" s="277"/>
      <c r="FX24" s="277"/>
      <c r="FY24" s="277"/>
      <c r="FZ24" s="277"/>
      <c r="GA24" s="277"/>
      <c r="GB24" s="277"/>
      <c r="GC24" s="277"/>
      <c r="GD24" s="277"/>
      <c r="GE24" s="278"/>
      <c r="GF24" s="40"/>
      <c r="GG24" s="40"/>
      <c r="GH24" s="40"/>
      <c r="GI24" s="42"/>
      <c r="GJ24">
        <f>AS24*1.2</f>
        <v>0</v>
      </c>
    </row>
    <row r="25" spans="1:192" ht="18.600000000000001" customHeight="1" thickBot="1" x14ac:dyDescent="0.35">
      <c r="A25" s="279" t="s">
        <v>87</v>
      </c>
      <c r="B25" s="277"/>
      <c r="C25" s="277"/>
      <c r="D25" s="27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80"/>
      <c r="AT25" s="280"/>
      <c r="AU25" s="280"/>
      <c r="AV25" s="280"/>
      <c r="AW25" s="280"/>
      <c r="AX25" s="280"/>
      <c r="AY25" s="280"/>
      <c r="AZ25" s="280"/>
      <c r="BA25" s="280"/>
      <c r="BB25" s="280"/>
      <c r="BC25" s="280"/>
      <c r="BD25" s="280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89"/>
      <c r="BV25" s="290"/>
      <c r="BW25" s="290"/>
      <c r="BX25" s="290"/>
      <c r="BY25" s="290"/>
      <c r="BZ25" s="290"/>
      <c r="CA25" s="290"/>
      <c r="CB25" s="290"/>
      <c r="CC25" s="290"/>
      <c r="CD25" s="290"/>
      <c r="CE25" s="290"/>
      <c r="CF25" s="290"/>
      <c r="CG25" s="290"/>
      <c r="CH25" s="290"/>
      <c r="CI25" s="290"/>
      <c r="CJ25" s="290"/>
      <c r="CK25" s="290"/>
      <c r="CL25" s="290"/>
      <c r="CM25" s="290"/>
      <c r="CN25" s="290"/>
      <c r="CO25" s="290"/>
      <c r="CP25" s="290"/>
      <c r="CQ25" s="290"/>
      <c r="CR25" s="290"/>
      <c r="CS25" s="290"/>
      <c r="CT25" s="290"/>
      <c r="CU25" s="290"/>
      <c r="CV25" s="290"/>
      <c r="CW25" s="290"/>
      <c r="CX25" s="290"/>
      <c r="CY25" s="290"/>
      <c r="CZ25" s="290"/>
      <c r="DA25" s="290"/>
      <c r="DB25" s="290"/>
      <c r="DC25" s="290"/>
      <c r="DD25" s="290"/>
      <c r="DE25" s="290"/>
      <c r="DF25" s="290"/>
      <c r="DG25" s="291"/>
      <c r="DH25" s="285"/>
      <c r="DI25" s="286"/>
      <c r="DJ25" s="286"/>
      <c r="DK25" s="286"/>
      <c r="DL25" s="286"/>
      <c r="DM25" s="286"/>
      <c r="DN25" s="286"/>
      <c r="DO25" s="286"/>
      <c r="DP25" s="286"/>
      <c r="DQ25" s="286"/>
      <c r="DR25" s="287"/>
      <c r="DS25" s="284"/>
      <c r="DT25" s="284"/>
      <c r="DU25" s="284"/>
      <c r="DV25" s="284"/>
      <c r="DW25" s="284"/>
      <c r="DX25" s="284"/>
      <c r="DY25" s="284"/>
      <c r="DZ25" s="284"/>
      <c r="EA25" s="284"/>
      <c r="EB25" s="284"/>
      <c r="EC25" s="284"/>
      <c r="ED25" s="284"/>
      <c r="EE25" s="284"/>
      <c r="EF25" s="284"/>
      <c r="EG25" s="284"/>
      <c r="EH25" s="284"/>
      <c r="EI25" s="284"/>
      <c r="EJ25" s="284"/>
      <c r="EK25" s="284"/>
      <c r="EL25" s="284"/>
      <c r="EM25" s="284"/>
      <c r="EN25" s="284"/>
      <c r="EO25" s="288"/>
      <c r="EP25" s="288"/>
      <c r="EQ25" s="288"/>
      <c r="ER25" s="288"/>
      <c r="ES25" s="288"/>
      <c r="ET25" s="288"/>
      <c r="EU25" s="288"/>
      <c r="EV25" s="288"/>
      <c r="EW25" s="288"/>
      <c r="EX25" s="288"/>
      <c r="EY25" s="288"/>
      <c r="EZ25" s="288"/>
      <c r="FA25" s="288"/>
      <c r="FB25" s="288"/>
      <c r="FC25" s="268"/>
      <c r="FD25" s="268"/>
      <c r="FE25" s="268"/>
      <c r="FF25" s="268"/>
      <c r="FG25" s="268"/>
      <c r="FH25" s="268"/>
      <c r="FI25" s="268"/>
      <c r="FJ25" s="268"/>
      <c r="FK25" s="268"/>
      <c r="FL25" s="268"/>
      <c r="FM25" s="268"/>
      <c r="FN25" s="277"/>
      <c r="FO25" s="277"/>
      <c r="FP25" s="277"/>
      <c r="FQ25" s="277"/>
      <c r="FR25" s="277"/>
      <c r="FS25" s="277"/>
      <c r="FT25" s="277"/>
      <c r="FU25" s="277"/>
      <c r="FV25" s="277"/>
      <c r="FW25" s="277"/>
      <c r="FX25" s="277"/>
      <c r="FY25" s="277"/>
      <c r="FZ25" s="277"/>
      <c r="GA25" s="277"/>
      <c r="GB25" s="277"/>
      <c r="GC25" s="277"/>
      <c r="GD25" s="277"/>
      <c r="GE25" s="278"/>
      <c r="GF25" s="40"/>
      <c r="GG25" s="40"/>
      <c r="GH25" s="40"/>
      <c r="GI25" s="42"/>
      <c r="GJ25">
        <f>AS25*1.2</f>
        <v>0</v>
      </c>
    </row>
    <row r="26" spans="1:192" ht="18.600000000000001" customHeight="1" thickBot="1" x14ac:dyDescent="0.35">
      <c r="A26" s="279" t="s">
        <v>88</v>
      </c>
      <c r="B26" s="277"/>
      <c r="C26" s="277"/>
      <c r="D26" s="277"/>
      <c r="E26" s="277"/>
      <c r="F26" s="277"/>
      <c r="G26" s="277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80"/>
      <c r="AT26" s="280"/>
      <c r="AU26" s="280"/>
      <c r="AV26" s="280"/>
      <c r="AW26" s="280"/>
      <c r="AX26" s="280"/>
      <c r="AY26" s="280"/>
      <c r="AZ26" s="280"/>
      <c r="BA26" s="280"/>
      <c r="BB26" s="280"/>
      <c r="BC26" s="280"/>
      <c r="BD26" s="280"/>
      <c r="BE26" s="268"/>
      <c r="BF26" s="268"/>
      <c r="BG26" s="268"/>
      <c r="BH26" s="268"/>
      <c r="BI26" s="268"/>
      <c r="BJ26" s="268"/>
      <c r="BK26" s="268"/>
      <c r="BL26" s="268"/>
      <c r="BM26" s="268"/>
      <c r="BN26" s="268"/>
      <c r="BO26" s="268"/>
      <c r="BP26" s="268"/>
      <c r="BQ26" s="268"/>
      <c r="BR26" s="268"/>
      <c r="BS26" s="268"/>
      <c r="BT26" s="268"/>
      <c r="BU26" s="289"/>
      <c r="BV26" s="290"/>
      <c r="BW26" s="290"/>
      <c r="BX26" s="290"/>
      <c r="BY26" s="290"/>
      <c r="BZ26" s="290"/>
      <c r="CA26" s="290"/>
      <c r="CB26" s="290"/>
      <c r="CC26" s="290"/>
      <c r="CD26" s="290"/>
      <c r="CE26" s="290"/>
      <c r="CF26" s="290"/>
      <c r="CG26" s="290"/>
      <c r="CH26" s="290"/>
      <c r="CI26" s="290"/>
      <c r="CJ26" s="290"/>
      <c r="CK26" s="290"/>
      <c r="CL26" s="290"/>
      <c r="CM26" s="290"/>
      <c r="CN26" s="290"/>
      <c r="CO26" s="290"/>
      <c r="CP26" s="290"/>
      <c r="CQ26" s="290"/>
      <c r="CR26" s="290"/>
      <c r="CS26" s="290"/>
      <c r="CT26" s="290"/>
      <c r="CU26" s="290"/>
      <c r="CV26" s="290"/>
      <c r="CW26" s="290"/>
      <c r="CX26" s="290"/>
      <c r="CY26" s="290"/>
      <c r="CZ26" s="290"/>
      <c r="DA26" s="290"/>
      <c r="DB26" s="290"/>
      <c r="DC26" s="290"/>
      <c r="DD26" s="290"/>
      <c r="DE26" s="290"/>
      <c r="DF26" s="290"/>
      <c r="DG26" s="291"/>
      <c r="DH26" s="285"/>
      <c r="DI26" s="286"/>
      <c r="DJ26" s="286"/>
      <c r="DK26" s="286"/>
      <c r="DL26" s="286"/>
      <c r="DM26" s="286"/>
      <c r="DN26" s="286"/>
      <c r="DO26" s="286"/>
      <c r="DP26" s="286"/>
      <c r="DQ26" s="286"/>
      <c r="DR26" s="287"/>
      <c r="DS26" s="284"/>
      <c r="DT26" s="284"/>
      <c r="DU26" s="284"/>
      <c r="DV26" s="284"/>
      <c r="DW26" s="284"/>
      <c r="DX26" s="284"/>
      <c r="DY26" s="284"/>
      <c r="DZ26" s="284"/>
      <c r="EA26" s="284"/>
      <c r="EB26" s="284"/>
      <c r="EC26" s="284"/>
      <c r="ED26" s="284"/>
      <c r="EE26" s="284"/>
      <c r="EF26" s="284"/>
      <c r="EG26" s="284"/>
      <c r="EH26" s="284"/>
      <c r="EI26" s="284"/>
      <c r="EJ26" s="284"/>
      <c r="EK26" s="284"/>
      <c r="EL26" s="284"/>
      <c r="EM26" s="284"/>
      <c r="EN26" s="284"/>
      <c r="EO26" s="288"/>
      <c r="EP26" s="288"/>
      <c r="EQ26" s="288"/>
      <c r="ER26" s="288"/>
      <c r="ES26" s="288"/>
      <c r="ET26" s="288"/>
      <c r="EU26" s="288"/>
      <c r="EV26" s="288"/>
      <c r="EW26" s="288"/>
      <c r="EX26" s="288"/>
      <c r="EY26" s="288"/>
      <c r="EZ26" s="288"/>
      <c r="FA26" s="288"/>
      <c r="FB26" s="288"/>
      <c r="FC26" s="268"/>
      <c r="FD26" s="268"/>
      <c r="FE26" s="268"/>
      <c r="FF26" s="268"/>
      <c r="FG26" s="268"/>
      <c r="FH26" s="268"/>
      <c r="FI26" s="268"/>
      <c r="FJ26" s="268"/>
      <c r="FK26" s="268"/>
      <c r="FL26" s="268"/>
      <c r="FM26" s="268"/>
      <c r="FN26" s="277"/>
      <c r="FO26" s="277"/>
      <c r="FP26" s="277"/>
      <c r="FQ26" s="277"/>
      <c r="FR26" s="277"/>
      <c r="FS26" s="277"/>
      <c r="FT26" s="277"/>
      <c r="FU26" s="277"/>
      <c r="FV26" s="277"/>
      <c r="FW26" s="277"/>
      <c r="FX26" s="277"/>
      <c r="FY26" s="277"/>
      <c r="FZ26" s="277"/>
      <c r="GA26" s="277"/>
      <c r="GB26" s="277"/>
      <c r="GC26" s="277"/>
      <c r="GD26" s="277"/>
      <c r="GE26" s="278"/>
      <c r="GF26" s="40"/>
      <c r="GG26" s="40"/>
      <c r="GH26" s="40"/>
      <c r="GI26" s="42"/>
      <c r="GJ26">
        <f>AS26*4.3</f>
        <v>0</v>
      </c>
    </row>
    <row r="27" spans="1:192" ht="18.600000000000001" customHeight="1" thickBot="1" x14ac:dyDescent="0.35">
      <c r="A27" s="279" t="s">
        <v>89</v>
      </c>
      <c r="B27" s="277"/>
      <c r="C27" s="277"/>
      <c r="D27" s="277"/>
      <c r="E27" s="277"/>
      <c r="F27" s="277"/>
      <c r="G27" s="277"/>
      <c r="H27" s="277"/>
      <c r="I27" s="277"/>
      <c r="J27" s="277"/>
      <c r="K27" s="277"/>
      <c r="L27" s="277"/>
      <c r="M27" s="277"/>
      <c r="N27" s="277"/>
      <c r="O27" s="277"/>
      <c r="P27" s="277"/>
      <c r="Q27" s="277"/>
      <c r="R27" s="277"/>
      <c r="S27" s="277"/>
      <c r="T27" s="277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80"/>
      <c r="AT27" s="280"/>
      <c r="AU27" s="280"/>
      <c r="AV27" s="280"/>
      <c r="AW27" s="280"/>
      <c r="AX27" s="280"/>
      <c r="AY27" s="280"/>
      <c r="AZ27" s="280"/>
      <c r="BA27" s="280"/>
      <c r="BB27" s="280"/>
      <c r="BC27" s="280"/>
      <c r="BD27" s="280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89"/>
      <c r="BV27" s="290"/>
      <c r="BW27" s="290"/>
      <c r="BX27" s="290"/>
      <c r="BY27" s="290"/>
      <c r="BZ27" s="290"/>
      <c r="CA27" s="290"/>
      <c r="CB27" s="290"/>
      <c r="CC27" s="290"/>
      <c r="CD27" s="290"/>
      <c r="CE27" s="290"/>
      <c r="CF27" s="290"/>
      <c r="CG27" s="290"/>
      <c r="CH27" s="290"/>
      <c r="CI27" s="290"/>
      <c r="CJ27" s="290"/>
      <c r="CK27" s="290"/>
      <c r="CL27" s="290"/>
      <c r="CM27" s="290"/>
      <c r="CN27" s="290"/>
      <c r="CO27" s="290"/>
      <c r="CP27" s="290"/>
      <c r="CQ27" s="290"/>
      <c r="CR27" s="290"/>
      <c r="CS27" s="290"/>
      <c r="CT27" s="290"/>
      <c r="CU27" s="290"/>
      <c r="CV27" s="290"/>
      <c r="CW27" s="290"/>
      <c r="CX27" s="290"/>
      <c r="CY27" s="290"/>
      <c r="CZ27" s="290"/>
      <c r="DA27" s="290"/>
      <c r="DB27" s="290"/>
      <c r="DC27" s="290"/>
      <c r="DD27" s="290"/>
      <c r="DE27" s="290"/>
      <c r="DF27" s="290"/>
      <c r="DG27" s="291"/>
      <c r="DH27" s="285"/>
      <c r="DI27" s="286"/>
      <c r="DJ27" s="286"/>
      <c r="DK27" s="286"/>
      <c r="DL27" s="286"/>
      <c r="DM27" s="286"/>
      <c r="DN27" s="286"/>
      <c r="DO27" s="286"/>
      <c r="DP27" s="286"/>
      <c r="DQ27" s="286"/>
      <c r="DR27" s="287"/>
      <c r="DS27" s="284"/>
      <c r="DT27" s="284"/>
      <c r="DU27" s="284"/>
      <c r="DV27" s="284"/>
      <c r="DW27" s="284"/>
      <c r="DX27" s="284"/>
      <c r="DY27" s="284"/>
      <c r="DZ27" s="284"/>
      <c r="EA27" s="284"/>
      <c r="EB27" s="284"/>
      <c r="EC27" s="284"/>
      <c r="ED27" s="284"/>
      <c r="EE27" s="284"/>
      <c r="EF27" s="284"/>
      <c r="EG27" s="284"/>
      <c r="EH27" s="284"/>
      <c r="EI27" s="284"/>
      <c r="EJ27" s="284"/>
      <c r="EK27" s="284"/>
      <c r="EL27" s="284"/>
      <c r="EM27" s="284"/>
      <c r="EN27" s="284"/>
      <c r="EO27" s="288"/>
      <c r="EP27" s="288"/>
      <c r="EQ27" s="288"/>
      <c r="ER27" s="288"/>
      <c r="ES27" s="288"/>
      <c r="ET27" s="288"/>
      <c r="EU27" s="288"/>
      <c r="EV27" s="288"/>
      <c r="EW27" s="288"/>
      <c r="EX27" s="288"/>
      <c r="EY27" s="288"/>
      <c r="EZ27" s="288"/>
      <c r="FA27" s="288"/>
      <c r="FB27" s="288"/>
      <c r="FC27" s="268"/>
      <c r="FD27" s="268"/>
      <c r="FE27" s="268"/>
      <c r="FF27" s="268"/>
      <c r="FG27" s="268"/>
      <c r="FH27" s="268"/>
      <c r="FI27" s="268"/>
      <c r="FJ27" s="268"/>
      <c r="FK27" s="268"/>
      <c r="FL27" s="268"/>
      <c r="FM27" s="268"/>
      <c r="FN27" s="277"/>
      <c r="FO27" s="277"/>
      <c r="FP27" s="277"/>
      <c r="FQ27" s="277"/>
      <c r="FR27" s="277"/>
      <c r="FS27" s="277"/>
      <c r="FT27" s="277"/>
      <c r="FU27" s="277"/>
      <c r="FV27" s="277"/>
      <c r="FW27" s="277"/>
      <c r="FX27" s="277"/>
      <c r="FY27" s="277"/>
      <c r="FZ27" s="277"/>
      <c r="GA27" s="277"/>
      <c r="GB27" s="277"/>
      <c r="GC27" s="277"/>
      <c r="GD27" s="277"/>
      <c r="GE27" s="278"/>
      <c r="GF27" s="40"/>
      <c r="GG27" s="40"/>
      <c r="GH27" s="40"/>
      <c r="GI27" s="42"/>
      <c r="GJ27">
        <f>AS27*3.8</f>
        <v>0</v>
      </c>
    </row>
    <row r="28" spans="1:192" ht="18.600000000000001" customHeight="1" thickBot="1" x14ac:dyDescent="0.35">
      <c r="A28" s="279" t="s">
        <v>90</v>
      </c>
      <c r="B28" s="277"/>
      <c r="C28" s="277"/>
      <c r="D28" s="277"/>
      <c r="E28" s="277"/>
      <c r="F28" s="277"/>
      <c r="G28" s="277"/>
      <c r="H28" s="277"/>
      <c r="I28" s="277"/>
      <c r="J28" s="277"/>
      <c r="K28" s="277"/>
      <c r="L28" s="277"/>
      <c r="M28" s="277"/>
      <c r="N28" s="277"/>
      <c r="O28" s="277"/>
      <c r="P28" s="277"/>
      <c r="Q28" s="277"/>
      <c r="R28" s="277"/>
      <c r="S28" s="277"/>
      <c r="T28" s="277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80"/>
      <c r="AT28" s="280"/>
      <c r="AU28" s="280"/>
      <c r="AV28" s="280"/>
      <c r="AW28" s="280"/>
      <c r="AX28" s="280"/>
      <c r="AY28" s="280"/>
      <c r="AZ28" s="280"/>
      <c r="BA28" s="280"/>
      <c r="BB28" s="280"/>
      <c r="BC28" s="280"/>
      <c r="BD28" s="280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89"/>
      <c r="BV28" s="290"/>
      <c r="BW28" s="290"/>
      <c r="BX28" s="290"/>
      <c r="BY28" s="290"/>
      <c r="BZ28" s="290"/>
      <c r="CA28" s="290"/>
      <c r="CB28" s="290"/>
      <c r="CC28" s="290"/>
      <c r="CD28" s="290"/>
      <c r="CE28" s="290"/>
      <c r="CF28" s="290"/>
      <c r="CG28" s="290"/>
      <c r="CH28" s="290"/>
      <c r="CI28" s="290"/>
      <c r="CJ28" s="290"/>
      <c r="CK28" s="290"/>
      <c r="CL28" s="290"/>
      <c r="CM28" s="290"/>
      <c r="CN28" s="290"/>
      <c r="CO28" s="290"/>
      <c r="CP28" s="290"/>
      <c r="CQ28" s="290"/>
      <c r="CR28" s="290"/>
      <c r="CS28" s="290"/>
      <c r="CT28" s="290"/>
      <c r="CU28" s="290"/>
      <c r="CV28" s="290"/>
      <c r="CW28" s="290"/>
      <c r="CX28" s="290"/>
      <c r="CY28" s="290"/>
      <c r="CZ28" s="290"/>
      <c r="DA28" s="290"/>
      <c r="DB28" s="290"/>
      <c r="DC28" s="290"/>
      <c r="DD28" s="290"/>
      <c r="DE28" s="290"/>
      <c r="DF28" s="290"/>
      <c r="DG28" s="291"/>
      <c r="DH28" s="285"/>
      <c r="DI28" s="286"/>
      <c r="DJ28" s="286"/>
      <c r="DK28" s="286"/>
      <c r="DL28" s="286"/>
      <c r="DM28" s="286"/>
      <c r="DN28" s="286"/>
      <c r="DO28" s="286"/>
      <c r="DP28" s="286"/>
      <c r="DQ28" s="286"/>
      <c r="DR28" s="287"/>
      <c r="DS28" s="284"/>
      <c r="DT28" s="284"/>
      <c r="DU28" s="284"/>
      <c r="DV28" s="284"/>
      <c r="DW28" s="284"/>
      <c r="DX28" s="284"/>
      <c r="DY28" s="284"/>
      <c r="DZ28" s="284"/>
      <c r="EA28" s="284"/>
      <c r="EB28" s="284"/>
      <c r="EC28" s="284"/>
      <c r="ED28" s="284"/>
      <c r="EE28" s="284"/>
      <c r="EF28" s="284"/>
      <c r="EG28" s="284"/>
      <c r="EH28" s="284"/>
      <c r="EI28" s="284"/>
      <c r="EJ28" s="284"/>
      <c r="EK28" s="284"/>
      <c r="EL28" s="284"/>
      <c r="EM28" s="284"/>
      <c r="EN28" s="284"/>
      <c r="EO28" s="288"/>
      <c r="EP28" s="288"/>
      <c r="EQ28" s="288"/>
      <c r="ER28" s="288"/>
      <c r="ES28" s="288"/>
      <c r="ET28" s="288"/>
      <c r="EU28" s="288"/>
      <c r="EV28" s="288"/>
      <c r="EW28" s="288"/>
      <c r="EX28" s="288"/>
      <c r="EY28" s="288"/>
      <c r="EZ28" s="288"/>
      <c r="FA28" s="288"/>
      <c r="FB28" s="288"/>
      <c r="FC28" s="268"/>
      <c r="FD28" s="268"/>
      <c r="FE28" s="268"/>
      <c r="FF28" s="268"/>
      <c r="FG28" s="268"/>
      <c r="FH28" s="268"/>
      <c r="FI28" s="268"/>
      <c r="FJ28" s="268"/>
      <c r="FK28" s="268"/>
      <c r="FL28" s="268"/>
      <c r="FM28" s="268"/>
      <c r="FN28" s="277"/>
      <c r="FO28" s="277"/>
      <c r="FP28" s="277"/>
      <c r="FQ28" s="277"/>
      <c r="FR28" s="277"/>
      <c r="FS28" s="277"/>
      <c r="FT28" s="277"/>
      <c r="FU28" s="277"/>
      <c r="FV28" s="277"/>
      <c r="FW28" s="277"/>
      <c r="FX28" s="277"/>
      <c r="FY28" s="277"/>
      <c r="FZ28" s="277"/>
      <c r="GA28" s="277"/>
      <c r="GB28" s="277"/>
      <c r="GC28" s="277"/>
      <c r="GD28" s="277"/>
      <c r="GE28" s="278"/>
      <c r="GF28" s="40"/>
      <c r="GG28" s="40"/>
      <c r="GH28" s="40"/>
      <c r="GI28" s="42"/>
      <c r="GJ28">
        <f>AS28*6.3</f>
        <v>0</v>
      </c>
    </row>
    <row r="29" spans="1:192" ht="18.600000000000001" customHeight="1" x14ac:dyDescent="0.3">
      <c r="A29" s="279" t="s">
        <v>91</v>
      </c>
      <c r="B29" s="277"/>
      <c r="C29" s="277"/>
      <c r="D29" s="277"/>
      <c r="E29" s="277"/>
      <c r="F29" s="277"/>
      <c r="G29" s="277"/>
      <c r="H29" s="277"/>
      <c r="I29" s="277"/>
      <c r="J29" s="277"/>
      <c r="K29" s="277"/>
      <c r="L29" s="277"/>
      <c r="M29" s="277"/>
      <c r="N29" s="277"/>
      <c r="O29" s="277"/>
      <c r="P29" s="277"/>
      <c r="Q29" s="277"/>
      <c r="R29" s="277"/>
      <c r="S29" s="277"/>
      <c r="T29" s="277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80"/>
      <c r="AT29" s="280"/>
      <c r="AU29" s="280"/>
      <c r="AV29" s="280"/>
      <c r="AW29" s="280"/>
      <c r="AX29" s="280"/>
      <c r="AY29" s="280"/>
      <c r="AZ29" s="280"/>
      <c r="BA29" s="280"/>
      <c r="BB29" s="280"/>
      <c r="BC29" s="280"/>
      <c r="BD29" s="280"/>
      <c r="BE29" s="268"/>
      <c r="BF29" s="268"/>
      <c r="BG29" s="268"/>
      <c r="BH29" s="268"/>
      <c r="BI29" s="268"/>
      <c r="BJ29" s="268"/>
      <c r="BK29" s="268"/>
      <c r="BL29" s="268"/>
      <c r="BM29" s="268"/>
      <c r="BN29" s="268"/>
      <c r="BO29" s="268"/>
      <c r="BP29" s="268"/>
      <c r="BQ29" s="268"/>
      <c r="BR29" s="268"/>
      <c r="BS29" s="268"/>
      <c r="BT29" s="268"/>
      <c r="BU29" s="289"/>
      <c r="BV29" s="290"/>
      <c r="BW29" s="290"/>
      <c r="BX29" s="290"/>
      <c r="BY29" s="290"/>
      <c r="BZ29" s="290"/>
      <c r="CA29" s="290"/>
      <c r="CB29" s="290"/>
      <c r="CC29" s="290"/>
      <c r="CD29" s="290"/>
      <c r="CE29" s="290"/>
      <c r="CF29" s="290"/>
      <c r="CG29" s="290"/>
      <c r="CH29" s="290"/>
      <c r="CI29" s="290"/>
      <c r="CJ29" s="290"/>
      <c r="CK29" s="290"/>
      <c r="CL29" s="290"/>
      <c r="CM29" s="290"/>
      <c r="CN29" s="290"/>
      <c r="CO29" s="290"/>
      <c r="CP29" s="290"/>
      <c r="CQ29" s="290"/>
      <c r="CR29" s="290"/>
      <c r="CS29" s="290"/>
      <c r="CT29" s="290"/>
      <c r="CU29" s="290"/>
      <c r="CV29" s="290"/>
      <c r="CW29" s="290"/>
      <c r="CX29" s="290"/>
      <c r="CY29" s="290"/>
      <c r="CZ29" s="290"/>
      <c r="DA29" s="290"/>
      <c r="DB29" s="290"/>
      <c r="DC29" s="290"/>
      <c r="DD29" s="290"/>
      <c r="DE29" s="290"/>
      <c r="DF29" s="290"/>
      <c r="DG29" s="291"/>
      <c r="DH29" s="285"/>
      <c r="DI29" s="286"/>
      <c r="DJ29" s="286"/>
      <c r="DK29" s="286"/>
      <c r="DL29" s="286"/>
      <c r="DM29" s="286"/>
      <c r="DN29" s="286"/>
      <c r="DO29" s="286"/>
      <c r="DP29" s="286"/>
      <c r="DQ29" s="286"/>
      <c r="DR29" s="287"/>
      <c r="DS29" s="284"/>
      <c r="DT29" s="284"/>
      <c r="DU29" s="284"/>
      <c r="DV29" s="284"/>
      <c r="DW29" s="284"/>
      <c r="DX29" s="284"/>
      <c r="DY29" s="284"/>
      <c r="DZ29" s="284"/>
      <c r="EA29" s="284"/>
      <c r="EB29" s="284"/>
      <c r="EC29" s="284"/>
      <c r="ED29" s="284"/>
      <c r="EE29" s="284"/>
      <c r="EF29" s="284"/>
      <c r="EG29" s="284"/>
      <c r="EH29" s="284"/>
      <c r="EI29" s="284"/>
      <c r="EJ29" s="284"/>
      <c r="EK29" s="284"/>
      <c r="EL29" s="284"/>
      <c r="EM29" s="284"/>
      <c r="EN29" s="284"/>
      <c r="EO29" s="288"/>
      <c r="EP29" s="288"/>
      <c r="EQ29" s="288"/>
      <c r="ER29" s="288"/>
      <c r="ES29" s="288"/>
      <c r="ET29" s="288"/>
      <c r="EU29" s="288"/>
      <c r="EV29" s="288"/>
      <c r="EW29" s="288"/>
      <c r="EX29" s="288"/>
      <c r="EY29" s="288"/>
      <c r="EZ29" s="288"/>
      <c r="FA29" s="288"/>
      <c r="FB29" s="288"/>
      <c r="FC29" s="268"/>
      <c r="FD29" s="268"/>
      <c r="FE29" s="268"/>
      <c r="FF29" s="268"/>
      <c r="FG29" s="268"/>
      <c r="FH29" s="268"/>
      <c r="FI29" s="268"/>
      <c r="FJ29" s="268"/>
      <c r="FK29" s="268"/>
      <c r="FL29" s="268"/>
      <c r="FM29" s="268"/>
      <c r="FN29" s="277"/>
      <c r="FO29" s="277"/>
      <c r="FP29" s="277"/>
      <c r="FQ29" s="277"/>
      <c r="FR29" s="277"/>
      <c r="FS29" s="277"/>
      <c r="FT29" s="277"/>
      <c r="FU29" s="277"/>
      <c r="FV29" s="277"/>
      <c r="FW29" s="277"/>
      <c r="FX29" s="277"/>
      <c r="FY29" s="277"/>
      <c r="FZ29" s="277"/>
      <c r="GA29" s="277"/>
      <c r="GB29" s="277"/>
      <c r="GC29" s="277"/>
      <c r="GD29" s="277"/>
      <c r="GE29" s="278"/>
      <c r="GF29" s="40"/>
      <c r="GG29" s="40"/>
      <c r="GH29" s="40"/>
      <c r="GI29" s="42"/>
      <c r="GJ29">
        <f>AS29*4.3</f>
        <v>0</v>
      </c>
    </row>
    <row r="30" spans="1:192" ht="18.600000000000001" customHeight="1" x14ac:dyDescent="0.3">
      <c r="A30" s="279" t="s">
        <v>92</v>
      </c>
      <c r="B30" s="277"/>
      <c r="C30" s="277"/>
      <c r="D30" s="277"/>
      <c r="E30" s="277"/>
      <c r="F30" s="277"/>
      <c r="G30" s="277"/>
      <c r="H30" s="277"/>
      <c r="I30" s="277"/>
      <c r="J30" s="277"/>
      <c r="K30" s="277"/>
      <c r="L30" s="277"/>
      <c r="M30" s="277"/>
      <c r="N30" s="277"/>
      <c r="O30" s="277"/>
      <c r="P30" s="277"/>
      <c r="Q30" s="277"/>
      <c r="R30" s="277"/>
      <c r="S30" s="277"/>
      <c r="T30" s="277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68"/>
      <c r="BF30" s="268"/>
      <c r="BG30" s="268"/>
      <c r="BH30" s="268"/>
      <c r="BI30" s="268"/>
      <c r="BJ30" s="268"/>
      <c r="BK30" s="268"/>
      <c r="BL30" s="268"/>
      <c r="BM30" s="268"/>
      <c r="BN30" s="268"/>
      <c r="BO30" s="268"/>
      <c r="BP30" s="268"/>
      <c r="BQ30" s="268"/>
      <c r="BR30" s="268"/>
      <c r="BS30" s="268"/>
      <c r="BT30" s="268"/>
      <c r="BU30" s="294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6"/>
      <c r="DH30" s="285"/>
      <c r="DI30" s="286"/>
      <c r="DJ30" s="286"/>
      <c r="DK30" s="286"/>
      <c r="DL30" s="286"/>
      <c r="DM30" s="286"/>
      <c r="DN30" s="286"/>
      <c r="DO30" s="286"/>
      <c r="DP30" s="286"/>
      <c r="DQ30" s="286"/>
      <c r="DR30" s="287"/>
      <c r="DS30" s="284"/>
      <c r="DT30" s="284"/>
      <c r="DU30" s="284"/>
      <c r="DV30" s="284"/>
      <c r="DW30" s="284"/>
      <c r="DX30" s="284"/>
      <c r="DY30" s="284"/>
      <c r="DZ30" s="284"/>
      <c r="EA30" s="284"/>
      <c r="EB30" s="284"/>
      <c r="EC30" s="284"/>
      <c r="ED30" s="284"/>
      <c r="EE30" s="284"/>
      <c r="EF30" s="284"/>
      <c r="EG30" s="284"/>
      <c r="EH30" s="284"/>
      <c r="EI30" s="284"/>
      <c r="EJ30" s="284"/>
      <c r="EK30" s="284"/>
      <c r="EL30" s="284"/>
      <c r="EM30" s="284"/>
      <c r="EN30" s="284"/>
      <c r="EO30" s="292"/>
      <c r="EP30" s="292"/>
      <c r="EQ30" s="292"/>
      <c r="ER30" s="292"/>
      <c r="ES30" s="292"/>
      <c r="ET30" s="292"/>
      <c r="EU30" s="292"/>
      <c r="EV30" s="292"/>
      <c r="EW30" s="292"/>
      <c r="EX30" s="292"/>
      <c r="EY30" s="292"/>
      <c r="EZ30" s="292"/>
      <c r="FA30" s="292"/>
      <c r="FB30" s="292"/>
      <c r="FC30" s="268"/>
      <c r="FD30" s="268"/>
      <c r="FE30" s="268"/>
      <c r="FF30" s="268"/>
      <c r="FG30" s="268"/>
      <c r="FH30" s="268"/>
      <c r="FI30" s="268"/>
      <c r="FJ30" s="268"/>
      <c r="FK30" s="268"/>
      <c r="FL30" s="268"/>
      <c r="FM30" s="268"/>
      <c r="FN30" s="277"/>
      <c r="FO30" s="277"/>
      <c r="FP30" s="277"/>
      <c r="FQ30" s="277"/>
      <c r="FR30" s="277"/>
      <c r="FS30" s="277"/>
      <c r="FT30" s="277"/>
      <c r="FU30" s="277"/>
      <c r="FV30" s="277"/>
      <c r="FW30" s="277"/>
      <c r="FX30" s="277"/>
      <c r="FY30" s="277"/>
      <c r="FZ30" s="277"/>
      <c r="GA30" s="277"/>
      <c r="GB30" s="277"/>
      <c r="GC30" s="277"/>
      <c r="GD30" s="277"/>
      <c r="GE30" s="278"/>
      <c r="GF30" s="40"/>
      <c r="GG30" s="40"/>
      <c r="GH30" s="40"/>
      <c r="GI30" s="42"/>
      <c r="GJ30">
        <f>SUM(GJ18:GJ29)</f>
        <v>25.9</v>
      </c>
    </row>
    <row r="31" spans="1:192" ht="18.600000000000001" customHeight="1" x14ac:dyDescent="0.3">
      <c r="A31" s="279"/>
      <c r="B31" s="277"/>
      <c r="C31" s="277"/>
      <c r="D31" s="277"/>
      <c r="E31" s="277"/>
      <c r="F31" s="277"/>
      <c r="G31" s="277"/>
      <c r="H31" s="277"/>
      <c r="I31" s="277"/>
      <c r="J31" s="277"/>
      <c r="K31" s="277"/>
      <c r="L31" s="277" t="s">
        <v>300</v>
      </c>
      <c r="M31" s="277"/>
      <c r="N31" s="277"/>
      <c r="O31" s="277"/>
      <c r="P31" s="277"/>
      <c r="Q31" s="277"/>
      <c r="R31" s="277"/>
      <c r="S31" s="277"/>
      <c r="T31" s="277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68"/>
      <c r="BF31" s="268"/>
      <c r="BG31" s="268"/>
      <c r="BH31" s="268"/>
      <c r="BI31" s="268"/>
      <c r="BJ31" s="268"/>
      <c r="BK31" s="268"/>
      <c r="BL31" s="268"/>
      <c r="BM31" s="268"/>
      <c r="BN31" s="268"/>
      <c r="BO31" s="268"/>
      <c r="BP31" s="268"/>
      <c r="BQ31" s="268"/>
      <c r="BR31" s="268"/>
      <c r="BS31" s="268"/>
      <c r="BT31" s="268"/>
      <c r="BU31" s="294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6"/>
      <c r="DH31" s="285"/>
      <c r="DI31" s="286"/>
      <c r="DJ31" s="286"/>
      <c r="DK31" s="286"/>
      <c r="DL31" s="286"/>
      <c r="DM31" s="286"/>
      <c r="DN31" s="286"/>
      <c r="DO31" s="286"/>
      <c r="DP31" s="286"/>
      <c r="DQ31" s="286"/>
      <c r="DR31" s="287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92"/>
      <c r="EP31" s="292"/>
      <c r="EQ31" s="292"/>
      <c r="ER31" s="292"/>
      <c r="ES31" s="292"/>
      <c r="ET31" s="292"/>
      <c r="EU31" s="292"/>
      <c r="EV31" s="292"/>
      <c r="EW31" s="292"/>
      <c r="EX31" s="292"/>
      <c r="EY31" s="292"/>
      <c r="EZ31" s="292"/>
      <c r="FA31" s="292"/>
      <c r="FB31" s="292"/>
      <c r="FC31" s="268"/>
      <c r="FD31" s="268"/>
      <c r="FE31" s="268"/>
      <c r="FF31" s="268"/>
      <c r="FG31" s="268"/>
      <c r="FH31" s="268"/>
      <c r="FI31" s="268"/>
      <c r="FJ31" s="268"/>
      <c r="FK31" s="268"/>
      <c r="FL31" s="268"/>
      <c r="FM31" s="268"/>
      <c r="FN31" s="277"/>
      <c r="FO31" s="277"/>
      <c r="FP31" s="277"/>
      <c r="FQ31" s="277"/>
      <c r="FR31" s="277"/>
      <c r="FS31" s="277"/>
      <c r="FT31" s="277"/>
      <c r="FU31" s="277"/>
      <c r="FV31" s="277"/>
      <c r="FW31" s="277"/>
      <c r="FX31" s="277"/>
      <c r="FY31" s="277"/>
      <c r="FZ31" s="277"/>
      <c r="GA31" s="277"/>
      <c r="GB31" s="277"/>
      <c r="GC31" s="277"/>
      <c r="GD31" s="277"/>
      <c r="GE31" s="278"/>
      <c r="GF31" s="40"/>
      <c r="GG31" s="40"/>
      <c r="GH31" s="40"/>
      <c r="GI31" s="42"/>
    </row>
    <row r="32" spans="1:192" x14ac:dyDescent="0.3">
      <c r="A32" s="41" t="s">
        <v>93</v>
      </c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50"/>
      <c r="AO32" s="50"/>
      <c r="AP32" s="50"/>
      <c r="AQ32" s="50"/>
      <c r="AR32" s="50"/>
      <c r="AS32" s="297"/>
      <c r="AT32" s="297"/>
      <c r="AU32" s="297"/>
      <c r="AV32" s="297"/>
      <c r="AW32" s="297"/>
      <c r="AX32" s="297"/>
      <c r="AY32" s="297"/>
      <c r="AZ32" s="297"/>
      <c r="BA32" s="297"/>
      <c r="BB32" s="297"/>
      <c r="BC32" s="297"/>
      <c r="BD32" s="297"/>
      <c r="BE32" s="297"/>
      <c r="BF32" s="297"/>
      <c r="BG32" s="297"/>
      <c r="BH32" s="297"/>
      <c r="BI32" s="297"/>
      <c r="BJ32" s="297"/>
      <c r="BK32" s="297"/>
      <c r="BL32" s="297"/>
      <c r="BM32" s="297"/>
      <c r="BN32" s="297"/>
      <c r="BO32" s="297"/>
      <c r="BP32" s="297"/>
      <c r="BQ32" s="297"/>
      <c r="BR32" s="297"/>
      <c r="BS32" s="297"/>
      <c r="BT32" s="297"/>
      <c r="BU32" s="297"/>
      <c r="BV32" s="40"/>
      <c r="BW32" s="41" t="s">
        <v>94</v>
      </c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40"/>
      <c r="EN32" s="40"/>
      <c r="EO32" s="299" t="s">
        <v>95</v>
      </c>
      <c r="EP32" s="300"/>
      <c r="EQ32" s="300"/>
      <c r="ER32" s="300"/>
      <c r="ES32" s="300"/>
      <c r="ET32" s="300"/>
      <c r="EU32" s="300"/>
      <c r="EV32" s="300"/>
      <c r="EW32" s="300"/>
      <c r="EX32" s="300"/>
      <c r="EY32" s="300"/>
      <c r="EZ32" s="300"/>
      <c r="FA32" s="300"/>
      <c r="FB32" s="301"/>
      <c r="FC32" s="302"/>
      <c r="FD32" s="300"/>
      <c r="FE32" s="300"/>
      <c r="FF32" s="300"/>
      <c r="FG32" s="300"/>
      <c r="FH32" s="300"/>
      <c r="FI32" s="300"/>
      <c r="FJ32" s="300"/>
      <c r="FK32" s="300"/>
      <c r="FL32" s="300"/>
      <c r="FM32" s="303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2"/>
    </row>
    <row r="33" spans="1:191" ht="11.4" customHeight="1" thickBot="1" x14ac:dyDescent="0.35">
      <c r="A33" s="41" t="s">
        <v>96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297"/>
      <c r="AF33" s="297"/>
      <c r="AG33" s="297"/>
      <c r="AH33" s="297"/>
      <c r="AI33" s="297"/>
      <c r="AJ33" s="297"/>
      <c r="AK33" s="297"/>
      <c r="AL33" s="297"/>
      <c r="AM33" s="297"/>
      <c r="AN33" s="297"/>
      <c r="AO33" s="297"/>
      <c r="AP33" s="297"/>
      <c r="AQ33" s="297"/>
      <c r="AR33" s="297"/>
      <c r="AS33" s="297"/>
      <c r="AT33" s="297"/>
      <c r="AU33" s="297"/>
      <c r="AV33" s="297"/>
      <c r="AW33" s="297"/>
      <c r="AX33" s="297"/>
      <c r="AY33" s="297"/>
      <c r="AZ33" s="297"/>
      <c r="BA33" s="297"/>
      <c r="BB33" s="297"/>
      <c r="BC33" s="297"/>
      <c r="BD33" s="297"/>
      <c r="BE33" s="297"/>
      <c r="BF33" s="297"/>
      <c r="BG33" s="297"/>
      <c r="BH33" s="297"/>
      <c r="BI33" s="297"/>
      <c r="BJ33" s="297"/>
      <c r="BK33" s="297"/>
      <c r="BL33" s="297"/>
      <c r="BM33" s="297"/>
      <c r="BN33" s="297"/>
      <c r="BO33" s="297"/>
      <c r="BP33" s="297"/>
      <c r="BQ33" s="297"/>
      <c r="BR33" s="297"/>
      <c r="BS33" s="297"/>
      <c r="BT33" s="297"/>
      <c r="BU33" s="297"/>
      <c r="BV33" s="40"/>
      <c r="BW33" s="41" t="s">
        <v>97</v>
      </c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304" t="s">
        <v>98</v>
      </c>
      <c r="EP33" s="305"/>
      <c r="EQ33" s="305"/>
      <c r="ER33" s="305"/>
      <c r="ES33" s="305"/>
      <c r="ET33" s="305"/>
      <c r="EU33" s="305"/>
      <c r="EV33" s="305"/>
      <c r="EW33" s="305"/>
      <c r="EX33" s="305"/>
      <c r="EY33" s="305"/>
      <c r="EZ33" s="305"/>
      <c r="FA33" s="305"/>
      <c r="FB33" s="306"/>
      <c r="FC33" s="260"/>
      <c r="FD33" s="261"/>
      <c r="FE33" s="261"/>
      <c r="FF33" s="261"/>
      <c r="FG33" s="261"/>
      <c r="FH33" s="261"/>
      <c r="FI33" s="261"/>
      <c r="FJ33" s="261"/>
      <c r="FK33" s="261"/>
      <c r="FL33" s="261"/>
      <c r="FM33" s="263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2"/>
    </row>
    <row r="34" spans="1:191" ht="11.4" customHeight="1" x14ac:dyDescent="0.3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316" t="s">
        <v>99</v>
      </c>
      <c r="O34" s="316"/>
      <c r="P34" s="316"/>
      <c r="Q34" s="316"/>
      <c r="R34" s="316"/>
      <c r="S34" s="316"/>
      <c r="T34" s="316"/>
      <c r="U34" s="316"/>
      <c r="V34" s="316"/>
      <c r="W34" s="316"/>
      <c r="X34" s="316"/>
      <c r="Y34" s="316"/>
      <c r="Z34" s="316"/>
      <c r="AA34" s="316"/>
      <c r="AB34" s="316"/>
      <c r="AC34" s="316"/>
      <c r="AD34" s="316"/>
      <c r="AE34" s="316"/>
      <c r="AF34" s="316"/>
      <c r="AG34" s="316"/>
      <c r="AH34" s="316"/>
      <c r="AI34" s="316"/>
      <c r="AJ34" s="316"/>
      <c r="AK34" s="316"/>
      <c r="AL34" s="316"/>
      <c r="AM34" s="316"/>
      <c r="AN34" s="316"/>
      <c r="AO34" s="316"/>
      <c r="AP34" s="316"/>
      <c r="AQ34" s="316"/>
      <c r="AR34" s="316"/>
      <c r="AS34" s="316"/>
      <c r="AT34" s="316"/>
      <c r="AU34" s="316"/>
      <c r="AV34" s="316"/>
      <c r="AW34" s="316"/>
      <c r="AX34" s="316"/>
      <c r="AY34" s="316"/>
      <c r="AZ34" s="316"/>
      <c r="BA34" s="316"/>
      <c r="BB34" s="316"/>
      <c r="BC34" s="316"/>
      <c r="BD34" s="316"/>
      <c r="BE34" s="316"/>
      <c r="BF34" s="316"/>
      <c r="BG34" s="316"/>
      <c r="BH34" s="316"/>
      <c r="BI34" s="316"/>
      <c r="BJ34" s="316"/>
      <c r="BK34" s="316"/>
      <c r="BL34" s="316"/>
      <c r="BM34" s="316"/>
      <c r="BN34" s="316"/>
      <c r="BO34" s="316"/>
      <c r="BP34" s="316"/>
      <c r="BQ34" s="316"/>
      <c r="BR34" s="316"/>
      <c r="BS34" s="316"/>
      <c r="BT34" s="316"/>
      <c r="BU34" s="316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317">
        <v>110</v>
      </c>
      <c r="DT34" s="318"/>
      <c r="DU34" s="318"/>
      <c r="DV34" s="318"/>
      <c r="DW34" s="318"/>
      <c r="DX34" s="318"/>
      <c r="DY34" s="318"/>
      <c r="DZ34" s="318"/>
      <c r="EA34" s="318"/>
      <c r="EB34" s="318"/>
      <c r="EC34" s="318"/>
      <c r="ED34" s="318"/>
      <c r="EE34" s="318"/>
      <c r="EF34" s="318"/>
      <c r="EG34" s="318"/>
      <c r="EH34" s="319"/>
      <c r="EI34" s="40"/>
      <c r="EJ34" s="40"/>
      <c r="EK34" s="40"/>
      <c r="EL34" s="40"/>
      <c r="EM34" s="40"/>
      <c r="EN34" s="40"/>
      <c r="EO34" s="307"/>
      <c r="EP34" s="308"/>
      <c r="EQ34" s="308"/>
      <c r="ER34" s="308"/>
      <c r="ES34" s="308"/>
      <c r="ET34" s="308"/>
      <c r="EU34" s="308"/>
      <c r="EV34" s="308"/>
      <c r="EW34" s="308"/>
      <c r="EX34" s="308"/>
      <c r="EY34" s="308"/>
      <c r="EZ34" s="308"/>
      <c r="FA34" s="308"/>
      <c r="FB34" s="309"/>
      <c r="FC34" s="313"/>
      <c r="FD34" s="314"/>
      <c r="FE34" s="314"/>
      <c r="FF34" s="314"/>
      <c r="FG34" s="314"/>
      <c r="FH34" s="314"/>
      <c r="FI34" s="314"/>
      <c r="FJ34" s="314"/>
      <c r="FK34" s="314"/>
      <c r="FL34" s="314"/>
      <c r="FM34" s="315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2"/>
    </row>
    <row r="35" spans="1:191" ht="11.4" customHeight="1" x14ac:dyDescent="0.3">
      <c r="A35" s="41" t="s">
        <v>100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51"/>
      <c r="N35" s="51"/>
      <c r="O35" s="51"/>
      <c r="P35" s="51"/>
      <c r="Q35" s="323" t="s">
        <v>287</v>
      </c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  <c r="AL35" s="323"/>
      <c r="AM35" s="323"/>
      <c r="AN35" s="323"/>
      <c r="AO35" s="323"/>
      <c r="AP35" s="323"/>
      <c r="AQ35" s="323"/>
      <c r="AR35" s="323"/>
      <c r="AS35" s="323"/>
      <c r="AT35" s="323"/>
      <c r="AU35" s="323"/>
      <c r="AV35" s="323"/>
      <c r="AW35" s="323"/>
      <c r="AX35" s="323"/>
      <c r="AY35" s="323"/>
      <c r="AZ35" s="323"/>
      <c r="BA35" s="323"/>
      <c r="BB35" s="323"/>
      <c r="BC35" s="323"/>
      <c r="BD35" s="323"/>
      <c r="BE35" s="323"/>
      <c r="BF35" s="323"/>
      <c r="BG35" s="323"/>
      <c r="BH35" s="323"/>
      <c r="BI35" s="323"/>
      <c r="BJ35" s="323"/>
      <c r="BK35" s="323"/>
      <c r="BL35" s="323"/>
      <c r="BM35" s="323"/>
      <c r="BN35" s="323"/>
      <c r="BO35" s="323"/>
      <c r="BP35" s="323"/>
      <c r="BQ35" s="323"/>
      <c r="BR35" s="323"/>
      <c r="BS35" s="323"/>
      <c r="BT35" s="323"/>
      <c r="BU35" s="323"/>
      <c r="BV35" s="40"/>
      <c r="BW35" s="41" t="s">
        <v>101</v>
      </c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332" t="s">
        <v>313</v>
      </c>
      <c r="CM35" s="333"/>
      <c r="CN35" s="333"/>
      <c r="CO35" s="333"/>
      <c r="CP35" s="333"/>
      <c r="CQ35" s="333"/>
      <c r="CR35" s="333"/>
      <c r="CS35" s="333"/>
      <c r="CT35" s="333"/>
      <c r="CU35" s="333"/>
      <c r="CV35" s="333"/>
      <c r="CW35" s="333"/>
      <c r="CX35" s="333"/>
      <c r="CY35" s="333"/>
      <c r="CZ35" s="333"/>
      <c r="DA35" s="333"/>
      <c r="DB35" s="333"/>
      <c r="DC35" s="333"/>
      <c r="DD35" s="333"/>
      <c r="DE35" s="333"/>
      <c r="DF35" s="333"/>
      <c r="DG35" s="333"/>
      <c r="DH35" s="333"/>
      <c r="DI35" s="333"/>
      <c r="DJ35" s="333"/>
      <c r="DK35" s="333"/>
      <c r="DL35" s="333"/>
      <c r="DM35" s="333"/>
      <c r="DN35" s="333"/>
      <c r="DO35" s="333"/>
      <c r="DP35" s="333"/>
      <c r="DQ35" s="40"/>
      <c r="DR35" s="40"/>
      <c r="DS35" s="320"/>
      <c r="DT35" s="321"/>
      <c r="DU35" s="321"/>
      <c r="DV35" s="321"/>
      <c r="DW35" s="321"/>
      <c r="DX35" s="321"/>
      <c r="DY35" s="321"/>
      <c r="DZ35" s="321"/>
      <c r="EA35" s="321"/>
      <c r="EB35" s="321"/>
      <c r="EC35" s="321"/>
      <c r="ED35" s="321"/>
      <c r="EE35" s="321"/>
      <c r="EF35" s="321"/>
      <c r="EG35" s="321"/>
      <c r="EH35" s="322"/>
      <c r="EI35" s="325"/>
      <c r="EJ35" s="325"/>
      <c r="EK35" s="325"/>
      <c r="EL35" s="40"/>
      <c r="EM35" s="40"/>
      <c r="EN35" s="40"/>
      <c r="EO35" s="310"/>
      <c r="EP35" s="311"/>
      <c r="EQ35" s="311"/>
      <c r="ER35" s="311"/>
      <c r="ES35" s="311"/>
      <c r="ET35" s="311"/>
      <c r="EU35" s="311"/>
      <c r="EV35" s="311"/>
      <c r="EW35" s="311"/>
      <c r="EX35" s="311"/>
      <c r="EY35" s="311"/>
      <c r="EZ35" s="311"/>
      <c r="FA35" s="311"/>
      <c r="FB35" s="312"/>
      <c r="FC35" s="302"/>
      <c r="FD35" s="300"/>
      <c r="FE35" s="300"/>
      <c r="FF35" s="300"/>
      <c r="FG35" s="300"/>
      <c r="FH35" s="300"/>
      <c r="FI35" s="300"/>
      <c r="FJ35" s="300"/>
      <c r="FK35" s="300"/>
      <c r="FL35" s="300"/>
      <c r="FM35" s="303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2"/>
    </row>
    <row r="36" spans="1:191" ht="10.95" customHeight="1" x14ac:dyDescent="0.3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334" t="s">
        <v>99</v>
      </c>
      <c r="X36" s="334"/>
      <c r="Y36" s="334"/>
      <c r="Z36" s="334"/>
      <c r="AA36" s="334"/>
      <c r="AB36" s="334"/>
      <c r="AC36" s="334"/>
      <c r="AD36" s="334"/>
      <c r="AE36" s="334"/>
      <c r="AF36" s="334"/>
      <c r="AG36" s="334"/>
      <c r="AH36" s="334"/>
      <c r="AI36" s="334"/>
      <c r="AJ36" s="334"/>
      <c r="AK36" s="334"/>
      <c r="AL36" s="334"/>
      <c r="AM36" s="334"/>
      <c r="AN36" s="334"/>
      <c r="AO36" s="334"/>
      <c r="AP36" s="334"/>
      <c r="AQ36" s="334"/>
      <c r="AR36" s="334"/>
      <c r="AS36" s="334"/>
      <c r="AT36" s="334"/>
      <c r="AU36" s="334"/>
      <c r="AV36" s="334"/>
      <c r="AW36" s="334"/>
      <c r="AX36" s="334"/>
      <c r="AY36" s="334"/>
      <c r="AZ36" s="334"/>
      <c r="BA36" s="334"/>
      <c r="BB36" s="334"/>
      <c r="BC36" s="334"/>
      <c r="BD36" s="334"/>
      <c r="BE36" s="334"/>
      <c r="BF36" s="334"/>
      <c r="BG36" s="334"/>
      <c r="BH36" s="334"/>
      <c r="BI36" s="334"/>
      <c r="BJ36" s="334"/>
      <c r="BK36" s="334"/>
      <c r="BL36" s="334"/>
      <c r="BM36" s="334"/>
      <c r="BN36" s="334"/>
      <c r="BO36" s="334"/>
      <c r="BP36" s="334"/>
      <c r="BQ36" s="334"/>
      <c r="BR36" s="334"/>
      <c r="BS36" s="334"/>
      <c r="BT36" s="334"/>
      <c r="BU36" s="334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335" t="s">
        <v>99</v>
      </c>
      <c r="CS36" s="335"/>
      <c r="CT36" s="335"/>
      <c r="CU36" s="335"/>
      <c r="CV36" s="335"/>
      <c r="CW36" s="335"/>
      <c r="CX36" s="335"/>
      <c r="CY36" s="335"/>
      <c r="CZ36" s="335"/>
      <c r="DA36" s="335"/>
      <c r="DB36" s="335"/>
      <c r="DC36" s="335"/>
      <c r="DD36" s="335"/>
      <c r="DE36" s="335"/>
      <c r="DF36" s="335"/>
      <c r="DG36" s="335"/>
      <c r="DH36" s="335"/>
      <c r="DI36" s="335"/>
      <c r="DJ36" s="335"/>
      <c r="DK36" s="335"/>
      <c r="DL36" s="335"/>
      <c r="DM36" s="335"/>
      <c r="DN36" s="335"/>
      <c r="DO36" s="335"/>
      <c r="DP36" s="335"/>
      <c r="DQ36" s="52"/>
      <c r="DR36" s="52"/>
      <c r="DS36" s="320">
        <f>DS34</f>
        <v>110</v>
      </c>
      <c r="DT36" s="321"/>
      <c r="DU36" s="321"/>
      <c r="DV36" s="321"/>
      <c r="DW36" s="321"/>
      <c r="DX36" s="321"/>
      <c r="DY36" s="321"/>
      <c r="DZ36" s="321"/>
      <c r="EA36" s="321"/>
      <c r="EB36" s="321"/>
      <c r="EC36" s="321"/>
      <c r="ED36" s="321"/>
      <c r="EE36" s="321"/>
      <c r="EF36" s="321"/>
      <c r="EG36" s="321"/>
      <c r="EH36" s="322"/>
      <c r="EI36" s="40"/>
      <c r="EJ36" s="40"/>
      <c r="EK36" s="40"/>
      <c r="EL36" s="40"/>
      <c r="EM36" s="40"/>
      <c r="EN36" s="40"/>
      <c r="EO36" s="304"/>
      <c r="EP36" s="305"/>
      <c r="EQ36" s="305"/>
      <c r="ER36" s="305"/>
      <c r="ES36" s="305"/>
      <c r="ET36" s="305"/>
      <c r="EU36" s="305"/>
      <c r="EV36" s="305"/>
      <c r="EW36" s="305"/>
      <c r="EX36" s="305"/>
      <c r="EY36" s="305"/>
      <c r="EZ36" s="305"/>
      <c r="FA36" s="305"/>
      <c r="FB36" s="306"/>
      <c r="FC36" s="260"/>
      <c r="FD36" s="261"/>
      <c r="FE36" s="261"/>
      <c r="FF36" s="261"/>
      <c r="FG36" s="261"/>
      <c r="FH36" s="261"/>
      <c r="FI36" s="261"/>
      <c r="FJ36" s="261"/>
      <c r="FK36" s="261"/>
      <c r="FL36" s="261"/>
      <c r="FM36" s="263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2"/>
    </row>
    <row r="37" spans="1:191" ht="13.95" customHeight="1" thickBot="1" x14ac:dyDescent="0.35">
      <c r="A37" s="53" t="s">
        <v>102</v>
      </c>
      <c r="B37" s="40"/>
      <c r="C37" s="40"/>
      <c r="D37" s="40"/>
      <c r="E37" s="40"/>
      <c r="F37" s="40"/>
      <c r="G37" s="40"/>
      <c r="H37" s="40"/>
      <c r="I37" s="40"/>
      <c r="J37" s="324" t="s">
        <v>287</v>
      </c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  <c r="AL37" s="324"/>
      <c r="AM37" s="324"/>
      <c r="AN37" s="324"/>
      <c r="AO37" s="324"/>
      <c r="AP37" s="324"/>
      <c r="AQ37" s="324"/>
      <c r="AR37" s="324"/>
      <c r="AS37" s="324"/>
      <c r="AT37" s="324"/>
      <c r="AU37" s="324"/>
      <c r="AV37" s="324"/>
      <c r="AW37" s="324"/>
      <c r="AX37" s="324"/>
      <c r="AY37" s="324"/>
      <c r="AZ37" s="324"/>
      <c r="BA37" s="324"/>
      <c r="BB37" s="324"/>
      <c r="BC37" s="324"/>
      <c r="BD37" s="324"/>
      <c r="BE37" s="324"/>
      <c r="BF37" s="324"/>
      <c r="BG37" s="324"/>
      <c r="BH37" s="324"/>
      <c r="BI37" s="324"/>
      <c r="BJ37" s="324"/>
      <c r="BK37" s="324"/>
      <c r="BL37" s="324"/>
      <c r="BM37" s="324"/>
      <c r="BN37" s="324"/>
      <c r="BO37" s="324"/>
      <c r="BP37" s="324"/>
      <c r="BQ37" s="324"/>
      <c r="BR37" s="324"/>
      <c r="BS37" s="324"/>
      <c r="BT37" s="324"/>
      <c r="BU37" s="324"/>
      <c r="BV37" s="40"/>
      <c r="BW37" s="41" t="s">
        <v>103</v>
      </c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324" t="str">
        <f>CL35</f>
        <v>110 м3</v>
      </c>
      <c r="CN37" s="324"/>
      <c r="CO37" s="324"/>
      <c r="CP37" s="324"/>
      <c r="CQ37" s="324"/>
      <c r="CR37" s="324"/>
      <c r="CS37" s="324"/>
      <c r="CT37" s="324"/>
      <c r="CU37" s="324"/>
      <c r="CV37" s="324"/>
      <c r="CW37" s="324"/>
      <c r="CX37" s="324"/>
      <c r="CY37" s="324"/>
      <c r="CZ37" s="324"/>
      <c r="DA37" s="324"/>
      <c r="DB37" s="324"/>
      <c r="DC37" s="324"/>
      <c r="DD37" s="324"/>
      <c r="DE37" s="324"/>
      <c r="DF37" s="324"/>
      <c r="DG37" s="324"/>
      <c r="DH37" s="324"/>
      <c r="DI37" s="324"/>
      <c r="DJ37" s="324"/>
      <c r="DK37" s="324"/>
      <c r="DL37" s="324"/>
      <c r="DM37" s="324"/>
      <c r="DN37" s="324"/>
      <c r="DO37" s="324"/>
      <c r="DP37" s="324"/>
      <c r="DQ37" s="52"/>
      <c r="DR37" s="52"/>
      <c r="DS37" s="336"/>
      <c r="DT37" s="337"/>
      <c r="DU37" s="337"/>
      <c r="DV37" s="337"/>
      <c r="DW37" s="337"/>
      <c r="DX37" s="337"/>
      <c r="DY37" s="337"/>
      <c r="DZ37" s="337"/>
      <c r="EA37" s="337"/>
      <c r="EB37" s="337"/>
      <c r="EC37" s="337"/>
      <c r="ED37" s="337"/>
      <c r="EE37" s="337"/>
      <c r="EF37" s="337"/>
      <c r="EG37" s="337"/>
      <c r="EH37" s="338"/>
      <c r="EI37" s="325"/>
      <c r="EJ37" s="325"/>
      <c r="EK37" s="325"/>
      <c r="EL37" s="40"/>
      <c r="EM37" s="40"/>
      <c r="EN37" s="40"/>
      <c r="EO37" s="310"/>
      <c r="EP37" s="311"/>
      <c r="EQ37" s="311"/>
      <c r="ER37" s="311"/>
      <c r="ES37" s="311"/>
      <c r="ET37" s="311"/>
      <c r="EU37" s="311"/>
      <c r="EV37" s="311"/>
      <c r="EW37" s="311"/>
      <c r="EX37" s="311"/>
      <c r="EY37" s="311"/>
      <c r="EZ37" s="311"/>
      <c r="FA37" s="311"/>
      <c r="FB37" s="312"/>
      <c r="FC37" s="302"/>
      <c r="FD37" s="300"/>
      <c r="FE37" s="300"/>
      <c r="FF37" s="300"/>
      <c r="FG37" s="300"/>
      <c r="FH37" s="300"/>
      <c r="FI37" s="300"/>
      <c r="FJ37" s="300"/>
      <c r="FK37" s="300"/>
      <c r="FL37" s="300"/>
      <c r="FM37" s="303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I37" s="40"/>
    </row>
    <row r="38" spans="1:191" ht="11.4" customHeight="1" thickBo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7"/>
      <c r="BG38" s="257"/>
      <c r="BH38" s="257"/>
      <c r="BI38" s="257"/>
      <c r="BJ38" s="257"/>
      <c r="BK38" s="257"/>
      <c r="BL38" s="257"/>
      <c r="BM38" s="257"/>
      <c r="BN38" s="257"/>
      <c r="BO38" s="257"/>
      <c r="BP38" s="257"/>
      <c r="BQ38" s="257"/>
      <c r="BR38" s="257"/>
      <c r="BS38" s="257"/>
      <c r="BT38" s="257"/>
      <c r="BU38" s="257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54"/>
      <c r="CJ38" s="54"/>
      <c r="CK38" s="54"/>
      <c r="CL38" s="54"/>
      <c r="CM38" s="54"/>
      <c r="CN38" s="54"/>
      <c r="CO38" s="54"/>
      <c r="CP38" s="54"/>
      <c r="CQ38" s="54"/>
      <c r="CR38" s="257" t="s">
        <v>99</v>
      </c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  <c r="DI38" s="257"/>
      <c r="DJ38" s="257"/>
      <c r="DK38" s="257"/>
      <c r="DL38" s="257"/>
      <c r="DM38" s="257"/>
      <c r="DN38" s="257"/>
      <c r="DO38" s="257"/>
      <c r="DP38" s="257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326" t="s">
        <v>104</v>
      </c>
      <c r="EP38" s="327"/>
      <c r="EQ38" s="327"/>
      <c r="ER38" s="327"/>
      <c r="ES38" s="327"/>
      <c r="ET38" s="327"/>
      <c r="EU38" s="327"/>
      <c r="EV38" s="327"/>
      <c r="EW38" s="327"/>
      <c r="EX38" s="327"/>
      <c r="EY38" s="327"/>
      <c r="EZ38" s="327"/>
      <c r="FA38" s="327"/>
      <c r="FB38" s="328"/>
      <c r="FC38" s="329"/>
      <c r="FD38" s="330"/>
      <c r="FE38" s="330"/>
      <c r="FF38" s="330"/>
      <c r="FG38" s="330"/>
      <c r="FH38" s="330"/>
      <c r="FI38" s="330"/>
      <c r="FJ38" s="330"/>
      <c r="FK38" s="330"/>
      <c r="FL38" s="330"/>
      <c r="FM38" s="331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2"/>
    </row>
    <row r="39" spans="1:191" ht="15" thickTop="1" x14ac:dyDescent="0.3">
      <c r="A39" s="41" t="s">
        <v>105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346"/>
      <c r="AW39" s="346"/>
      <c r="AX39" s="346"/>
      <c r="AY39" s="346"/>
      <c r="AZ39" s="346"/>
      <c r="BA39" s="346"/>
      <c r="BB39" s="346"/>
      <c r="BC39" s="346"/>
      <c r="BD39" s="346"/>
      <c r="BE39" s="346"/>
      <c r="BF39" s="346"/>
      <c r="BG39" s="346"/>
      <c r="BH39" s="346"/>
      <c r="BI39" s="346"/>
      <c r="BJ39" s="346"/>
      <c r="BK39" s="346"/>
      <c r="BL39" s="346"/>
      <c r="BM39" s="346"/>
      <c r="BN39" s="346"/>
      <c r="BO39" s="346"/>
      <c r="BP39" s="346"/>
      <c r="BQ39" s="346"/>
      <c r="BR39" s="346"/>
      <c r="BS39" s="346"/>
      <c r="BT39" s="346"/>
      <c r="BU39" s="346"/>
      <c r="BV39" s="40"/>
      <c r="BW39" s="41" t="s">
        <v>106</v>
      </c>
      <c r="BX39" s="40"/>
      <c r="BY39" s="40"/>
      <c r="BZ39" s="40"/>
      <c r="CA39" s="40"/>
      <c r="CB39" s="40"/>
      <c r="CC39" s="40"/>
      <c r="CD39" s="40"/>
      <c r="CE39" s="297"/>
      <c r="CF39" s="297"/>
      <c r="CG39" s="297"/>
      <c r="CH39" s="297"/>
      <c r="CI39" s="297"/>
      <c r="CJ39" s="297"/>
      <c r="CK39" s="297"/>
      <c r="CL39" s="297"/>
      <c r="CM39" s="297"/>
      <c r="CN39" s="297"/>
      <c r="CO39" s="297"/>
      <c r="CP39" s="297"/>
      <c r="CQ39" s="297"/>
      <c r="CR39" s="297"/>
      <c r="CS39" s="297"/>
      <c r="CT39" s="297"/>
      <c r="CU39" s="297"/>
      <c r="CV39" s="40"/>
      <c r="CW39" s="40"/>
      <c r="CX39" s="55"/>
      <c r="CY39" s="347" t="s">
        <v>107</v>
      </c>
      <c r="CZ39" s="347"/>
      <c r="DA39" s="347"/>
      <c r="DB39" s="347"/>
      <c r="DC39" s="347"/>
      <c r="DD39" s="347"/>
      <c r="DE39" s="347"/>
      <c r="DF39" s="347"/>
      <c r="DG39" s="347"/>
      <c r="DH39" s="347"/>
      <c r="DI39" s="347"/>
      <c r="DJ39" s="347"/>
      <c r="DK39" s="347"/>
      <c r="DL39" s="347"/>
      <c r="DM39" s="347"/>
      <c r="DN39" s="347"/>
      <c r="DO39" s="347"/>
      <c r="DP39" s="347"/>
      <c r="DQ39" s="347"/>
      <c r="DR39" s="347"/>
      <c r="DS39" s="347"/>
      <c r="DT39" s="342"/>
      <c r="DU39" s="342"/>
      <c r="DV39" s="342"/>
      <c r="DW39" s="342"/>
      <c r="DX39" s="342"/>
      <c r="DY39" s="342"/>
      <c r="DZ39" s="342"/>
      <c r="EA39" s="342"/>
      <c r="EB39" s="342"/>
      <c r="EC39" s="342"/>
      <c r="ED39" s="342"/>
      <c r="EE39" s="342"/>
      <c r="EF39" s="342"/>
      <c r="EG39" s="342"/>
      <c r="EH39" s="342"/>
      <c r="EI39" s="342"/>
      <c r="EJ39" s="41"/>
      <c r="EK39" s="340" t="s">
        <v>108</v>
      </c>
      <c r="EL39" s="340"/>
      <c r="EM39" s="340"/>
      <c r="EN39" s="340"/>
      <c r="EO39" s="340"/>
      <c r="EP39" s="348"/>
      <c r="EQ39" s="348"/>
      <c r="ER39" s="348"/>
      <c r="ES39" s="348"/>
      <c r="ET39" s="348"/>
      <c r="EU39" s="339" t="s">
        <v>109</v>
      </c>
      <c r="EV39" s="339"/>
      <c r="EW39" s="339"/>
      <c r="EX39" s="341"/>
      <c r="EY39" s="341"/>
      <c r="EZ39" s="341"/>
      <c r="FA39" s="341"/>
      <c r="FB39" s="341"/>
      <c r="FC39" s="341"/>
      <c r="FD39" s="341"/>
      <c r="FE39" s="341"/>
      <c r="FF39" s="341"/>
      <c r="FG39" s="341"/>
      <c r="FH39" s="341"/>
      <c r="FI39" s="341"/>
      <c r="FJ39" s="341"/>
      <c r="FK39" s="341"/>
      <c r="FL39" s="341"/>
      <c r="FM39" s="341"/>
      <c r="FN39" s="341"/>
      <c r="FO39" s="341"/>
      <c r="FP39" s="341"/>
      <c r="FQ39" s="41"/>
      <c r="FR39" s="56"/>
      <c r="FS39" s="342"/>
      <c r="FT39" s="342"/>
      <c r="FU39" s="342"/>
      <c r="FV39" s="342"/>
      <c r="FW39" s="342"/>
      <c r="FX39" s="342"/>
      <c r="FY39" s="342"/>
      <c r="FZ39" s="342"/>
      <c r="GA39" s="344" t="s">
        <v>110</v>
      </c>
      <c r="GB39" s="344"/>
      <c r="GC39" s="344"/>
      <c r="GD39" s="344"/>
      <c r="GE39" s="40"/>
      <c r="GF39" s="40"/>
      <c r="GG39" s="40"/>
      <c r="GH39" s="40"/>
      <c r="GI39" s="42"/>
    </row>
    <row r="40" spans="1:191" x14ac:dyDescent="0.3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345" t="s">
        <v>99</v>
      </c>
      <c r="AW40" s="345"/>
      <c r="AX40" s="345"/>
      <c r="AY40" s="345"/>
      <c r="AZ40" s="345"/>
      <c r="BA40" s="345"/>
      <c r="BB40" s="345"/>
      <c r="BC40" s="345"/>
      <c r="BD40" s="345"/>
      <c r="BE40" s="345"/>
      <c r="BF40" s="345"/>
      <c r="BG40" s="345"/>
      <c r="BH40" s="345"/>
      <c r="BI40" s="345"/>
      <c r="BJ40" s="345"/>
      <c r="BK40" s="345"/>
      <c r="BL40" s="345"/>
      <c r="BM40" s="345"/>
      <c r="BN40" s="345"/>
      <c r="BO40" s="345"/>
      <c r="BP40" s="345"/>
      <c r="BQ40" s="345"/>
      <c r="BR40" s="345"/>
      <c r="BS40" s="345"/>
      <c r="BT40" s="345"/>
      <c r="BU40" s="345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55"/>
      <c r="CY40" s="347"/>
      <c r="CZ40" s="347"/>
      <c r="DA40" s="347"/>
      <c r="DB40" s="347"/>
      <c r="DC40" s="347"/>
      <c r="DD40" s="347"/>
      <c r="DE40" s="347"/>
      <c r="DF40" s="347"/>
      <c r="DG40" s="347"/>
      <c r="DH40" s="347"/>
      <c r="DI40" s="347"/>
      <c r="DJ40" s="347"/>
      <c r="DK40" s="347"/>
      <c r="DL40" s="347"/>
      <c r="DM40" s="347"/>
      <c r="DN40" s="347"/>
      <c r="DO40" s="347"/>
      <c r="DP40" s="347"/>
      <c r="DQ40" s="347"/>
      <c r="DR40" s="347"/>
      <c r="DS40" s="347"/>
      <c r="DT40" s="343"/>
      <c r="DU40" s="343"/>
      <c r="DV40" s="343"/>
      <c r="DW40" s="343"/>
      <c r="DX40" s="343"/>
      <c r="DY40" s="343"/>
      <c r="DZ40" s="343"/>
      <c r="EA40" s="343"/>
      <c r="EB40" s="343"/>
      <c r="EC40" s="343"/>
      <c r="ED40" s="343"/>
      <c r="EE40" s="343"/>
      <c r="EF40" s="343"/>
      <c r="EG40" s="343"/>
      <c r="EH40" s="343"/>
      <c r="EI40" s="343"/>
      <c r="EJ40" s="57"/>
      <c r="EK40" s="340"/>
      <c r="EL40" s="340"/>
      <c r="EM40" s="340"/>
      <c r="EN40" s="340"/>
      <c r="EO40" s="340"/>
      <c r="EP40" s="343"/>
      <c r="EQ40" s="343"/>
      <c r="ER40" s="343"/>
      <c r="ES40" s="343"/>
      <c r="ET40" s="343"/>
      <c r="EU40" s="340"/>
      <c r="EV40" s="340"/>
      <c r="EW40" s="340"/>
      <c r="EX40" s="297"/>
      <c r="EY40" s="297"/>
      <c r="EZ40" s="297"/>
      <c r="FA40" s="297"/>
      <c r="FB40" s="297"/>
      <c r="FC40" s="297"/>
      <c r="FD40" s="297"/>
      <c r="FE40" s="297"/>
      <c r="FF40" s="297"/>
      <c r="FG40" s="297"/>
      <c r="FH40" s="297"/>
      <c r="FI40" s="297"/>
      <c r="FJ40" s="297"/>
      <c r="FK40" s="297"/>
      <c r="FL40" s="297"/>
      <c r="FM40" s="297"/>
      <c r="FN40" s="297"/>
      <c r="FO40" s="297"/>
      <c r="FP40" s="297"/>
      <c r="FQ40" s="56"/>
      <c r="FR40" s="56"/>
      <c r="FS40" s="343"/>
      <c r="FT40" s="343"/>
      <c r="FU40" s="343"/>
      <c r="FV40" s="343"/>
      <c r="FW40" s="343"/>
      <c r="FX40" s="343"/>
      <c r="FY40" s="343"/>
      <c r="FZ40" s="343"/>
      <c r="GA40" s="344"/>
      <c r="GB40" s="344"/>
      <c r="GC40" s="344"/>
      <c r="GD40" s="344"/>
      <c r="GE40" s="40"/>
      <c r="GF40" s="40"/>
      <c r="GG40" s="40"/>
      <c r="GH40" s="40"/>
      <c r="GI40" s="42"/>
    </row>
    <row r="41" spans="1:191" x14ac:dyDescent="0.3">
      <c r="A41" s="41" t="s">
        <v>111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58"/>
      <c r="T41" s="58"/>
      <c r="U41" s="58"/>
      <c r="V41" s="58"/>
      <c r="W41" s="58"/>
      <c r="X41" s="58"/>
      <c r="Y41" s="58"/>
      <c r="Z41" s="58"/>
      <c r="AA41" s="58"/>
      <c r="AB41" s="297"/>
      <c r="AC41" s="297"/>
      <c r="AD41" s="297"/>
      <c r="AE41" s="297"/>
      <c r="AF41" s="297"/>
      <c r="AG41" s="297"/>
      <c r="AH41" s="297"/>
      <c r="AI41" s="297"/>
      <c r="AJ41" s="297"/>
      <c r="AK41" s="297"/>
      <c r="AL41" s="297"/>
      <c r="AM41" s="297"/>
      <c r="AN41" s="297"/>
      <c r="AO41" s="297"/>
      <c r="AP41" s="297"/>
      <c r="AQ41" s="297"/>
      <c r="AR41" s="297"/>
      <c r="AS41" s="297"/>
      <c r="AT41" s="297"/>
      <c r="AU41" s="297"/>
      <c r="AV41" s="297"/>
      <c r="AW41" s="297"/>
      <c r="AX41" s="297"/>
      <c r="AY41" s="297"/>
      <c r="AZ41" s="297"/>
      <c r="BA41" s="297"/>
      <c r="BB41" s="297"/>
      <c r="BC41" s="297"/>
      <c r="BD41" s="297"/>
      <c r="BE41" s="297"/>
      <c r="BF41" s="297"/>
      <c r="BG41" s="297"/>
      <c r="BH41" s="297"/>
      <c r="BI41" s="297"/>
      <c r="BJ41" s="297"/>
      <c r="BK41" s="297"/>
      <c r="BL41" s="297"/>
      <c r="BM41" s="297"/>
      <c r="BN41" s="297"/>
      <c r="BO41" s="297"/>
      <c r="BP41" s="297"/>
      <c r="BQ41" s="297"/>
      <c r="BR41" s="297"/>
      <c r="BS41" s="297"/>
      <c r="BT41" s="297"/>
      <c r="BU41" s="297"/>
      <c r="BV41" s="297"/>
      <c r="BW41" s="341" t="s">
        <v>112</v>
      </c>
      <c r="BX41" s="341"/>
      <c r="BY41" s="341"/>
      <c r="BZ41" s="341"/>
      <c r="CA41" s="341"/>
      <c r="CB41" s="341"/>
      <c r="CC41" s="297"/>
      <c r="CD41" s="297"/>
      <c r="CE41" s="297"/>
      <c r="CF41" s="297"/>
      <c r="CG41" s="297"/>
      <c r="CH41" s="297"/>
      <c r="CI41" s="297"/>
      <c r="CJ41" s="297"/>
      <c r="CK41" s="297"/>
      <c r="CL41" s="40"/>
      <c r="CM41" s="41" t="s">
        <v>113</v>
      </c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55"/>
      <c r="CY41" s="41" t="s">
        <v>114</v>
      </c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297"/>
      <c r="DK41" s="297"/>
      <c r="DL41" s="297"/>
      <c r="DM41" s="297"/>
      <c r="DN41" s="297"/>
      <c r="DO41" s="297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  <c r="DZ41" s="297"/>
      <c r="EA41" s="297"/>
      <c r="EB41" s="297"/>
      <c r="EC41" s="297"/>
      <c r="ED41" s="297"/>
      <c r="EE41" s="297"/>
      <c r="EF41" s="297"/>
      <c r="EG41" s="297"/>
      <c r="EH41" s="297"/>
      <c r="EI41" s="297"/>
      <c r="EJ41" s="297"/>
      <c r="EK41" s="297"/>
      <c r="EL41" s="297"/>
      <c r="EM41" s="297"/>
      <c r="EN41" s="297"/>
      <c r="EO41" s="297"/>
      <c r="EP41" s="297"/>
      <c r="EQ41" s="297"/>
      <c r="ER41" s="297"/>
      <c r="ES41" s="297"/>
      <c r="ET41" s="297"/>
      <c r="EU41" s="297"/>
      <c r="EV41" s="297"/>
      <c r="EW41" s="297"/>
      <c r="EX41" s="297"/>
      <c r="EY41" s="297"/>
      <c r="EZ41" s="297"/>
      <c r="FA41" s="297"/>
      <c r="FB41" s="297"/>
      <c r="FC41" s="297"/>
      <c r="FD41" s="297"/>
      <c r="FE41" s="297"/>
      <c r="FF41" s="297"/>
      <c r="FG41" s="297"/>
      <c r="FH41" s="297"/>
      <c r="FI41" s="297"/>
      <c r="FJ41" s="297"/>
      <c r="FK41" s="297"/>
      <c r="FL41" s="297"/>
      <c r="FM41" s="297"/>
      <c r="FN41" s="297"/>
      <c r="FO41" s="297"/>
      <c r="FP41" s="297"/>
      <c r="FQ41" s="297"/>
      <c r="FR41" s="297"/>
      <c r="FS41" s="297"/>
      <c r="FT41" s="297"/>
      <c r="FU41" s="297"/>
      <c r="FV41" s="297"/>
      <c r="FW41" s="297"/>
      <c r="FX41" s="297"/>
      <c r="FY41" s="297"/>
      <c r="FZ41" s="297"/>
      <c r="GA41" s="297"/>
      <c r="GB41" s="297"/>
      <c r="GC41" s="297"/>
      <c r="GD41" s="297"/>
      <c r="GE41" s="297"/>
      <c r="GF41" s="40"/>
      <c r="GG41" s="40"/>
      <c r="GH41" s="40"/>
      <c r="GI41" s="42"/>
    </row>
    <row r="42" spans="1:191" ht="7.95" customHeight="1" x14ac:dyDescent="0.3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345" t="s">
        <v>99</v>
      </c>
      <c r="AS42" s="345"/>
      <c r="AT42" s="345"/>
      <c r="AU42" s="345"/>
      <c r="AV42" s="345"/>
      <c r="AW42" s="345"/>
      <c r="AX42" s="345"/>
      <c r="AY42" s="345"/>
      <c r="AZ42" s="345"/>
      <c r="BA42" s="352" t="s">
        <v>115</v>
      </c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55"/>
      <c r="CY42" s="344" t="s">
        <v>116</v>
      </c>
      <c r="CZ42" s="344"/>
      <c r="DA42" s="344"/>
      <c r="DB42" s="344"/>
      <c r="DC42" s="344"/>
      <c r="DD42" s="344"/>
      <c r="DE42" s="344"/>
      <c r="DF42" s="344"/>
      <c r="DG42" s="344"/>
      <c r="DH42" s="344"/>
      <c r="DI42" s="344"/>
      <c r="DJ42" s="344"/>
      <c r="DK42" s="344"/>
      <c r="DL42" s="344"/>
      <c r="DM42" s="344"/>
      <c r="DN42" s="344"/>
      <c r="DO42" s="344"/>
      <c r="DP42" s="344"/>
      <c r="DQ42" s="344"/>
      <c r="DR42" s="344"/>
      <c r="DS42" s="344"/>
      <c r="DT42" s="344"/>
      <c r="DU42" s="344"/>
      <c r="DV42" s="344"/>
      <c r="DW42" s="344"/>
      <c r="DX42" s="344"/>
      <c r="DY42" s="344"/>
      <c r="DZ42" s="344"/>
      <c r="EA42" s="344"/>
      <c r="EB42" s="353" t="s">
        <v>117</v>
      </c>
      <c r="EC42" s="353"/>
      <c r="ED42" s="353"/>
      <c r="EE42" s="353"/>
      <c r="EF42" s="353"/>
      <c r="EG42" s="353"/>
      <c r="EH42" s="353"/>
      <c r="EI42" s="353"/>
      <c r="EJ42" s="353"/>
      <c r="EK42" s="353"/>
      <c r="EL42" s="353"/>
      <c r="EM42" s="353"/>
      <c r="EN42" s="353"/>
      <c r="EO42" s="353"/>
      <c r="EP42" s="353"/>
      <c r="EQ42" s="353"/>
      <c r="ER42" s="353"/>
      <c r="ES42" s="40"/>
      <c r="ET42" s="40"/>
      <c r="EU42" s="355"/>
      <c r="EV42" s="355"/>
      <c r="EW42" s="355"/>
      <c r="EX42" s="355"/>
      <c r="EY42" s="355"/>
      <c r="EZ42" s="355"/>
      <c r="FA42" s="355"/>
      <c r="FB42" s="356" t="s">
        <v>118</v>
      </c>
      <c r="FC42" s="355"/>
      <c r="FD42" s="355"/>
      <c r="FE42" s="355"/>
      <c r="FF42" s="355"/>
      <c r="FG42" s="40"/>
      <c r="FH42" s="40"/>
      <c r="FI42" s="357" t="s">
        <v>119</v>
      </c>
      <c r="FJ42" s="357"/>
      <c r="FK42" s="357"/>
      <c r="FL42" s="357"/>
      <c r="FM42" s="357"/>
      <c r="FN42" s="357"/>
      <c r="FO42" s="357"/>
      <c r="FP42" s="357"/>
      <c r="FQ42" s="357"/>
      <c r="FR42" s="357"/>
      <c r="FS42" s="357"/>
      <c r="FT42" s="357"/>
      <c r="FU42" s="357"/>
      <c r="FV42" s="357"/>
      <c r="FW42" s="357"/>
      <c r="FX42" s="357"/>
      <c r="FY42" s="357"/>
      <c r="FZ42" s="357"/>
      <c r="GA42" s="357"/>
      <c r="GB42" s="357"/>
      <c r="GC42" s="357"/>
      <c r="GD42" s="357"/>
      <c r="GE42" s="357"/>
      <c r="GF42" s="40"/>
      <c r="GG42" s="40"/>
      <c r="GH42" s="40"/>
      <c r="GI42" s="42"/>
    </row>
    <row r="43" spans="1:191" ht="7.95" customHeight="1" x14ac:dyDescent="0.3">
      <c r="A43" s="352" t="s">
        <v>120</v>
      </c>
      <c r="B43" s="352"/>
      <c r="C43" s="352"/>
      <c r="D43" s="352"/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257"/>
      <c r="AS43" s="257"/>
      <c r="AT43" s="257"/>
      <c r="AU43" s="257"/>
      <c r="AV43" s="257"/>
      <c r="AW43" s="257"/>
      <c r="AX43" s="257"/>
      <c r="AY43" s="257"/>
      <c r="AZ43" s="257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55"/>
      <c r="CY43" s="344"/>
      <c r="CZ43" s="344"/>
      <c r="DA43" s="344"/>
      <c r="DB43" s="344"/>
      <c r="DC43" s="344"/>
      <c r="DD43" s="344"/>
      <c r="DE43" s="344"/>
      <c r="DF43" s="344"/>
      <c r="DG43" s="344"/>
      <c r="DH43" s="344"/>
      <c r="DI43" s="344"/>
      <c r="DJ43" s="344"/>
      <c r="DK43" s="344"/>
      <c r="DL43" s="344"/>
      <c r="DM43" s="344"/>
      <c r="DN43" s="344"/>
      <c r="DO43" s="344"/>
      <c r="DP43" s="344"/>
      <c r="DQ43" s="344"/>
      <c r="DR43" s="344"/>
      <c r="DS43" s="344"/>
      <c r="DT43" s="344"/>
      <c r="DU43" s="344"/>
      <c r="DV43" s="344"/>
      <c r="DW43" s="344"/>
      <c r="DX43" s="344"/>
      <c r="DY43" s="344"/>
      <c r="DZ43" s="344"/>
      <c r="EA43" s="344"/>
      <c r="EB43" s="354"/>
      <c r="EC43" s="354"/>
      <c r="ED43" s="354"/>
      <c r="EE43" s="354"/>
      <c r="EF43" s="354"/>
      <c r="EG43" s="354"/>
      <c r="EH43" s="354"/>
      <c r="EI43" s="354"/>
      <c r="EJ43" s="354"/>
      <c r="EK43" s="354"/>
      <c r="EL43" s="354"/>
      <c r="EM43" s="354"/>
      <c r="EN43" s="354"/>
      <c r="EO43" s="354"/>
      <c r="EP43" s="354"/>
      <c r="EQ43" s="354"/>
      <c r="ER43" s="354"/>
      <c r="ES43" s="40"/>
      <c r="ET43" s="40"/>
      <c r="EU43" s="297"/>
      <c r="EV43" s="297"/>
      <c r="EW43" s="297"/>
      <c r="EX43" s="297"/>
      <c r="EY43" s="297"/>
      <c r="EZ43" s="297"/>
      <c r="FA43" s="297"/>
      <c r="FB43" s="297"/>
      <c r="FC43" s="297"/>
      <c r="FD43" s="297"/>
      <c r="FE43" s="297"/>
      <c r="FF43" s="297"/>
      <c r="FG43" s="40"/>
      <c r="FH43" s="40"/>
      <c r="FI43" s="349"/>
      <c r="FJ43" s="349"/>
      <c r="FK43" s="349"/>
      <c r="FL43" s="349"/>
      <c r="FM43" s="349"/>
      <c r="FN43" s="349"/>
      <c r="FO43" s="349"/>
      <c r="FP43" s="349"/>
      <c r="FQ43" s="349"/>
      <c r="FR43" s="349"/>
      <c r="FS43" s="349"/>
      <c r="FT43" s="349"/>
      <c r="FU43" s="349"/>
      <c r="FV43" s="349"/>
      <c r="FW43" s="349"/>
      <c r="FX43" s="349"/>
      <c r="FY43" s="349"/>
      <c r="FZ43" s="349"/>
      <c r="GA43" s="349"/>
      <c r="GB43" s="349"/>
      <c r="GC43" s="349"/>
      <c r="GD43" s="349"/>
      <c r="GE43" s="349"/>
      <c r="GF43" s="40"/>
      <c r="GG43" s="40"/>
      <c r="GH43" s="40"/>
      <c r="GI43" s="42"/>
    </row>
    <row r="44" spans="1:191" s="62" customFormat="1" ht="6.6" customHeight="1" x14ac:dyDescent="0.3">
      <c r="A44" s="352"/>
      <c r="B44" s="352"/>
      <c r="C44" s="352"/>
      <c r="D44" s="352"/>
      <c r="E44" s="352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352"/>
      <c r="T44" s="352"/>
      <c r="U44" s="352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45"/>
      <c r="BY44" s="45"/>
      <c r="BZ44" s="45"/>
      <c r="CA44" s="45"/>
      <c r="CB44" s="45"/>
      <c r="CC44" s="45"/>
      <c r="CD44" s="45"/>
      <c r="CE44" s="45"/>
      <c r="CF44" s="45"/>
      <c r="CG44" s="45"/>
      <c r="CH44" s="45"/>
      <c r="CI44" s="45"/>
      <c r="CJ44" s="45"/>
      <c r="CK44" s="45"/>
      <c r="CL44" s="45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60"/>
      <c r="CY44" s="45"/>
      <c r="CZ44" s="45"/>
      <c r="DA44" s="45"/>
      <c r="DB44" s="45"/>
      <c r="DC44" s="45"/>
      <c r="DD44" s="45"/>
      <c r="DE44" s="45"/>
      <c r="DF44" s="45"/>
      <c r="DG44" s="45"/>
      <c r="DH44" s="45"/>
      <c r="DI44" s="45"/>
      <c r="DJ44" s="45"/>
      <c r="DK44" s="45"/>
      <c r="DL44" s="45"/>
      <c r="DM44" s="45"/>
      <c r="DN44" s="45"/>
      <c r="DO44" s="45"/>
      <c r="DP44" s="45"/>
      <c r="DQ44" s="45"/>
      <c r="DR44" s="45"/>
      <c r="DS44" s="45"/>
      <c r="DT44" s="45"/>
      <c r="DU44" s="45"/>
      <c r="DV44" s="45"/>
      <c r="DW44" s="45"/>
      <c r="DX44" s="45"/>
      <c r="DY44" s="45"/>
      <c r="DZ44" s="45"/>
      <c r="EA44" s="45"/>
      <c r="EB44" s="234" t="s">
        <v>121</v>
      </c>
      <c r="EC44" s="234"/>
      <c r="ED44" s="234"/>
      <c r="EE44" s="234"/>
      <c r="EF44" s="234"/>
      <c r="EG44" s="234"/>
      <c r="EH44" s="234"/>
      <c r="EI44" s="234"/>
      <c r="EJ44" s="234"/>
      <c r="EK44" s="234"/>
      <c r="EL44" s="234"/>
      <c r="EM44" s="234"/>
      <c r="EN44" s="234"/>
      <c r="EO44" s="234"/>
      <c r="EP44" s="234"/>
      <c r="EQ44" s="234"/>
      <c r="ER44" s="234"/>
      <c r="ES44" s="45"/>
      <c r="ET44" s="45"/>
      <c r="EU44" s="234" t="s">
        <v>122</v>
      </c>
      <c r="EV44" s="234"/>
      <c r="EW44" s="234"/>
      <c r="EX44" s="234"/>
      <c r="EY44" s="234"/>
      <c r="EZ44" s="234"/>
      <c r="FA44" s="234"/>
      <c r="FB44" s="234"/>
      <c r="FC44" s="234"/>
      <c r="FD44" s="234"/>
      <c r="FE44" s="234"/>
      <c r="FF44" s="234"/>
      <c r="FG44" s="45"/>
      <c r="FH44" s="45"/>
      <c r="FI44" s="234"/>
      <c r="FJ44" s="234"/>
      <c r="FK44" s="234"/>
      <c r="FL44" s="234"/>
      <c r="FM44" s="234"/>
      <c r="FN44" s="234"/>
      <c r="FO44" s="234"/>
      <c r="FP44" s="234"/>
      <c r="FQ44" s="234"/>
      <c r="FR44" s="234"/>
      <c r="FS44" s="234"/>
      <c r="FT44" s="234"/>
      <c r="FU44" s="234"/>
      <c r="FV44" s="234"/>
      <c r="FW44" s="234"/>
      <c r="FX44" s="234"/>
      <c r="FY44" s="234"/>
      <c r="FZ44" s="234"/>
      <c r="GA44" s="234"/>
      <c r="GB44" s="234"/>
      <c r="GC44" s="234"/>
      <c r="GD44" s="234"/>
      <c r="GE44" s="234"/>
      <c r="GF44" s="45"/>
      <c r="GG44" s="45"/>
      <c r="GH44" s="45"/>
      <c r="GI44" s="61"/>
    </row>
    <row r="45" spans="1:191" x14ac:dyDescent="0.3">
      <c r="A45" s="349" t="s">
        <v>123</v>
      </c>
      <c r="B45" s="349"/>
      <c r="C45" s="349"/>
      <c r="D45" s="349"/>
      <c r="E45" s="349"/>
      <c r="F45" s="349"/>
      <c r="G45" s="349"/>
      <c r="H45" s="349"/>
      <c r="I45" s="349"/>
      <c r="J45" s="349"/>
      <c r="K45" s="349"/>
      <c r="L45" s="349"/>
      <c r="M45" s="349"/>
      <c r="N45" s="349"/>
      <c r="O45" s="349"/>
      <c r="P45" s="349"/>
      <c r="Q45" s="349"/>
      <c r="R45" s="349"/>
      <c r="S45" s="349"/>
      <c r="T45" s="349"/>
      <c r="U45" s="349"/>
      <c r="V45" s="349"/>
      <c r="W45" s="349"/>
      <c r="X45" s="63"/>
      <c r="Y45" s="350"/>
      <c r="Z45" s="350"/>
      <c r="AA45" s="350"/>
      <c r="AB45" s="350"/>
      <c r="AC45" s="350"/>
      <c r="AD45" s="350"/>
      <c r="AE45" s="350"/>
      <c r="AF45" s="63"/>
      <c r="AG45" s="349" t="s">
        <v>124</v>
      </c>
      <c r="AH45" s="349"/>
      <c r="AI45" s="349"/>
      <c r="AJ45" s="349"/>
      <c r="AK45" s="349"/>
      <c r="AL45" s="349"/>
      <c r="AM45" s="349"/>
      <c r="AN45" s="349"/>
      <c r="AO45" s="349"/>
      <c r="AP45" s="349"/>
      <c r="AQ45" s="349"/>
      <c r="AR45" s="349"/>
      <c r="AS45" s="349"/>
      <c r="AT45" s="349"/>
      <c r="AU45" s="349"/>
      <c r="AV45" s="349"/>
      <c r="AW45" s="349"/>
      <c r="AX45" s="349"/>
      <c r="AY45" s="64"/>
      <c r="AZ45" s="40"/>
      <c r="BA45" s="65" t="s">
        <v>125</v>
      </c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40"/>
      <c r="BM45" s="40"/>
      <c r="BN45" s="40"/>
      <c r="BO45" s="40"/>
      <c r="BP45" s="40"/>
      <c r="BQ45" s="351"/>
      <c r="BR45" s="351"/>
      <c r="BS45" s="351"/>
      <c r="BT45" s="351"/>
      <c r="BU45" s="351"/>
      <c r="BV45" s="351"/>
      <c r="BW45" s="351"/>
      <c r="BX45" s="351"/>
      <c r="BY45" s="351"/>
      <c r="BZ45" s="351"/>
      <c r="CA45" s="40"/>
      <c r="CB45" s="40"/>
      <c r="CC45" s="297"/>
      <c r="CD45" s="297"/>
      <c r="CE45" s="297"/>
      <c r="CF45" s="297"/>
      <c r="CG45" s="297"/>
      <c r="CH45" s="297"/>
      <c r="CI45" s="297"/>
      <c r="CJ45" s="297"/>
      <c r="CK45" s="297"/>
      <c r="CL45" s="297"/>
      <c r="CM45" s="297"/>
      <c r="CN45" s="297"/>
      <c r="CO45" s="297"/>
      <c r="CP45" s="297"/>
      <c r="CQ45" s="297"/>
      <c r="CR45" s="297"/>
      <c r="CS45" s="297"/>
      <c r="CT45" s="297"/>
      <c r="CU45" s="297"/>
      <c r="CV45" s="40"/>
      <c r="CW45" s="40"/>
      <c r="CX45" s="55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2"/>
    </row>
    <row r="46" spans="1:191" s="62" customFormat="1" ht="7.2" customHeight="1" x14ac:dyDescent="0.3">
      <c r="A46" s="358" t="s">
        <v>121</v>
      </c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  <c r="M46" s="358"/>
      <c r="N46" s="358"/>
      <c r="O46" s="358"/>
      <c r="P46" s="358"/>
      <c r="Q46" s="358"/>
      <c r="R46" s="358"/>
      <c r="S46" s="358"/>
      <c r="T46" s="358"/>
      <c r="U46" s="358"/>
      <c r="V46" s="358"/>
      <c r="W46" s="358"/>
      <c r="X46" s="67"/>
      <c r="Y46" s="358" t="s">
        <v>122</v>
      </c>
      <c r="Z46" s="358"/>
      <c r="AA46" s="358"/>
      <c r="AB46" s="358"/>
      <c r="AC46" s="358"/>
      <c r="AD46" s="358"/>
      <c r="AE46" s="358"/>
      <c r="AF46" s="67"/>
      <c r="AG46" s="358" t="s">
        <v>126</v>
      </c>
      <c r="AH46" s="358"/>
      <c r="AI46" s="358"/>
      <c r="AJ46" s="358"/>
      <c r="AK46" s="358"/>
      <c r="AL46" s="358"/>
      <c r="AM46" s="358"/>
      <c r="AN46" s="358"/>
      <c r="AO46" s="358"/>
      <c r="AP46" s="358"/>
      <c r="AQ46" s="358"/>
      <c r="AR46" s="358"/>
      <c r="AS46" s="358"/>
      <c r="AT46" s="358"/>
      <c r="AU46" s="358"/>
      <c r="AV46" s="358"/>
      <c r="AW46" s="358"/>
      <c r="AX46" s="358"/>
      <c r="AY46" s="68"/>
      <c r="AZ46" s="45"/>
      <c r="BA46" s="45"/>
      <c r="BB46" s="45"/>
      <c r="BC46" s="45"/>
      <c r="BD46" s="45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234" t="s">
        <v>122</v>
      </c>
      <c r="BR46" s="234"/>
      <c r="BS46" s="234"/>
      <c r="BT46" s="234"/>
      <c r="BU46" s="234"/>
      <c r="BV46" s="234"/>
      <c r="BW46" s="234"/>
      <c r="BX46" s="234"/>
      <c r="BY46" s="234"/>
      <c r="BZ46" s="234"/>
      <c r="CA46" s="70"/>
      <c r="CB46" s="70"/>
      <c r="CC46" s="234" t="s">
        <v>126</v>
      </c>
      <c r="CD46" s="234"/>
      <c r="CE46" s="234"/>
      <c r="CF46" s="234"/>
      <c r="CG46" s="234"/>
      <c r="CH46" s="234"/>
      <c r="CI46" s="234"/>
      <c r="CJ46" s="234"/>
      <c r="CK46" s="234"/>
      <c r="CL46" s="234"/>
      <c r="CM46" s="234"/>
      <c r="CN46" s="234"/>
      <c r="CO46" s="234"/>
      <c r="CP46" s="234"/>
      <c r="CQ46" s="234"/>
      <c r="CR46" s="234"/>
      <c r="CS46" s="234"/>
      <c r="CT46" s="234"/>
      <c r="CU46" s="234"/>
      <c r="CV46" s="45"/>
      <c r="CW46" s="45"/>
      <c r="CX46" s="60"/>
      <c r="CY46" s="344" t="s">
        <v>127</v>
      </c>
      <c r="CZ46" s="344"/>
      <c r="DA46" s="344"/>
      <c r="DB46" s="344"/>
      <c r="DC46" s="344"/>
      <c r="DD46" s="344"/>
      <c r="DE46" s="344"/>
      <c r="DF46" s="344"/>
      <c r="DG46" s="344"/>
      <c r="DH46" s="344"/>
      <c r="DI46" s="344"/>
      <c r="DJ46" s="344"/>
      <c r="DK46" s="344"/>
      <c r="DL46" s="344"/>
      <c r="DM46" s="344"/>
      <c r="DN46" s="344"/>
      <c r="DO46" s="344"/>
      <c r="DP46" s="344"/>
      <c r="DQ46" s="344"/>
      <c r="DR46" s="344"/>
      <c r="DS46" s="344"/>
      <c r="DT46" s="344"/>
      <c r="DU46" s="344"/>
      <c r="DV46" s="344"/>
      <c r="DW46" s="344"/>
      <c r="DX46" s="344"/>
      <c r="DY46" s="344"/>
      <c r="DZ46" s="344"/>
      <c r="EA46" s="344"/>
      <c r="EB46" s="344"/>
      <c r="EC46" s="344"/>
      <c r="ED46" s="344"/>
      <c r="EE46" s="344"/>
      <c r="EF46" s="344"/>
      <c r="EG46" s="344"/>
      <c r="EH46" s="344"/>
      <c r="EI46" s="344"/>
      <c r="EJ46" s="344"/>
      <c r="EK46" s="344"/>
      <c r="EL46" s="344"/>
      <c r="EM46" s="344"/>
      <c r="EN46" s="344"/>
      <c r="EO46" s="344"/>
      <c r="EP46" s="344"/>
      <c r="EQ46" s="344"/>
      <c r="ER46" s="344"/>
      <c r="ES46" s="344"/>
      <c r="ET46" s="344"/>
      <c r="EU46" s="344"/>
      <c r="EV46" s="344"/>
      <c r="EW46" s="344"/>
      <c r="EX46" s="344"/>
      <c r="EY46" s="344"/>
      <c r="EZ46" s="344"/>
      <c r="FA46" s="344"/>
      <c r="FB46" s="344"/>
      <c r="FC46" s="344"/>
      <c r="FD46" s="344"/>
      <c r="FE46" s="344"/>
      <c r="FF46" s="344"/>
      <c r="FG46" s="344"/>
      <c r="FH46" s="344"/>
      <c r="FI46" s="45"/>
      <c r="FJ46" s="45"/>
      <c r="FK46" s="45"/>
      <c r="FL46" s="45"/>
      <c r="FM46" s="45"/>
      <c r="FN46" s="45"/>
      <c r="FO46" s="45"/>
      <c r="FP46" s="45"/>
      <c r="FQ46" s="45"/>
      <c r="FR46" s="45"/>
      <c r="FS46" s="45"/>
      <c r="FT46" s="45"/>
      <c r="FU46" s="45"/>
      <c r="FV46" s="45"/>
      <c r="FW46" s="45"/>
      <c r="FX46" s="45"/>
      <c r="FY46" s="45"/>
      <c r="FZ46" s="45"/>
      <c r="GA46" s="45"/>
      <c r="GB46" s="45"/>
      <c r="GC46" s="45"/>
      <c r="GD46" s="45"/>
      <c r="GE46" s="45"/>
      <c r="GF46" s="45"/>
      <c r="GG46" s="45"/>
      <c r="GH46" s="45"/>
      <c r="GI46" s="61"/>
    </row>
    <row r="47" spans="1:191" ht="12.6" customHeight="1" x14ac:dyDescent="0.3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55"/>
      <c r="CY47" s="344"/>
      <c r="CZ47" s="344"/>
      <c r="DA47" s="344"/>
      <c r="DB47" s="344"/>
      <c r="DC47" s="344"/>
      <c r="DD47" s="344"/>
      <c r="DE47" s="344"/>
      <c r="DF47" s="344"/>
      <c r="DG47" s="344"/>
      <c r="DH47" s="344"/>
      <c r="DI47" s="344"/>
      <c r="DJ47" s="344"/>
      <c r="DK47" s="344"/>
      <c r="DL47" s="344"/>
      <c r="DM47" s="344"/>
      <c r="DN47" s="344"/>
      <c r="DO47" s="344"/>
      <c r="DP47" s="344"/>
      <c r="DQ47" s="344"/>
      <c r="DR47" s="344"/>
      <c r="DS47" s="344"/>
      <c r="DT47" s="344"/>
      <c r="DU47" s="344"/>
      <c r="DV47" s="344"/>
      <c r="DW47" s="344"/>
      <c r="DX47" s="344"/>
      <c r="DY47" s="344"/>
      <c r="DZ47" s="344"/>
      <c r="EA47" s="344"/>
      <c r="EB47" s="344"/>
      <c r="EC47" s="344"/>
      <c r="ED47" s="344"/>
      <c r="EE47" s="344"/>
      <c r="EF47" s="344"/>
      <c r="EG47" s="344"/>
      <c r="EH47" s="344"/>
      <c r="EI47" s="344"/>
      <c r="EJ47" s="344"/>
      <c r="EK47" s="344"/>
      <c r="EL47" s="344"/>
      <c r="EM47" s="344"/>
      <c r="EN47" s="344"/>
      <c r="EO47" s="344"/>
      <c r="EP47" s="344"/>
      <c r="EQ47" s="344"/>
      <c r="ER47" s="344"/>
      <c r="ES47" s="344"/>
      <c r="ET47" s="344"/>
      <c r="EU47" s="344"/>
      <c r="EV47" s="344"/>
      <c r="EW47" s="344"/>
      <c r="EX47" s="344"/>
      <c r="EY47" s="344"/>
      <c r="EZ47" s="344"/>
      <c r="FA47" s="344"/>
      <c r="FB47" s="344"/>
      <c r="FC47" s="344"/>
      <c r="FD47" s="344"/>
      <c r="FE47" s="344"/>
      <c r="FF47" s="344"/>
      <c r="FG47" s="344"/>
      <c r="FH47" s="344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2"/>
    </row>
    <row r="48" spans="1:191" x14ac:dyDescent="0.3">
      <c r="A48" s="72" t="s">
        <v>128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349" t="s">
        <v>129</v>
      </c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40"/>
      <c r="BA48" s="40"/>
      <c r="BB48" s="350"/>
      <c r="BC48" s="350"/>
      <c r="BD48" s="350"/>
      <c r="BE48" s="350"/>
      <c r="BF48" s="350"/>
      <c r="BG48" s="350"/>
      <c r="BH48" s="350"/>
      <c r="BI48" s="350"/>
      <c r="BJ48" s="350"/>
      <c r="BK48" s="350"/>
      <c r="BL48" s="350"/>
      <c r="BM48" s="350"/>
      <c r="BN48" s="350"/>
      <c r="BO48" s="350"/>
      <c r="BP48" s="40"/>
      <c r="BQ48" s="40"/>
      <c r="BR48" s="349" t="s">
        <v>130</v>
      </c>
      <c r="BS48" s="349"/>
      <c r="BT48" s="349"/>
      <c r="BU48" s="349"/>
      <c r="BV48" s="349"/>
      <c r="BW48" s="349"/>
      <c r="BX48" s="349"/>
      <c r="BY48" s="349"/>
      <c r="BZ48" s="349"/>
      <c r="CA48" s="349"/>
      <c r="CB48" s="349"/>
      <c r="CC48" s="349"/>
      <c r="CD48" s="349"/>
      <c r="CE48" s="349"/>
      <c r="CF48" s="349"/>
      <c r="CG48" s="349"/>
      <c r="CH48" s="349"/>
      <c r="CI48" s="349"/>
      <c r="CJ48" s="349"/>
      <c r="CK48" s="349"/>
      <c r="CL48" s="349"/>
      <c r="CM48" s="349"/>
      <c r="CN48" s="349"/>
      <c r="CO48" s="349"/>
      <c r="CP48" s="349"/>
      <c r="CQ48" s="349"/>
      <c r="CR48" s="40"/>
      <c r="CS48" s="40"/>
      <c r="CT48" s="40"/>
      <c r="CU48" s="40"/>
      <c r="CV48" s="40"/>
      <c r="CW48" s="40"/>
      <c r="CX48" s="73"/>
      <c r="CY48" s="363"/>
      <c r="CZ48" s="363"/>
      <c r="DA48" s="363"/>
      <c r="DB48" s="363"/>
      <c r="DC48" s="363"/>
      <c r="DD48" s="363"/>
      <c r="DE48" s="363"/>
      <c r="DF48" s="363"/>
      <c r="DG48" s="363"/>
      <c r="DH48" s="363"/>
      <c r="DI48" s="363"/>
      <c r="DJ48" s="363"/>
      <c r="DK48" s="363"/>
      <c r="DL48" s="363"/>
      <c r="DM48" s="363"/>
      <c r="DN48" s="363"/>
      <c r="DO48" s="363"/>
      <c r="DP48" s="363"/>
      <c r="DQ48" s="363"/>
      <c r="DR48" s="363"/>
      <c r="DS48" s="363"/>
      <c r="DT48" s="363"/>
      <c r="DU48" s="363"/>
      <c r="DV48" s="363"/>
      <c r="DW48" s="363"/>
      <c r="DX48" s="363"/>
      <c r="DY48" s="363"/>
      <c r="DZ48" s="363"/>
      <c r="EA48" s="363"/>
      <c r="EB48" s="363"/>
      <c r="EC48" s="363"/>
      <c r="ED48" s="363"/>
      <c r="EE48" s="363"/>
      <c r="EF48" s="363"/>
      <c r="EG48" s="363"/>
      <c r="EH48" s="363"/>
      <c r="EI48" s="363"/>
      <c r="EJ48" s="363"/>
      <c r="EK48" s="363"/>
      <c r="EL48" s="363"/>
      <c r="EM48" s="363"/>
      <c r="EN48" s="363"/>
      <c r="EO48" s="363"/>
      <c r="EP48" s="363"/>
      <c r="EQ48" s="363"/>
      <c r="ER48" s="363"/>
      <c r="ES48" s="363"/>
      <c r="ET48" s="363"/>
      <c r="EU48" s="363"/>
      <c r="EV48" s="363"/>
      <c r="EW48" s="363"/>
      <c r="EX48" s="363"/>
      <c r="EY48" s="363"/>
      <c r="EZ48" s="363"/>
      <c r="FA48" s="363"/>
      <c r="FB48" s="363"/>
      <c r="FC48" s="363"/>
      <c r="FD48" s="363"/>
      <c r="FE48" s="363"/>
      <c r="FF48" s="363"/>
      <c r="FG48" s="363"/>
      <c r="FH48" s="363"/>
      <c r="FI48" s="363"/>
      <c r="FJ48" s="363"/>
      <c r="FK48" s="363"/>
      <c r="FL48" s="363"/>
      <c r="FM48" s="363"/>
      <c r="FN48" s="363"/>
      <c r="FO48" s="363"/>
      <c r="FP48" s="363"/>
      <c r="FQ48" s="363"/>
      <c r="FR48" s="363"/>
      <c r="FS48" s="363"/>
      <c r="FT48" s="363"/>
      <c r="FU48" s="363"/>
      <c r="FV48" s="363"/>
      <c r="FW48" s="363"/>
      <c r="FX48" s="363"/>
      <c r="FY48" s="363"/>
      <c r="FZ48" s="363"/>
      <c r="GA48" s="363"/>
      <c r="GB48" s="363"/>
      <c r="GC48" s="363"/>
      <c r="GD48" s="363"/>
      <c r="GE48" s="363"/>
      <c r="GF48" s="40"/>
      <c r="GG48" s="40"/>
      <c r="GH48" s="40"/>
      <c r="GI48" s="42"/>
    </row>
    <row r="49" spans="1:191" s="33" customFormat="1" ht="7.2" customHeight="1" x14ac:dyDescent="0.3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234" t="s">
        <v>121</v>
      </c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4"/>
      <c r="AT49" s="234"/>
      <c r="AU49" s="234"/>
      <c r="AV49" s="234"/>
      <c r="AW49" s="234"/>
      <c r="AX49" s="234"/>
      <c r="AY49" s="234"/>
      <c r="AZ49" s="49"/>
      <c r="BA49" s="49"/>
      <c r="BB49" s="234" t="s">
        <v>122</v>
      </c>
      <c r="BC49" s="234"/>
      <c r="BD49" s="234"/>
      <c r="BE49" s="234"/>
      <c r="BF49" s="234"/>
      <c r="BG49" s="234"/>
      <c r="BH49" s="234"/>
      <c r="BI49" s="234"/>
      <c r="BJ49" s="234"/>
      <c r="BK49" s="234"/>
      <c r="BL49" s="234"/>
      <c r="BM49" s="234"/>
      <c r="BN49" s="234"/>
      <c r="BO49" s="234"/>
      <c r="BP49" s="70"/>
      <c r="BQ49" s="70"/>
      <c r="BR49" s="234" t="s">
        <v>126</v>
      </c>
      <c r="BS49" s="234"/>
      <c r="BT49" s="234"/>
      <c r="BU49" s="234"/>
      <c r="BV49" s="234"/>
      <c r="BW49" s="234"/>
      <c r="BX49" s="234"/>
      <c r="BY49" s="234"/>
      <c r="BZ49" s="234"/>
      <c r="CA49" s="234"/>
      <c r="CB49" s="234"/>
      <c r="CC49" s="234"/>
      <c r="CD49" s="234"/>
      <c r="CE49" s="234"/>
      <c r="CF49" s="234"/>
      <c r="CG49" s="234"/>
      <c r="CH49" s="234"/>
      <c r="CI49" s="234"/>
      <c r="CJ49" s="234"/>
      <c r="CK49" s="234"/>
      <c r="CL49" s="234"/>
      <c r="CM49" s="234"/>
      <c r="CN49" s="234"/>
      <c r="CO49" s="234"/>
      <c r="CP49" s="234"/>
      <c r="CQ49" s="234"/>
      <c r="CR49" s="49"/>
      <c r="CS49" s="49"/>
      <c r="CT49" s="49"/>
      <c r="CU49" s="49"/>
      <c r="CV49" s="49"/>
      <c r="CW49" s="49"/>
      <c r="CX49" s="74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 s="49"/>
      <c r="DQ49" s="49"/>
      <c r="DR49" s="49"/>
      <c r="DS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75"/>
    </row>
    <row r="50" spans="1:191" x14ac:dyDescent="0.3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76" t="s">
        <v>131</v>
      </c>
      <c r="AT50" s="41"/>
      <c r="AU50" s="41"/>
      <c r="AV50" s="41"/>
      <c r="AW50" s="41"/>
      <c r="AX50" s="41"/>
      <c r="AY50" s="41"/>
      <c r="AZ50" s="41"/>
      <c r="BA50" s="41"/>
      <c r="BB50" s="41"/>
      <c r="BC50" s="41" t="s">
        <v>132</v>
      </c>
      <c r="BD50" s="41"/>
      <c r="BE50" s="359" t="str">
        <f>FM7</f>
        <v>26</v>
      </c>
      <c r="BF50" s="349"/>
      <c r="BG50" s="349"/>
      <c r="BH50" s="349"/>
      <c r="BI50" s="349"/>
      <c r="BJ50" s="57" t="s">
        <v>109</v>
      </c>
      <c r="BK50" s="57"/>
      <c r="BL50" s="57"/>
      <c r="BM50" s="349" t="str">
        <f>VLOOKUP(FS7,$GJ$112:$GK$123,2,FALSE)</f>
        <v>марта</v>
      </c>
      <c r="BN50" s="349"/>
      <c r="BO50" s="349"/>
      <c r="BP50" s="349"/>
      <c r="BQ50" s="349"/>
      <c r="BR50" s="349"/>
      <c r="BS50" s="349"/>
      <c r="BT50" s="349"/>
      <c r="BU50" s="349"/>
      <c r="BV50" s="349"/>
      <c r="BW50" s="349"/>
      <c r="BX50" s="349"/>
      <c r="BY50" s="349"/>
      <c r="BZ50" s="349"/>
      <c r="CA50" s="349"/>
      <c r="CB50" s="349"/>
      <c r="CC50" s="349"/>
      <c r="CD50" s="349"/>
      <c r="CE50" s="56"/>
      <c r="CF50" s="56"/>
      <c r="CG50" s="360" t="str">
        <f>FZ7</f>
        <v>2023</v>
      </c>
      <c r="CH50" s="361"/>
      <c r="CI50" s="361"/>
      <c r="CJ50" s="361"/>
      <c r="CK50" s="361"/>
      <c r="CL50" s="361"/>
      <c r="CM50" s="361"/>
      <c r="CN50" s="56"/>
      <c r="CO50" s="41" t="s">
        <v>133</v>
      </c>
      <c r="CP50" s="77"/>
      <c r="CQ50" s="40"/>
      <c r="CR50" s="40"/>
      <c r="CS50" s="40"/>
      <c r="CT50" s="40"/>
      <c r="CU50" s="40"/>
      <c r="CV50" s="40"/>
      <c r="CW50" s="40"/>
      <c r="CX50" s="55"/>
      <c r="CY50" s="41" t="s">
        <v>134</v>
      </c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362"/>
      <c r="EE50" s="362"/>
      <c r="EF50" s="362"/>
      <c r="EG50" s="362"/>
      <c r="EH50" s="362"/>
      <c r="EI50" s="362"/>
      <c r="EJ50" s="362"/>
      <c r="EK50" s="362"/>
      <c r="EL50" s="362"/>
      <c r="EM50" s="362"/>
      <c r="EN50" s="362"/>
      <c r="EO50" s="362"/>
      <c r="EP50" s="362"/>
      <c r="EQ50" s="362"/>
      <c r="ER50" s="362"/>
      <c r="ES50" s="362"/>
      <c r="ET50" s="40"/>
      <c r="EU50" s="40"/>
      <c r="EV50" s="362"/>
      <c r="EW50" s="362"/>
      <c r="EX50" s="362"/>
      <c r="EY50" s="362"/>
      <c r="EZ50" s="362"/>
      <c r="FA50" s="362"/>
      <c r="FB50" s="362"/>
      <c r="FC50" s="362"/>
      <c r="FD50" s="362"/>
      <c r="FE50" s="362"/>
      <c r="FF50" s="362"/>
      <c r="FG50" s="40"/>
      <c r="FH50" s="40"/>
      <c r="FI50" s="362"/>
      <c r="FJ50" s="362"/>
      <c r="FK50" s="362"/>
      <c r="FL50" s="362"/>
      <c r="FM50" s="362"/>
      <c r="FN50" s="362"/>
      <c r="FO50" s="362"/>
      <c r="FP50" s="362"/>
      <c r="FQ50" s="362"/>
      <c r="FR50" s="362"/>
      <c r="FS50" s="362"/>
      <c r="FT50" s="362"/>
      <c r="FU50" s="362"/>
      <c r="FV50" s="362"/>
      <c r="FW50" s="362"/>
      <c r="FX50" s="362"/>
      <c r="FY50" s="362"/>
      <c r="FZ50" s="362"/>
      <c r="GA50" s="362"/>
      <c r="GB50" s="362"/>
      <c r="GC50" s="362"/>
      <c r="GD50" s="362"/>
      <c r="GE50" s="362"/>
      <c r="GF50" s="40"/>
      <c r="GG50" s="40"/>
      <c r="GH50" s="40"/>
      <c r="GI50" s="42"/>
    </row>
    <row r="51" spans="1:191" ht="7.2" customHeight="1" x14ac:dyDescent="0.3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1"/>
      <c r="CS51" s="41"/>
      <c r="CT51" s="40"/>
      <c r="CU51" s="40"/>
      <c r="CV51" s="40"/>
      <c r="CW51" s="40"/>
      <c r="CX51" s="55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316" t="s">
        <v>121</v>
      </c>
      <c r="EE51" s="316"/>
      <c r="EF51" s="316"/>
      <c r="EG51" s="316"/>
      <c r="EH51" s="316"/>
      <c r="EI51" s="316"/>
      <c r="EJ51" s="316"/>
      <c r="EK51" s="316"/>
      <c r="EL51" s="316"/>
      <c r="EM51" s="316"/>
      <c r="EN51" s="316"/>
      <c r="EO51" s="316"/>
      <c r="EP51" s="316"/>
      <c r="EQ51" s="316"/>
      <c r="ER51" s="316"/>
      <c r="ES51" s="316"/>
      <c r="ET51" s="40"/>
      <c r="EU51" s="40"/>
      <c r="EV51" s="316" t="s">
        <v>122</v>
      </c>
      <c r="EW51" s="316"/>
      <c r="EX51" s="316"/>
      <c r="EY51" s="316"/>
      <c r="EZ51" s="316"/>
      <c r="FA51" s="316"/>
      <c r="FB51" s="316"/>
      <c r="FC51" s="316"/>
      <c r="FD51" s="316"/>
      <c r="FE51" s="316"/>
      <c r="FF51" s="316"/>
      <c r="FG51" s="40"/>
      <c r="FH51" s="40"/>
      <c r="FI51" s="316" t="s">
        <v>126</v>
      </c>
      <c r="FJ51" s="316"/>
      <c r="FK51" s="316"/>
      <c r="FL51" s="316"/>
      <c r="FM51" s="316"/>
      <c r="FN51" s="316"/>
      <c r="FO51" s="316"/>
      <c r="FP51" s="316"/>
      <c r="FQ51" s="316"/>
      <c r="FR51" s="316"/>
      <c r="FS51" s="316"/>
      <c r="FT51" s="316"/>
      <c r="FU51" s="316"/>
      <c r="FV51" s="316"/>
      <c r="FW51" s="316"/>
      <c r="FX51" s="316"/>
      <c r="FY51" s="316"/>
      <c r="FZ51" s="316"/>
      <c r="GA51" s="316"/>
      <c r="GB51" s="316"/>
      <c r="GC51" s="316"/>
      <c r="GD51" s="316"/>
      <c r="GE51" s="316"/>
      <c r="GF51" s="40"/>
      <c r="GG51" s="40"/>
      <c r="GH51" s="40"/>
      <c r="GI51" s="42"/>
    </row>
    <row r="52" spans="1:191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</row>
    <row r="53" spans="1:191" ht="15" thickBot="1" x14ac:dyDescent="0.35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372" t="s">
        <v>135</v>
      </c>
      <c r="BY53" s="372"/>
      <c r="BZ53" s="372"/>
      <c r="CA53" s="372"/>
      <c r="CB53" s="372"/>
      <c r="CC53" s="372"/>
      <c r="CD53" s="372"/>
      <c r="CE53" s="372"/>
      <c r="CF53" s="372"/>
      <c r="CG53" s="372"/>
      <c r="CH53" s="372"/>
      <c r="CI53" s="372"/>
      <c r="CJ53" s="372"/>
      <c r="CK53" s="372"/>
      <c r="CL53" s="372"/>
      <c r="CM53" s="372"/>
      <c r="CN53" s="372"/>
      <c r="CO53" s="372"/>
      <c r="CP53" s="372"/>
      <c r="CQ53" s="372"/>
      <c r="CR53" s="372"/>
      <c r="CS53" s="372"/>
      <c r="CT53" s="372"/>
      <c r="CU53" s="372"/>
      <c r="CV53" s="372"/>
      <c r="CW53" s="372"/>
      <c r="CX53" s="372"/>
      <c r="CY53" s="372"/>
      <c r="CZ53" s="372"/>
      <c r="DA53" s="372"/>
      <c r="DB53" s="372"/>
      <c r="DC53" s="372"/>
      <c r="DD53" s="372"/>
      <c r="DE53" s="78"/>
      <c r="DF53" s="78"/>
      <c r="DG53" s="78"/>
      <c r="DH53" s="78"/>
      <c r="DI53" s="78"/>
      <c r="DJ53" s="78"/>
      <c r="DK53" s="78"/>
      <c r="DL53" s="78"/>
      <c r="DM53" s="78"/>
      <c r="DN53" s="78"/>
      <c r="DO53" s="78"/>
      <c r="DP53" s="78"/>
      <c r="DQ53" s="78"/>
      <c r="DR53" s="78"/>
      <c r="DS53" s="78"/>
      <c r="DT53" s="78"/>
      <c r="DU53" s="78"/>
      <c r="DV53" s="78"/>
      <c r="DW53" s="78"/>
      <c r="DX53" s="78"/>
      <c r="DY53" s="78"/>
      <c r="DZ53" s="78"/>
      <c r="EA53" s="78"/>
      <c r="EB53" s="78"/>
      <c r="EC53" s="78"/>
      <c r="ED53" s="78"/>
      <c r="EE53" s="78"/>
      <c r="EF53" s="78"/>
      <c r="EG53" s="78"/>
      <c r="EH53" s="78"/>
      <c r="EI53" s="78"/>
      <c r="EJ53" s="78"/>
      <c r="EK53" s="78"/>
      <c r="EL53" s="78"/>
      <c r="EM53" s="78"/>
      <c r="EN53" s="78"/>
      <c r="EO53" s="78"/>
      <c r="EP53" s="78"/>
      <c r="EQ53" s="78"/>
      <c r="ER53" s="78"/>
      <c r="ES53" s="78"/>
      <c r="ET53" s="79"/>
      <c r="EU53" s="79"/>
      <c r="EV53" s="79"/>
      <c r="EW53" s="79"/>
      <c r="EX53" s="79"/>
      <c r="EY53" s="79"/>
      <c r="EZ53" s="79"/>
      <c r="FA53" s="79"/>
      <c r="FB53" s="79"/>
      <c r="FC53" s="79"/>
      <c r="FD53" s="79"/>
      <c r="FE53" s="79"/>
      <c r="FF53" s="79"/>
      <c r="FG53" s="79"/>
      <c r="FH53" s="79"/>
      <c r="FI53" s="79"/>
      <c r="FJ53" s="79"/>
      <c r="FK53" s="79"/>
      <c r="FL53" s="79"/>
      <c r="FM53" s="79"/>
      <c r="FN53" s="79"/>
      <c r="FO53" s="79"/>
      <c r="FP53" s="79"/>
      <c r="FQ53" s="79"/>
      <c r="FR53" s="79"/>
      <c r="FS53" s="79"/>
      <c r="FT53" s="79"/>
      <c r="FU53" s="79"/>
      <c r="FV53" s="79"/>
      <c r="FW53" s="79"/>
      <c r="FX53" s="79"/>
      <c r="FY53" s="79"/>
      <c r="FZ53" s="79"/>
      <c r="GA53" s="79"/>
      <c r="GB53" s="79"/>
      <c r="GC53" s="79"/>
      <c r="GD53" s="79"/>
      <c r="GE53" s="79"/>
      <c r="GF53" s="79"/>
      <c r="GG53" s="79" t="s">
        <v>136</v>
      </c>
      <c r="GH53" s="79"/>
      <c r="GI53" s="42"/>
    </row>
    <row r="54" spans="1:191" ht="9.6" customHeight="1" x14ac:dyDescent="0.3">
      <c r="A54" s="367" t="s">
        <v>137</v>
      </c>
      <c r="B54" s="367"/>
      <c r="C54" s="367"/>
      <c r="D54" s="367"/>
      <c r="E54" s="367"/>
      <c r="F54" s="367"/>
      <c r="G54" s="367"/>
      <c r="H54" s="367"/>
      <c r="I54" s="367"/>
      <c r="J54" s="367"/>
      <c r="K54" s="367"/>
      <c r="L54" s="367"/>
      <c r="M54" s="367"/>
      <c r="N54" s="367"/>
      <c r="O54" s="367"/>
      <c r="P54" s="367"/>
      <c r="Q54" s="367"/>
      <c r="R54" s="367"/>
      <c r="S54" s="367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373"/>
      <c r="AE54" s="373"/>
      <c r="AF54" s="373"/>
      <c r="AG54" s="373"/>
      <c r="AH54" s="78"/>
      <c r="AI54" s="78" t="s">
        <v>138</v>
      </c>
      <c r="AJ54" s="78"/>
      <c r="AK54" s="78"/>
      <c r="AL54" s="78"/>
      <c r="AM54" s="78"/>
      <c r="AN54" s="78"/>
      <c r="AO54" s="78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78"/>
      <c r="BE54" s="78" t="s">
        <v>56</v>
      </c>
      <c r="BF54" s="78"/>
      <c r="BG54" s="78"/>
      <c r="BH54" s="78"/>
      <c r="BI54" s="373"/>
      <c r="BJ54" s="373"/>
      <c r="BK54" s="373"/>
      <c r="BL54" s="373"/>
      <c r="BM54" s="373"/>
      <c r="BN54" s="373"/>
      <c r="BO54" s="373"/>
      <c r="BP54" s="373"/>
      <c r="BQ54" s="373"/>
      <c r="BR54" s="373"/>
      <c r="BS54" s="373"/>
      <c r="BT54" s="373"/>
      <c r="BU54" s="373"/>
      <c r="BV54" s="373"/>
      <c r="BW54" s="78"/>
      <c r="BX54" s="372"/>
      <c r="BY54" s="372"/>
      <c r="BZ54" s="372"/>
      <c r="CA54" s="372"/>
      <c r="CB54" s="372"/>
      <c r="CC54" s="372"/>
      <c r="CD54" s="372"/>
      <c r="CE54" s="372"/>
      <c r="CF54" s="372"/>
      <c r="CG54" s="372"/>
      <c r="CH54" s="372"/>
      <c r="CI54" s="372"/>
      <c r="CJ54" s="372"/>
      <c r="CK54" s="372"/>
      <c r="CL54" s="372"/>
      <c r="CM54" s="372"/>
      <c r="CN54" s="372"/>
      <c r="CO54" s="372"/>
      <c r="CP54" s="372"/>
      <c r="CQ54" s="372"/>
      <c r="CR54" s="372"/>
      <c r="CS54" s="372"/>
      <c r="CT54" s="372"/>
      <c r="CU54" s="372"/>
      <c r="CV54" s="372"/>
      <c r="CW54" s="372"/>
      <c r="CX54" s="372"/>
      <c r="CY54" s="372"/>
      <c r="CZ54" s="372"/>
      <c r="DA54" s="372"/>
      <c r="DB54" s="372"/>
      <c r="DC54" s="372"/>
      <c r="DD54" s="372"/>
      <c r="DE54" s="78"/>
      <c r="DF54" s="78"/>
      <c r="DG54" s="78"/>
      <c r="DH54" s="78"/>
      <c r="DI54" s="78"/>
      <c r="DJ54" s="78"/>
      <c r="DK54" s="78"/>
      <c r="DL54" s="78"/>
      <c r="DM54" s="78"/>
      <c r="DN54" s="78"/>
      <c r="DO54" s="78"/>
      <c r="DP54" s="78"/>
      <c r="DQ54" s="78"/>
      <c r="DR54" s="78"/>
      <c r="DS54" s="78"/>
      <c r="DT54" s="78"/>
      <c r="DU54" s="78"/>
      <c r="DV54" s="78"/>
      <c r="DW54" s="78"/>
      <c r="DX54" s="78"/>
      <c r="DY54" s="78"/>
      <c r="DZ54" s="78"/>
      <c r="EA54" s="78"/>
      <c r="EB54" s="78"/>
      <c r="EC54" s="78"/>
      <c r="ED54" s="78"/>
      <c r="EE54" s="78"/>
      <c r="EF54" s="78"/>
      <c r="EG54" s="78"/>
      <c r="EH54" s="78"/>
      <c r="EI54" s="78"/>
      <c r="EJ54" s="78"/>
      <c r="EK54" s="78"/>
      <c r="EL54" s="78"/>
      <c r="EM54" s="78"/>
      <c r="EN54" s="78"/>
      <c r="EO54" s="78"/>
      <c r="EP54" s="78"/>
      <c r="EQ54" s="78"/>
      <c r="ER54" s="78"/>
      <c r="ES54" s="79"/>
      <c r="ET54" s="79"/>
      <c r="EU54" s="79"/>
      <c r="EV54" s="79"/>
      <c r="EW54" s="79"/>
      <c r="EX54" s="79"/>
      <c r="EY54" s="79"/>
      <c r="EZ54" s="79"/>
      <c r="FA54" s="79"/>
      <c r="FB54" s="79"/>
      <c r="FC54" s="79"/>
      <c r="FD54" s="79"/>
      <c r="FE54" s="79"/>
      <c r="FF54" s="79"/>
      <c r="FG54" s="79"/>
      <c r="FH54" s="79"/>
      <c r="FI54" s="79"/>
      <c r="FJ54" s="79"/>
      <c r="FK54" s="79"/>
      <c r="FL54" s="79"/>
      <c r="FM54" s="79"/>
      <c r="FN54" s="79"/>
      <c r="FO54" s="79"/>
      <c r="FP54" s="374" t="str">
        <f>FM6</f>
        <v>1024</v>
      </c>
      <c r="FQ54" s="375"/>
      <c r="FR54" s="375"/>
      <c r="FS54" s="375"/>
      <c r="FT54" s="375"/>
      <c r="FU54" s="375"/>
      <c r="FV54" s="375"/>
      <c r="FW54" s="375"/>
      <c r="FX54" s="375"/>
      <c r="FY54" s="375"/>
      <c r="FZ54" s="375"/>
      <c r="GA54" s="375"/>
      <c r="GB54" s="375"/>
      <c r="GC54" s="375"/>
      <c r="GD54" s="375"/>
      <c r="GE54" s="375"/>
      <c r="GF54" s="375"/>
      <c r="GG54" s="375"/>
      <c r="GH54" s="376"/>
      <c r="GI54" s="42"/>
    </row>
    <row r="55" spans="1:191" ht="12.6" customHeight="1" x14ac:dyDescent="0.3">
      <c r="A55" s="78" t="s">
        <v>139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 t="s">
        <v>132</v>
      </c>
      <c r="W55" s="78"/>
      <c r="X55" s="373"/>
      <c r="Y55" s="373"/>
      <c r="Z55" s="373"/>
      <c r="AA55" s="373"/>
      <c r="AB55" s="78" t="s">
        <v>109</v>
      </c>
      <c r="AC55" s="78"/>
      <c r="AD55" s="364" t="s">
        <v>140</v>
      </c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80"/>
      <c r="AV55" s="81"/>
      <c r="AW55" s="365" t="str">
        <f>FZ7</f>
        <v>2023</v>
      </c>
      <c r="AX55" s="366"/>
      <c r="AY55" s="366"/>
      <c r="AZ55" s="366"/>
      <c r="BA55" s="366"/>
      <c r="BB55" s="366"/>
      <c r="BC55" s="366"/>
      <c r="BD55" s="78" t="s">
        <v>110</v>
      </c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  <c r="CY55" s="78"/>
      <c r="CZ55" s="78"/>
      <c r="DA55" s="78"/>
      <c r="DB55" s="78"/>
      <c r="DC55" s="78"/>
      <c r="DD55" s="78"/>
      <c r="DE55" s="78"/>
      <c r="DF55" s="78"/>
      <c r="DG55" s="78"/>
      <c r="DH55" s="78"/>
      <c r="DI55" s="78"/>
      <c r="DJ55" s="78"/>
      <c r="DK55" s="78"/>
      <c r="DL55" s="78"/>
      <c r="DM55" s="78"/>
      <c r="DN55" s="78"/>
      <c r="DO55" s="78"/>
      <c r="DP55" s="78"/>
      <c r="DQ55" s="78"/>
      <c r="DR55" s="78"/>
      <c r="DS55" s="78"/>
      <c r="DT55" s="78"/>
      <c r="DU55" s="78"/>
      <c r="DV55" s="78"/>
      <c r="DW55" s="78"/>
      <c r="DX55" s="78"/>
      <c r="DY55" s="78"/>
      <c r="DZ55" s="78"/>
      <c r="EA55" s="78"/>
      <c r="EB55" s="78"/>
      <c r="EC55" s="78"/>
      <c r="ED55" s="78"/>
      <c r="EE55" s="78"/>
      <c r="EF55" s="78"/>
      <c r="EG55" s="78"/>
      <c r="EH55" s="78"/>
      <c r="EI55" s="78"/>
      <c r="EJ55" s="78"/>
      <c r="EK55" s="78"/>
      <c r="EL55" s="78"/>
      <c r="EM55" s="78"/>
      <c r="EN55" s="78"/>
      <c r="EO55" s="78"/>
      <c r="EP55" s="78"/>
      <c r="EQ55" s="78"/>
      <c r="ER55" s="78"/>
      <c r="ES55" s="78"/>
      <c r="ET55" s="78"/>
      <c r="EU55" s="78"/>
      <c r="EV55" s="78"/>
      <c r="EW55" s="78"/>
      <c r="EX55" s="78"/>
      <c r="EY55" s="78"/>
      <c r="EZ55" s="78"/>
      <c r="FA55" s="78"/>
      <c r="FB55" s="78"/>
      <c r="FC55" s="78"/>
      <c r="FD55" s="78"/>
      <c r="FE55" s="78"/>
      <c r="FF55" s="78"/>
      <c r="FG55" s="78"/>
      <c r="FH55" s="78"/>
      <c r="FI55" s="78"/>
      <c r="FJ55" s="78"/>
      <c r="FK55" s="78"/>
      <c r="FL55" s="78"/>
      <c r="FM55" s="78"/>
      <c r="FN55" s="82" t="s">
        <v>141</v>
      </c>
      <c r="FO55" s="78"/>
      <c r="FP55" s="377"/>
      <c r="FQ55" s="378"/>
      <c r="FR55" s="378"/>
      <c r="FS55" s="378"/>
      <c r="FT55" s="378"/>
      <c r="FU55" s="378"/>
      <c r="FV55" s="378"/>
      <c r="FW55" s="378"/>
      <c r="FX55" s="378"/>
      <c r="FY55" s="378"/>
      <c r="FZ55" s="378"/>
      <c r="GA55" s="378"/>
      <c r="GB55" s="378"/>
      <c r="GC55" s="378"/>
      <c r="GD55" s="378"/>
      <c r="GE55" s="378"/>
      <c r="GF55" s="378"/>
      <c r="GG55" s="378"/>
      <c r="GH55" s="379"/>
      <c r="GI55" s="42"/>
    </row>
    <row r="56" spans="1:191" ht="9.6" customHeight="1" x14ac:dyDescent="0.3">
      <c r="A56" s="367" t="s">
        <v>142</v>
      </c>
      <c r="B56" s="367"/>
      <c r="C56" s="367"/>
      <c r="D56" s="367"/>
      <c r="E56" s="367"/>
      <c r="F56" s="367"/>
      <c r="G56" s="367"/>
      <c r="H56" s="367"/>
      <c r="I56" s="367"/>
      <c r="J56" s="367"/>
      <c r="K56" s="367"/>
      <c r="L56" s="367"/>
      <c r="M56" s="367"/>
      <c r="N56" s="368" t="s">
        <v>44</v>
      </c>
      <c r="O56" s="368"/>
      <c r="P56" s="368"/>
      <c r="Q56" s="368"/>
      <c r="R56" s="368"/>
      <c r="S56" s="368"/>
      <c r="T56" s="368"/>
      <c r="U56" s="368"/>
      <c r="V56" s="368"/>
      <c r="W56" s="368"/>
      <c r="X56" s="368"/>
      <c r="Y56" s="368"/>
      <c r="Z56" s="368"/>
      <c r="AA56" s="368"/>
      <c r="AB56" s="368"/>
      <c r="AC56" s="368"/>
      <c r="AD56" s="368"/>
      <c r="AE56" s="368"/>
      <c r="AF56" s="368"/>
      <c r="AG56" s="368"/>
      <c r="AH56" s="368"/>
      <c r="AI56" s="368"/>
      <c r="AJ56" s="368"/>
      <c r="AK56" s="368"/>
      <c r="AL56" s="368"/>
      <c r="AM56" s="368"/>
      <c r="AN56" s="368"/>
      <c r="AO56" s="368"/>
      <c r="AP56" s="368"/>
      <c r="AQ56" s="368"/>
      <c r="AR56" s="368"/>
      <c r="AS56" s="368"/>
      <c r="AT56" s="368"/>
      <c r="AU56" s="368"/>
      <c r="AV56" s="368"/>
      <c r="AW56" s="368"/>
      <c r="AX56" s="368"/>
      <c r="AY56" s="368"/>
      <c r="AZ56" s="368"/>
      <c r="BA56" s="368"/>
      <c r="BB56" s="368"/>
      <c r="BC56" s="368"/>
      <c r="BD56" s="368"/>
      <c r="BE56" s="368"/>
      <c r="BF56" s="368"/>
      <c r="BG56" s="368"/>
      <c r="BH56" s="368"/>
      <c r="BI56" s="368"/>
      <c r="BJ56" s="368"/>
      <c r="BK56" s="368"/>
      <c r="BL56" s="368"/>
      <c r="BM56" s="368"/>
      <c r="BN56" s="368"/>
      <c r="BO56" s="368"/>
      <c r="BP56" s="368"/>
      <c r="BQ56" s="368"/>
      <c r="BR56" s="368"/>
      <c r="BS56" s="368"/>
      <c r="BT56" s="368"/>
      <c r="BU56" s="368"/>
      <c r="BV56" s="368"/>
      <c r="BW56" s="368"/>
      <c r="BX56" s="368"/>
      <c r="BY56" s="368"/>
      <c r="BZ56" s="368"/>
      <c r="CA56" s="368"/>
      <c r="CB56" s="78"/>
      <c r="CC56" s="370" t="s">
        <v>143</v>
      </c>
      <c r="CD56" s="370"/>
      <c r="CE56" s="370"/>
      <c r="CF56" s="370"/>
      <c r="CG56" s="370"/>
      <c r="CH56" s="370"/>
      <c r="CI56" s="370"/>
      <c r="CJ56" s="370"/>
      <c r="CK56" s="370"/>
      <c r="CL56" s="370"/>
      <c r="CM56" s="370"/>
      <c r="CN56" s="370"/>
      <c r="CO56" s="368" t="s">
        <v>144</v>
      </c>
      <c r="CP56" s="368"/>
      <c r="CQ56" s="368"/>
      <c r="CR56" s="368"/>
      <c r="CS56" s="368"/>
      <c r="CT56" s="368"/>
      <c r="CU56" s="368"/>
      <c r="CV56" s="368"/>
      <c r="CW56" s="368"/>
      <c r="CX56" s="368"/>
      <c r="CY56" s="368"/>
      <c r="CZ56" s="368"/>
      <c r="DA56" s="368"/>
      <c r="DB56" s="368"/>
      <c r="DC56" s="368"/>
      <c r="DD56" s="368"/>
      <c r="DE56" s="368"/>
      <c r="DF56" s="368"/>
      <c r="DG56" s="368"/>
      <c r="DH56" s="368"/>
      <c r="DI56" s="368"/>
      <c r="DJ56" s="368"/>
      <c r="DK56" s="368"/>
      <c r="DL56" s="380" t="s">
        <v>145</v>
      </c>
      <c r="DM56" s="380"/>
      <c r="DN56" s="380"/>
      <c r="DO56" s="380"/>
      <c r="DP56" s="380"/>
      <c r="DQ56" s="380"/>
      <c r="DR56" s="380"/>
      <c r="DS56" s="380"/>
      <c r="DT56" s="380"/>
      <c r="DU56" s="380"/>
      <c r="DV56" s="380"/>
      <c r="DW56" s="380"/>
      <c r="DX56" s="380"/>
      <c r="DY56" s="380"/>
      <c r="DZ56" s="380"/>
      <c r="EA56" s="380"/>
      <c r="EB56" s="380"/>
      <c r="EC56" s="380"/>
      <c r="ED56" s="380"/>
      <c r="EE56" s="380"/>
      <c r="EF56" s="380"/>
      <c r="EG56" s="380"/>
      <c r="EH56" s="380"/>
      <c r="EI56" s="380"/>
      <c r="EJ56" s="380"/>
      <c r="EK56" s="63"/>
      <c r="EL56" s="83"/>
      <c r="EM56" s="83"/>
      <c r="EN56" s="368" t="s">
        <v>146</v>
      </c>
      <c r="EO56" s="368"/>
      <c r="EP56" s="368"/>
      <c r="EQ56" s="368"/>
      <c r="ER56" s="368"/>
      <c r="ES56" s="368"/>
      <c r="ET56" s="368"/>
      <c r="EU56" s="368"/>
      <c r="EV56" s="368"/>
      <c r="EW56" s="368"/>
      <c r="EX56" s="368"/>
      <c r="EY56" s="368"/>
      <c r="EZ56" s="368"/>
      <c r="FA56" s="368"/>
      <c r="FB56" s="381" t="s">
        <v>147</v>
      </c>
      <c r="FC56" s="381"/>
      <c r="FD56" s="381"/>
      <c r="FE56" s="381"/>
      <c r="FF56" s="381"/>
      <c r="FG56" s="381"/>
      <c r="FH56" s="381"/>
      <c r="FI56" s="381"/>
      <c r="FJ56" s="381"/>
      <c r="FK56" s="381"/>
      <c r="FL56" s="381"/>
      <c r="FM56" s="381"/>
      <c r="FN56" s="381"/>
      <c r="FO56" s="78"/>
      <c r="FP56" s="382" t="s">
        <v>309</v>
      </c>
      <c r="FQ56" s="383"/>
      <c r="FR56" s="383"/>
      <c r="FS56" s="383"/>
      <c r="FT56" s="383"/>
      <c r="FU56" s="383"/>
      <c r="FV56" s="383"/>
      <c r="FW56" s="383"/>
      <c r="FX56" s="383"/>
      <c r="FY56" s="383"/>
      <c r="FZ56" s="383"/>
      <c r="GA56" s="383"/>
      <c r="GB56" s="383"/>
      <c r="GC56" s="383"/>
      <c r="GD56" s="383"/>
      <c r="GE56" s="383"/>
      <c r="GF56" s="383"/>
      <c r="GG56" s="383"/>
      <c r="GH56" s="384"/>
      <c r="GI56" s="42"/>
    </row>
    <row r="57" spans="1:191" ht="6.6" customHeight="1" x14ac:dyDescent="0.3">
      <c r="A57" s="367"/>
      <c r="B57" s="367"/>
      <c r="C57" s="367"/>
      <c r="D57" s="367"/>
      <c r="E57" s="367"/>
      <c r="F57" s="367"/>
      <c r="G57" s="367"/>
      <c r="H57" s="367"/>
      <c r="I57" s="367"/>
      <c r="J57" s="367"/>
      <c r="K57" s="367"/>
      <c r="L57" s="367"/>
      <c r="M57" s="367"/>
      <c r="N57" s="369"/>
      <c r="O57" s="369"/>
      <c r="P57" s="369"/>
      <c r="Q57" s="369"/>
      <c r="R57" s="369"/>
      <c r="S57" s="369"/>
      <c r="T57" s="369"/>
      <c r="U57" s="369"/>
      <c r="V57" s="369"/>
      <c r="W57" s="369"/>
      <c r="X57" s="369"/>
      <c r="Y57" s="369"/>
      <c r="Z57" s="369"/>
      <c r="AA57" s="369"/>
      <c r="AB57" s="369"/>
      <c r="AC57" s="369"/>
      <c r="AD57" s="369"/>
      <c r="AE57" s="369"/>
      <c r="AF57" s="369"/>
      <c r="AG57" s="369"/>
      <c r="AH57" s="369"/>
      <c r="AI57" s="369"/>
      <c r="AJ57" s="369"/>
      <c r="AK57" s="369"/>
      <c r="AL57" s="369"/>
      <c r="AM57" s="369"/>
      <c r="AN57" s="369"/>
      <c r="AO57" s="369"/>
      <c r="AP57" s="369"/>
      <c r="AQ57" s="369"/>
      <c r="AR57" s="369"/>
      <c r="AS57" s="369"/>
      <c r="AT57" s="369"/>
      <c r="AU57" s="369"/>
      <c r="AV57" s="369"/>
      <c r="AW57" s="369"/>
      <c r="AX57" s="369"/>
      <c r="AY57" s="369"/>
      <c r="AZ57" s="369"/>
      <c r="BA57" s="369"/>
      <c r="BB57" s="369"/>
      <c r="BC57" s="369"/>
      <c r="BD57" s="369"/>
      <c r="BE57" s="369"/>
      <c r="BF57" s="369"/>
      <c r="BG57" s="369"/>
      <c r="BH57" s="369"/>
      <c r="BI57" s="369"/>
      <c r="BJ57" s="369"/>
      <c r="BK57" s="369"/>
      <c r="BL57" s="369"/>
      <c r="BM57" s="369"/>
      <c r="BN57" s="369"/>
      <c r="BO57" s="369"/>
      <c r="BP57" s="369"/>
      <c r="BQ57" s="369"/>
      <c r="BR57" s="369"/>
      <c r="BS57" s="369"/>
      <c r="BT57" s="369"/>
      <c r="BU57" s="369"/>
      <c r="BV57" s="369"/>
      <c r="BW57" s="369"/>
      <c r="BX57" s="369"/>
      <c r="BY57" s="369"/>
      <c r="BZ57" s="369"/>
      <c r="CA57" s="369"/>
      <c r="CB57" s="78"/>
      <c r="CC57" s="370"/>
      <c r="CD57" s="370"/>
      <c r="CE57" s="370"/>
      <c r="CF57" s="370"/>
      <c r="CG57" s="370"/>
      <c r="CH57" s="370"/>
      <c r="CI57" s="370"/>
      <c r="CJ57" s="370"/>
      <c r="CK57" s="370"/>
      <c r="CL57" s="370"/>
      <c r="CM57" s="370"/>
      <c r="CN57" s="370"/>
      <c r="CO57" s="371"/>
      <c r="CP57" s="371"/>
      <c r="CQ57" s="371"/>
      <c r="CR57" s="371"/>
      <c r="CS57" s="371"/>
      <c r="CT57" s="371"/>
      <c r="CU57" s="371"/>
      <c r="CV57" s="371"/>
      <c r="CW57" s="371"/>
      <c r="CX57" s="371"/>
      <c r="CY57" s="371"/>
      <c r="CZ57" s="371"/>
      <c r="DA57" s="371"/>
      <c r="DB57" s="371"/>
      <c r="DC57" s="371"/>
      <c r="DD57" s="371"/>
      <c r="DE57" s="371"/>
      <c r="DF57" s="371"/>
      <c r="DG57" s="371"/>
      <c r="DH57" s="371"/>
      <c r="DI57" s="371"/>
      <c r="DJ57" s="371"/>
      <c r="DK57" s="371"/>
      <c r="DL57" s="380"/>
      <c r="DM57" s="380"/>
      <c r="DN57" s="380"/>
      <c r="DO57" s="380"/>
      <c r="DP57" s="380"/>
      <c r="DQ57" s="380"/>
      <c r="DR57" s="380"/>
      <c r="DS57" s="380"/>
      <c r="DT57" s="380"/>
      <c r="DU57" s="380"/>
      <c r="DV57" s="380"/>
      <c r="DW57" s="380"/>
      <c r="DX57" s="380"/>
      <c r="DY57" s="380"/>
      <c r="DZ57" s="380"/>
      <c r="EA57" s="380"/>
      <c r="EB57" s="380"/>
      <c r="EC57" s="380"/>
      <c r="ED57" s="380"/>
      <c r="EE57" s="380"/>
      <c r="EF57" s="380"/>
      <c r="EG57" s="380"/>
      <c r="EH57" s="380"/>
      <c r="EI57" s="380"/>
      <c r="EJ57" s="380"/>
      <c r="EK57" s="63"/>
      <c r="EL57" s="83"/>
      <c r="EM57" s="84"/>
      <c r="EN57" s="369"/>
      <c r="EO57" s="369"/>
      <c r="EP57" s="369"/>
      <c r="EQ57" s="369"/>
      <c r="ER57" s="369"/>
      <c r="ES57" s="369"/>
      <c r="ET57" s="369"/>
      <c r="EU57" s="369"/>
      <c r="EV57" s="369"/>
      <c r="EW57" s="369"/>
      <c r="EX57" s="369"/>
      <c r="EY57" s="369"/>
      <c r="EZ57" s="369"/>
      <c r="FA57" s="369"/>
      <c r="FB57" s="388" t="s">
        <v>148</v>
      </c>
      <c r="FC57" s="388"/>
      <c r="FD57" s="388"/>
      <c r="FE57" s="388"/>
      <c r="FF57" s="388"/>
      <c r="FG57" s="388"/>
      <c r="FH57" s="388"/>
      <c r="FI57" s="388"/>
      <c r="FJ57" s="388"/>
      <c r="FK57" s="388"/>
      <c r="FL57" s="388"/>
      <c r="FM57" s="388"/>
      <c r="FN57" s="388"/>
      <c r="FO57" s="78"/>
      <c r="FP57" s="385"/>
      <c r="FQ57" s="386"/>
      <c r="FR57" s="386"/>
      <c r="FS57" s="386"/>
      <c r="FT57" s="386"/>
      <c r="FU57" s="386"/>
      <c r="FV57" s="386"/>
      <c r="FW57" s="386"/>
      <c r="FX57" s="386"/>
      <c r="FY57" s="386"/>
      <c r="FZ57" s="386"/>
      <c r="GA57" s="386"/>
      <c r="GB57" s="386"/>
      <c r="GC57" s="386"/>
      <c r="GD57" s="386"/>
      <c r="GE57" s="386"/>
      <c r="GF57" s="386"/>
      <c r="GG57" s="386"/>
      <c r="GH57" s="387"/>
      <c r="GI57" s="42"/>
    </row>
    <row r="58" spans="1:191" ht="7.95" customHeight="1" x14ac:dyDescent="0.3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389" t="s">
        <v>149</v>
      </c>
      <c r="O58" s="389"/>
      <c r="P58" s="389"/>
      <c r="Q58" s="389"/>
      <c r="R58" s="389"/>
      <c r="S58" s="389"/>
      <c r="T58" s="389"/>
      <c r="U58" s="389"/>
      <c r="V58" s="389"/>
      <c r="W58" s="389"/>
      <c r="X58" s="389"/>
      <c r="Y58" s="389"/>
      <c r="Z58" s="389"/>
      <c r="AA58" s="389"/>
      <c r="AB58" s="389"/>
      <c r="AC58" s="389"/>
      <c r="AD58" s="389"/>
      <c r="AE58" s="389"/>
      <c r="AF58" s="389"/>
      <c r="AG58" s="389"/>
      <c r="AH58" s="389"/>
      <c r="AI58" s="389"/>
      <c r="AJ58" s="389"/>
      <c r="AK58" s="389"/>
      <c r="AL58" s="389"/>
      <c r="AM58" s="389"/>
      <c r="AN58" s="389"/>
      <c r="AO58" s="389"/>
      <c r="AP58" s="389"/>
      <c r="AQ58" s="389"/>
      <c r="AR58" s="389"/>
      <c r="AS58" s="389"/>
      <c r="AT58" s="389"/>
      <c r="AU58" s="389"/>
      <c r="AV58" s="389"/>
      <c r="AW58" s="389"/>
      <c r="AX58" s="389"/>
      <c r="AY58" s="389"/>
      <c r="AZ58" s="389"/>
      <c r="BA58" s="389"/>
      <c r="BB58" s="389"/>
      <c r="BC58" s="389"/>
      <c r="BD58" s="389"/>
      <c r="BE58" s="389"/>
      <c r="BF58" s="389"/>
      <c r="BG58" s="389"/>
      <c r="BH58" s="389"/>
      <c r="BI58" s="389"/>
      <c r="BJ58" s="389"/>
      <c r="BK58" s="389"/>
      <c r="BL58" s="389"/>
      <c r="BM58" s="389"/>
      <c r="BN58" s="389"/>
      <c r="BO58" s="389"/>
      <c r="BP58" s="389"/>
      <c r="BQ58" s="389"/>
      <c r="BR58" s="389"/>
      <c r="BS58" s="389"/>
      <c r="BT58" s="389"/>
      <c r="BU58" s="389"/>
      <c r="BV58" s="389"/>
      <c r="BW58" s="389"/>
      <c r="BX58" s="389"/>
      <c r="BY58" s="389"/>
      <c r="BZ58" s="389"/>
      <c r="CA58" s="389"/>
      <c r="CB58" s="86"/>
      <c r="CC58" s="86"/>
      <c r="CD58" s="86"/>
      <c r="CE58" s="86"/>
      <c r="CF58" s="86"/>
      <c r="CG58" s="86"/>
      <c r="CH58" s="87"/>
      <c r="CI58" s="87"/>
      <c r="CJ58" s="87"/>
      <c r="CK58" s="87"/>
      <c r="CL58" s="87"/>
      <c r="CM58" s="87"/>
      <c r="CN58" s="85"/>
      <c r="CO58" s="390" t="s">
        <v>150</v>
      </c>
      <c r="CP58" s="390"/>
      <c r="CQ58" s="390"/>
      <c r="CR58" s="390"/>
      <c r="CS58" s="390"/>
      <c r="CT58" s="390"/>
      <c r="CU58" s="390"/>
      <c r="CV58" s="390"/>
      <c r="CW58" s="390"/>
      <c r="CX58" s="390"/>
      <c r="CY58" s="390"/>
      <c r="CZ58" s="390"/>
      <c r="DA58" s="390"/>
      <c r="DB58" s="390"/>
      <c r="DC58" s="390"/>
      <c r="DD58" s="390"/>
      <c r="DE58" s="390"/>
      <c r="DF58" s="390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5"/>
      <c r="DU58" s="89"/>
      <c r="DV58" s="89"/>
      <c r="DW58" s="89"/>
      <c r="DX58" s="89"/>
      <c r="DY58" s="89"/>
      <c r="DZ58" s="89"/>
      <c r="EA58" s="89"/>
      <c r="EB58" s="89"/>
      <c r="EC58" s="89"/>
      <c r="ED58" s="89"/>
      <c r="EE58" s="89"/>
      <c r="EF58" s="89"/>
      <c r="EG58" s="89"/>
      <c r="EH58" s="89"/>
      <c r="EI58" s="89"/>
      <c r="EJ58" s="89"/>
      <c r="EK58" s="89"/>
      <c r="EL58" s="89"/>
      <c r="EM58" s="89"/>
      <c r="EN58" s="89"/>
      <c r="EO58" s="89"/>
      <c r="EP58" s="89"/>
      <c r="EQ58" s="89"/>
      <c r="ER58" s="89"/>
      <c r="ES58" s="89"/>
      <c r="ET58" s="89"/>
      <c r="EU58" s="89"/>
      <c r="EV58" s="89"/>
      <c r="EW58" s="89"/>
      <c r="EX58" s="85"/>
      <c r="EY58" s="85"/>
      <c r="EZ58" s="85"/>
      <c r="FA58" s="85"/>
      <c r="FB58" s="388"/>
      <c r="FC58" s="388"/>
      <c r="FD58" s="388"/>
      <c r="FE58" s="388"/>
      <c r="FF58" s="388"/>
      <c r="FG58" s="388"/>
      <c r="FH58" s="388"/>
      <c r="FI58" s="388"/>
      <c r="FJ58" s="388"/>
      <c r="FK58" s="388"/>
      <c r="FL58" s="388"/>
      <c r="FM58" s="388"/>
      <c r="FN58" s="388"/>
      <c r="FO58" s="85"/>
      <c r="FP58" s="391"/>
      <c r="FQ58" s="392"/>
      <c r="FR58" s="392"/>
      <c r="FS58" s="392"/>
      <c r="FT58" s="392"/>
      <c r="FU58" s="392"/>
      <c r="FV58" s="392"/>
      <c r="FW58" s="392"/>
      <c r="FX58" s="392"/>
      <c r="FY58" s="392"/>
      <c r="FZ58" s="392"/>
      <c r="GA58" s="392"/>
      <c r="GB58" s="392"/>
      <c r="GC58" s="392"/>
      <c r="GD58" s="392"/>
      <c r="GE58" s="392"/>
      <c r="GF58" s="392"/>
      <c r="GG58" s="392"/>
      <c r="GH58" s="393"/>
      <c r="GI58" s="42"/>
    </row>
    <row r="59" spans="1:191" x14ac:dyDescent="0.3">
      <c r="A59" s="78" t="s">
        <v>151</v>
      </c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214" t="str">
        <f>P9</f>
        <v>ООО "СтройПроектСервис" 664014, г. Иркутск, ул. Леси Украинки, д. 35-101, ОГРН: 1073812008643, ИНН: 3812100526, телефон: +73952486001, , тел.: +73952486001</v>
      </c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E59" s="214"/>
      <c r="FF59" s="214"/>
      <c r="FG59" s="214"/>
      <c r="FH59" s="214"/>
      <c r="FI59" s="214"/>
      <c r="FJ59" s="214"/>
      <c r="FK59" s="214"/>
      <c r="FL59" s="214"/>
      <c r="FM59" s="214"/>
      <c r="FN59" s="78"/>
      <c r="FO59" s="90"/>
      <c r="FP59" s="394"/>
      <c r="FQ59" s="373"/>
      <c r="FR59" s="373"/>
      <c r="FS59" s="373"/>
      <c r="FT59" s="373"/>
      <c r="FU59" s="373"/>
      <c r="FV59" s="373"/>
      <c r="FW59" s="373"/>
      <c r="FX59" s="373"/>
      <c r="FY59" s="373"/>
      <c r="FZ59" s="373"/>
      <c r="GA59" s="373"/>
      <c r="GB59" s="373"/>
      <c r="GC59" s="373"/>
      <c r="GD59" s="373"/>
      <c r="GE59" s="373"/>
      <c r="GF59" s="373"/>
      <c r="GG59" s="373"/>
      <c r="GH59" s="395"/>
      <c r="GI59" s="42"/>
    </row>
    <row r="60" spans="1:191" ht="7.2" customHeight="1" x14ac:dyDescent="0.3">
      <c r="A60" s="78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398" t="s">
        <v>152</v>
      </c>
      <c r="Y60" s="398"/>
      <c r="Z60" s="398"/>
      <c r="AA60" s="398"/>
      <c r="AB60" s="398"/>
      <c r="AC60" s="398"/>
      <c r="AD60" s="398"/>
      <c r="AE60" s="398"/>
      <c r="AF60" s="398"/>
      <c r="AG60" s="39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  <c r="AR60" s="398"/>
      <c r="AS60" s="398"/>
      <c r="AT60" s="398"/>
      <c r="AU60" s="398"/>
      <c r="AV60" s="398"/>
      <c r="AW60" s="398"/>
      <c r="AX60" s="398"/>
      <c r="AY60" s="398"/>
      <c r="AZ60" s="398"/>
      <c r="BA60" s="398"/>
      <c r="BB60" s="398"/>
      <c r="BC60" s="398"/>
      <c r="BD60" s="398"/>
      <c r="BE60" s="398"/>
      <c r="BF60" s="398"/>
      <c r="BG60" s="398"/>
      <c r="BH60" s="398"/>
      <c r="BI60" s="398"/>
      <c r="BJ60" s="398"/>
      <c r="BK60" s="398"/>
      <c r="BL60" s="398"/>
      <c r="BM60" s="398"/>
      <c r="BN60" s="398"/>
      <c r="BO60" s="398"/>
      <c r="BP60" s="398"/>
      <c r="BQ60" s="398"/>
      <c r="BR60" s="398"/>
      <c r="BS60" s="398"/>
      <c r="BT60" s="398"/>
      <c r="BU60" s="398"/>
      <c r="BV60" s="398"/>
      <c r="BW60" s="398"/>
      <c r="BX60" s="398"/>
      <c r="BY60" s="398"/>
      <c r="BZ60" s="398"/>
      <c r="CA60" s="398"/>
      <c r="CB60" s="398"/>
      <c r="CC60" s="398"/>
      <c r="CD60" s="398"/>
      <c r="CE60" s="398"/>
      <c r="CF60" s="398"/>
      <c r="CG60" s="398"/>
      <c r="CH60" s="398"/>
      <c r="CI60" s="398"/>
      <c r="CJ60" s="398"/>
      <c r="CK60" s="398"/>
      <c r="CL60" s="398"/>
      <c r="CM60" s="398"/>
      <c r="CN60" s="398"/>
      <c r="CO60" s="398"/>
      <c r="CP60" s="398"/>
      <c r="CQ60" s="398"/>
      <c r="CR60" s="398"/>
      <c r="CS60" s="398"/>
      <c r="CT60" s="398"/>
      <c r="CU60" s="398"/>
      <c r="CV60" s="398"/>
      <c r="CW60" s="398"/>
      <c r="CX60" s="398"/>
      <c r="CY60" s="398"/>
      <c r="CZ60" s="398"/>
      <c r="DA60" s="398"/>
      <c r="DB60" s="398"/>
      <c r="DC60" s="398"/>
      <c r="DD60" s="398"/>
      <c r="DE60" s="398"/>
      <c r="DF60" s="398"/>
      <c r="DG60" s="398"/>
      <c r="DH60" s="398"/>
      <c r="DI60" s="398"/>
      <c r="DJ60" s="398"/>
      <c r="DK60" s="398"/>
      <c r="DL60" s="398"/>
      <c r="DM60" s="398"/>
      <c r="DN60" s="398"/>
      <c r="DO60" s="398"/>
      <c r="DP60" s="398"/>
      <c r="DQ60" s="398"/>
      <c r="DR60" s="398"/>
      <c r="DS60" s="398"/>
      <c r="DT60" s="398"/>
      <c r="DU60" s="398"/>
      <c r="DV60" s="398"/>
      <c r="DW60" s="398"/>
      <c r="DX60" s="398"/>
      <c r="DY60" s="398"/>
      <c r="DZ60" s="398"/>
      <c r="EA60" s="398"/>
      <c r="EB60" s="398"/>
      <c r="EC60" s="398"/>
      <c r="ED60" s="398"/>
      <c r="EE60" s="398"/>
      <c r="EF60" s="398"/>
      <c r="EG60" s="398"/>
      <c r="EH60" s="398"/>
      <c r="EI60" s="398"/>
      <c r="EJ60" s="398"/>
      <c r="EK60" s="398"/>
      <c r="EL60" s="398"/>
      <c r="EM60" s="398"/>
      <c r="EN60" s="398"/>
      <c r="EO60" s="398"/>
      <c r="EP60" s="398"/>
      <c r="EQ60" s="398"/>
      <c r="ER60" s="398"/>
      <c r="ES60" s="398"/>
      <c r="ET60" s="398"/>
      <c r="EU60" s="398"/>
      <c r="EV60" s="398"/>
      <c r="EW60" s="398"/>
      <c r="EX60" s="398"/>
      <c r="EY60" s="398"/>
      <c r="EZ60" s="398"/>
      <c r="FA60" s="398"/>
      <c r="FB60" s="398"/>
      <c r="FC60" s="398"/>
      <c r="FD60" s="398"/>
      <c r="FE60" s="398"/>
      <c r="FF60" s="398"/>
      <c r="FG60" s="398"/>
      <c r="FH60" s="398"/>
      <c r="FI60" s="398"/>
      <c r="FJ60" s="398"/>
      <c r="FK60" s="398"/>
      <c r="FL60" s="398"/>
      <c r="FM60" s="398"/>
      <c r="FN60" s="78"/>
      <c r="FO60" s="78"/>
      <c r="FP60" s="399"/>
      <c r="FQ60" s="400"/>
      <c r="FR60" s="400"/>
      <c r="FS60" s="400"/>
      <c r="FT60" s="400"/>
      <c r="FU60" s="400"/>
      <c r="FV60" s="400"/>
      <c r="FW60" s="400"/>
      <c r="FX60" s="400"/>
      <c r="FY60" s="400"/>
      <c r="FZ60" s="400"/>
      <c r="GA60" s="400"/>
      <c r="GB60" s="400"/>
      <c r="GC60" s="400"/>
      <c r="GD60" s="400"/>
      <c r="GE60" s="400"/>
      <c r="GF60" s="400"/>
      <c r="GG60" s="400"/>
      <c r="GH60" s="401"/>
      <c r="GI60" s="42"/>
    </row>
    <row r="61" spans="1:191" ht="10.199999999999999" customHeight="1" x14ac:dyDescent="0.3">
      <c r="A61" s="78" t="s">
        <v>153</v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402" t="s">
        <v>118</v>
      </c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  <c r="AA61" s="402"/>
      <c r="AB61" s="402"/>
      <c r="AC61" s="402"/>
      <c r="AD61" s="402"/>
      <c r="AE61" s="402"/>
      <c r="AF61" s="402"/>
      <c r="AG61" s="402"/>
      <c r="AH61" s="402"/>
      <c r="AI61" s="402"/>
      <c r="AJ61" s="402"/>
      <c r="AK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BC61" s="402"/>
      <c r="BD61" s="402"/>
      <c r="BE61" s="402"/>
      <c r="BF61" s="402"/>
      <c r="BG61" s="402"/>
      <c r="BH61" s="402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2"/>
      <c r="BT61" s="402"/>
      <c r="BU61" s="402"/>
      <c r="BV61" s="402"/>
      <c r="BW61" s="402"/>
      <c r="BX61" s="402"/>
      <c r="BY61" s="402"/>
      <c r="BZ61" s="402"/>
      <c r="CA61" s="50"/>
      <c r="CB61" s="50"/>
      <c r="CC61" s="91" t="s">
        <v>154</v>
      </c>
      <c r="CD61" s="78"/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403" t="s">
        <v>155</v>
      </c>
      <c r="CV61" s="403"/>
      <c r="CW61" s="403"/>
      <c r="CX61" s="403"/>
      <c r="CY61" s="403"/>
      <c r="CZ61" s="403"/>
      <c r="DA61" s="403"/>
      <c r="DB61" s="403"/>
      <c r="DC61" s="403"/>
      <c r="DD61" s="403"/>
      <c r="DE61" s="403"/>
      <c r="DF61" s="403"/>
      <c r="DG61" s="403"/>
      <c r="DH61" s="403"/>
      <c r="DI61" s="403"/>
      <c r="DJ61" s="403"/>
      <c r="DK61" s="403"/>
      <c r="DL61" s="403"/>
      <c r="DM61" s="403"/>
      <c r="DN61" s="403"/>
      <c r="DO61" s="403"/>
      <c r="DP61" s="403"/>
      <c r="DQ61" s="403"/>
      <c r="DR61" s="403"/>
      <c r="DS61" s="403"/>
      <c r="DT61" s="403"/>
      <c r="DU61" s="403"/>
      <c r="DV61" s="403"/>
      <c r="DW61" s="403"/>
      <c r="DX61" s="403"/>
      <c r="DY61" s="403"/>
      <c r="DZ61" s="403"/>
      <c r="EA61" s="403"/>
      <c r="EB61" s="403"/>
      <c r="EC61" s="403"/>
      <c r="ED61" s="403"/>
      <c r="EE61" s="403"/>
      <c r="EF61" s="403"/>
      <c r="EG61" s="403"/>
      <c r="EH61" s="403"/>
      <c r="EI61" s="403"/>
      <c r="EJ61" s="403"/>
      <c r="EK61" s="403"/>
      <c r="EL61" s="403"/>
      <c r="EM61" s="403"/>
      <c r="EN61" s="403"/>
      <c r="EO61" s="403"/>
      <c r="EP61" s="403"/>
      <c r="EQ61" s="403"/>
      <c r="ER61" s="403"/>
      <c r="ES61" s="403"/>
      <c r="ET61" s="403"/>
      <c r="EU61" s="403"/>
      <c r="EV61" s="403"/>
      <c r="EW61" s="403"/>
      <c r="EX61" s="403"/>
      <c r="EY61" s="403"/>
      <c r="EZ61" s="403"/>
      <c r="FA61" s="403"/>
      <c r="FB61" s="92"/>
      <c r="FC61" s="92"/>
      <c r="FD61" s="92"/>
      <c r="FE61" s="92"/>
      <c r="FF61" s="92"/>
      <c r="FG61" s="92"/>
      <c r="FH61" s="92"/>
      <c r="FI61" s="92"/>
      <c r="FJ61" s="92"/>
      <c r="FK61" s="92"/>
      <c r="FL61" s="78"/>
      <c r="FM61" s="78"/>
      <c r="FN61" s="78"/>
      <c r="FO61" s="78"/>
      <c r="FP61" s="391"/>
      <c r="FQ61" s="392"/>
      <c r="FR61" s="392"/>
      <c r="FS61" s="392"/>
      <c r="FT61" s="392"/>
      <c r="FU61" s="392"/>
      <c r="FV61" s="392"/>
      <c r="FW61" s="392"/>
      <c r="FX61" s="392"/>
      <c r="FY61" s="392"/>
      <c r="FZ61" s="392"/>
      <c r="GA61" s="392"/>
      <c r="GB61" s="392"/>
      <c r="GC61" s="392"/>
      <c r="GD61" s="392"/>
      <c r="GE61" s="392"/>
      <c r="GF61" s="392"/>
      <c r="GG61" s="392"/>
      <c r="GH61" s="393"/>
      <c r="GI61" s="42"/>
    </row>
    <row r="62" spans="1:191" ht="9" customHeight="1" x14ac:dyDescent="0.3">
      <c r="A62" s="78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404" t="s">
        <v>156</v>
      </c>
      <c r="M62" s="404"/>
      <c r="N62" s="404"/>
      <c r="O62" s="404"/>
      <c r="P62" s="404"/>
      <c r="Q62" s="404"/>
      <c r="R62" s="404"/>
      <c r="S62" s="404"/>
      <c r="T62" s="404"/>
      <c r="U62" s="404"/>
      <c r="V62" s="404"/>
      <c r="W62" s="404"/>
      <c r="X62" s="404"/>
      <c r="Y62" s="404"/>
      <c r="Z62" s="404"/>
      <c r="AA62" s="404"/>
      <c r="AB62" s="404"/>
      <c r="AC62" s="404"/>
      <c r="AD62" s="404"/>
      <c r="AE62" s="404"/>
      <c r="AF62" s="404"/>
      <c r="AG62" s="404"/>
      <c r="AH62" s="404"/>
      <c r="AI62" s="404"/>
      <c r="AJ62" s="404"/>
      <c r="AK62" s="404"/>
      <c r="AL62" s="404"/>
      <c r="AM62" s="404"/>
      <c r="AN62" s="404"/>
      <c r="AO62" s="404"/>
      <c r="AP62" s="404"/>
      <c r="AQ62" s="404"/>
      <c r="AR62" s="404"/>
      <c r="AS62" s="404"/>
      <c r="AT62" s="404"/>
      <c r="AU62" s="404"/>
      <c r="AV62" s="404"/>
      <c r="AW62" s="404"/>
      <c r="AX62" s="404"/>
      <c r="AY62" s="404"/>
      <c r="AZ62" s="404"/>
      <c r="BA62" s="404"/>
      <c r="BB62" s="404"/>
      <c r="BC62" s="404"/>
      <c r="BD62" s="404"/>
      <c r="BE62" s="404"/>
      <c r="BF62" s="404"/>
      <c r="BG62" s="404"/>
      <c r="BH62" s="404"/>
      <c r="BI62" s="404"/>
      <c r="BJ62" s="404"/>
      <c r="BK62" s="404"/>
      <c r="BL62" s="404"/>
      <c r="BM62" s="404"/>
      <c r="BN62" s="404"/>
      <c r="BO62" s="404"/>
      <c r="BP62" s="404"/>
      <c r="BQ62" s="404"/>
      <c r="BR62" s="404"/>
      <c r="BS62" s="404"/>
      <c r="BT62" s="404"/>
      <c r="BU62" s="404"/>
      <c r="BV62" s="404"/>
      <c r="BW62" s="404"/>
      <c r="BX62" s="404"/>
      <c r="BY62" s="404"/>
      <c r="BZ62" s="404"/>
      <c r="CA62" s="88"/>
      <c r="CB62" s="88"/>
      <c r="CC62" s="78"/>
      <c r="CD62" s="78"/>
      <c r="CE62" s="78"/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8"/>
      <c r="CV62" s="78"/>
      <c r="CW62" s="78"/>
      <c r="CX62" s="78"/>
      <c r="CY62" s="78"/>
      <c r="CZ62" s="78"/>
      <c r="DA62" s="78"/>
      <c r="DB62" s="78"/>
      <c r="DC62" s="78"/>
      <c r="DD62" s="78"/>
      <c r="DE62" s="78"/>
      <c r="DF62" s="78"/>
      <c r="DG62" s="78"/>
      <c r="DH62" s="78"/>
      <c r="DI62" s="78"/>
      <c r="DJ62" s="78"/>
      <c r="DK62" s="78"/>
      <c r="DL62" s="78"/>
      <c r="DM62" s="78"/>
      <c r="DN62" s="78"/>
      <c r="DO62" s="78"/>
      <c r="DP62" s="78"/>
      <c r="DQ62" s="78"/>
      <c r="DR62" s="78"/>
      <c r="DS62" s="78"/>
      <c r="DT62" s="78"/>
      <c r="DU62" s="78"/>
      <c r="DV62" s="78"/>
      <c r="DW62" s="78"/>
      <c r="DX62" s="78"/>
      <c r="DY62" s="78"/>
      <c r="DZ62" s="78"/>
      <c r="EA62" s="78"/>
      <c r="EB62" s="78"/>
      <c r="EC62" s="78"/>
      <c r="ED62" s="78"/>
      <c r="EE62" s="78"/>
      <c r="EF62" s="78"/>
      <c r="EG62" s="78"/>
      <c r="EH62" s="78"/>
      <c r="EI62" s="78"/>
      <c r="EJ62" s="78"/>
      <c r="EK62" s="78"/>
      <c r="EL62" s="78"/>
      <c r="EM62" s="78"/>
      <c r="EN62" s="78"/>
      <c r="EO62" s="78"/>
      <c r="EP62" s="78"/>
      <c r="EQ62" s="78"/>
      <c r="ER62" s="78"/>
      <c r="ES62" s="78"/>
      <c r="ET62" s="78"/>
      <c r="EU62" s="78"/>
      <c r="EV62" s="78"/>
      <c r="EW62" s="78"/>
      <c r="EX62" s="78"/>
      <c r="EY62" s="78"/>
      <c r="EZ62" s="78"/>
      <c r="FA62" s="78"/>
      <c r="FB62" s="78"/>
      <c r="FC62" s="78"/>
      <c r="FD62" s="78"/>
      <c r="FE62" s="78"/>
      <c r="FF62" s="78"/>
      <c r="FG62" s="78"/>
      <c r="FH62" s="78"/>
      <c r="FI62" s="78"/>
      <c r="FJ62" s="78"/>
      <c r="FK62" s="78"/>
      <c r="FL62" s="78"/>
      <c r="FM62" s="78"/>
      <c r="FN62" s="78"/>
      <c r="FO62" s="78"/>
      <c r="FP62" s="391"/>
      <c r="FQ62" s="392"/>
      <c r="FR62" s="392"/>
      <c r="FS62" s="392"/>
      <c r="FT62" s="392"/>
      <c r="FU62" s="392"/>
      <c r="FV62" s="392"/>
      <c r="FW62" s="392"/>
      <c r="FX62" s="392"/>
      <c r="FY62" s="392"/>
      <c r="FZ62" s="392"/>
      <c r="GA62" s="392"/>
      <c r="GB62" s="392"/>
      <c r="GC62" s="392"/>
      <c r="GD62" s="392"/>
      <c r="GE62" s="392"/>
      <c r="GF62" s="392"/>
      <c r="GG62" s="392"/>
      <c r="GH62" s="393"/>
      <c r="GI62" s="42"/>
    </row>
    <row r="63" spans="1:191" x14ac:dyDescent="0.3">
      <c r="A63" s="405" t="s">
        <v>157</v>
      </c>
      <c r="B63" s="405"/>
      <c r="C63" s="405"/>
      <c r="D63" s="405"/>
      <c r="E63" s="405"/>
      <c r="F63" s="405"/>
      <c r="G63" s="405"/>
      <c r="H63" s="405"/>
      <c r="I63" s="405"/>
      <c r="J63" s="405"/>
      <c r="K63" s="405"/>
      <c r="L63" s="405"/>
      <c r="M63" s="405"/>
      <c r="N63" s="405"/>
      <c r="O63" s="405"/>
      <c r="P63" s="405"/>
      <c r="Q63" s="405"/>
      <c r="R63" s="405"/>
      <c r="S63" s="405"/>
      <c r="T63" s="405"/>
      <c r="U63" s="405"/>
      <c r="V63" s="405"/>
      <c r="W63" s="405"/>
      <c r="X63" s="78"/>
      <c r="Y63" s="362" t="s">
        <v>158</v>
      </c>
      <c r="Z63" s="362"/>
      <c r="AA63" s="362"/>
      <c r="AB63" s="362"/>
      <c r="AC63" s="362"/>
      <c r="AD63" s="362"/>
      <c r="AE63" s="362"/>
      <c r="AF63" s="362"/>
      <c r="AG63" s="362"/>
      <c r="AH63" s="362"/>
      <c r="AI63" s="362"/>
      <c r="AJ63" s="362"/>
      <c r="AK63" s="362"/>
      <c r="AL63" s="362"/>
      <c r="AM63" s="362"/>
      <c r="AN63" s="362"/>
      <c r="AO63" s="362"/>
      <c r="AP63" s="362"/>
      <c r="AQ63" s="362"/>
      <c r="AR63" s="362"/>
      <c r="AS63" s="362"/>
      <c r="AT63" s="362"/>
      <c r="AU63" s="362"/>
      <c r="AV63" s="362"/>
      <c r="AW63" s="362"/>
      <c r="AX63" s="362"/>
      <c r="AY63" s="362"/>
      <c r="AZ63" s="362"/>
      <c r="BA63" s="362"/>
      <c r="BB63" s="362"/>
      <c r="BC63" s="362"/>
      <c r="BD63" s="362"/>
      <c r="BE63" s="362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V63" s="362"/>
      <c r="BW63" s="362"/>
      <c r="BX63" s="362"/>
      <c r="BY63" s="362"/>
      <c r="BZ63" s="362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 t="s">
        <v>159</v>
      </c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362" t="s">
        <v>160</v>
      </c>
      <c r="DG63" s="362"/>
      <c r="DH63" s="362"/>
      <c r="DI63" s="362"/>
      <c r="DJ63" s="362"/>
      <c r="DK63" s="362"/>
      <c r="DL63" s="362"/>
      <c r="DM63" s="362"/>
      <c r="DN63" s="362"/>
      <c r="DO63" s="362"/>
      <c r="DP63" s="362"/>
      <c r="DQ63" s="362"/>
      <c r="DR63" s="362"/>
      <c r="DS63" s="362"/>
      <c r="DT63" s="362"/>
      <c r="DU63" s="362"/>
      <c r="DV63" s="362"/>
      <c r="DW63" s="362"/>
      <c r="DX63" s="362"/>
      <c r="DY63" s="362"/>
      <c r="DZ63" s="362"/>
      <c r="EA63" s="362"/>
      <c r="EB63" s="362"/>
      <c r="EC63" s="362"/>
      <c r="ED63" s="362"/>
      <c r="EE63" s="362"/>
      <c r="EF63" s="362"/>
      <c r="EG63" s="362"/>
      <c r="EH63" s="362"/>
      <c r="EI63" s="362"/>
      <c r="EJ63" s="362"/>
      <c r="EK63" s="362"/>
      <c r="EL63" s="362"/>
      <c r="EM63" s="362"/>
      <c r="EN63" s="362"/>
      <c r="EO63" s="362"/>
      <c r="EP63" s="362"/>
      <c r="EQ63" s="362"/>
      <c r="ER63" s="362"/>
      <c r="ES63" s="362"/>
      <c r="ET63" s="362"/>
      <c r="EU63" s="362"/>
      <c r="EV63" s="362"/>
      <c r="EW63" s="362"/>
      <c r="EX63" s="362"/>
      <c r="EY63" s="362"/>
      <c r="EZ63" s="362"/>
      <c r="FA63" s="362"/>
      <c r="FB63" s="362"/>
      <c r="FC63" s="362"/>
      <c r="FD63" s="362"/>
      <c r="FE63" s="362"/>
      <c r="FF63" s="362"/>
      <c r="FG63" s="362"/>
      <c r="FH63" s="362"/>
      <c r="FI63" s="78"/>
      <c r="FJ63" s="78"/>
      <c r="FK63" s="78"/>
      <c r="FL63" s="78"/>
      <c r="FM63" s="78"/>
      <c r="FN63" s="82" t="s">
        <v>161</v>
      </c>
      <c r="FO63" s="78"/>
      <c r="FP63" s="394"/>
      <c r="FQ63" s="373"/>
      <c r="FR63" s="373"/>
      <c r="FS63" s="373"/>
      <c r="FT63" s="373"/>
      <c r="FU63" s="373"/>
      <c r="FV63" s="373"/>
      <c r="FW63" s="373"/>
      <c r="FX63" s="373"/>
      <c r="FY63" s="373"/>
      <c r="FZ63" s="373"/>
      <c r="GA63" s="373"/>
      <c r="GB63" s="373"/>
      <c r="GC63" s="373"/>
      <c r="GD63" s="373"/>
      <c r="GE63" s="373"/>
      <c r="GF63" s="373"/>
      <c r="GG63" s="373"/>
      <c r="GH63" s="395"/>
      <c r="GI63" s="42"/>
    </row>
    <row r="64" spans="1:191" ht="2.4" customHeight="1" x14ac:dyDescent="0.3">
      <c r="A64" s="405"/>
      <c r="B64" s="405"/>
      <c r="C64" s="405"/>
      <c r="D64" s="405"/>
      <c r="E64" s="405"/>
      <c r="F64" s="405"/>
      <c r="G64" s="405"/>
      <c r="H64" s="405"/>
      <c r="I64" s="405"/>
      <c r="J64" s="405"/>
      <c r="K64" s="405"/>
      <c r="L64" s="405"/>
      <c r="M64" s="405"/>
      <c r="N64" s="405"/>
      <c r="O64" s="405"/>
      <c r="P64" s="405"/>
      <c r="Q64" s="405"/>
      <c r="R64" s="405"/>
      <c r="S64" s="405"/>
      <c r="T64" s="405"/>
      <c r="U64" s="405"/>
      <c r="V64" s="405"/>
      <c r="W64" s="405"/>
      <c r="X64" s="78"/>
      <c r="Y64" s="404"/>
      <c r="Z64" s="404"/>
      <c r="AA64" s="404"/>
      <c r="AB64" s="404"/>
      <c r="AC64" s="404"/>
      <c r="AD64" s="404"/>
      <c r="AE64" s="404"/>
      <c r="AF64" s="404"/>
      <c r="AG64" s="404"/>
      <c r="AH64" s="404"/>
      <c r="AI64" s="404"/>
      <c r="AJ64" s="404"/>
      <c r="AK64" s="404"/>
      <c r="AL64" s="404"/>
      <c r="AM64" s="404"/>
      <c r="AN64" s="404"/>
      <c r="AO64" s="404"/>
      <c r="AP64" s="404"/>
      <c r="AQ64" s="404"/>
      <c r="AR64" s="404"/>
      <c r="AS64" s="404"/>
      <c r="AT64" s="404"/>
      <c r="AU64" s="404"/>
      <c r="AV64" s="404"/>
      <c r="AW64" s="404"/>
      <c r="AX64" s="404"/>
      <c r="AY64" s="404"/>
      <c r="AZ64" s="404"/>
      <c r="BA64" s="404"/>
      <c r="BB64" s="404"/>
      <c r="BC64" s="404"/>
      <c r="BD64" s="404"/>
      <c r="BE64" s="404"/>
      <c r="BF64" s="404"/>
      <c r="BG64" s="404"/>
      <c r="BH64" s="404"/>
      <c r="BI64" s="404"/>
      <c r="BJ64" s="404"/>
      <c r="BK64" s="404"/>
      <c r="BL64" s="404"/>
      <c r="BM64" s="404"/>
      <c r="BN64" s="404"/>
      <c r="BO64" s="404"/>
      <c r="BP64" s="404"/>
      <c r="BQ64" s="404"/>
      <c r="BR64" s="404"/>
      <c r="BS64" s="404"/>
      <c r="BT64" s="404"/>
      <c r="BU64" s="404"/>
      <c r="BV64" s="404"/>
      <c r="BW64" s="404"/>
      <c r="BX64" s="404"/>
      <c r="BY64" s="404"/>
      <c r="BZ64" s="404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399"/>
      <c r="FQ64" s="400"/>
      <c r="FR64" s="400"/>
      <c r="FS64" s="400"/>
      <c r="FT64" s="400"/>
      <c r="FU64" s="400"/>
      <c r="FV64" s="400"/>
      <c r="FW64" s="400"/>
      <c r="FX64" s="400"/>
      <c r="FY64" s="400"/>
      <c r="FZ64" s="400"/>
      <c r="GA64" s="400"/>
      <c r="GB64" s="400"/>
      <c r="GC64" s="400"/>
      <c r="GD64" s="400"/>
      <c r="GE64" s="400"/>
      <c r="GF64" s="400"/>
      <c r="GG64" s="400"/>
      <c r="GH64" s="401"/>
      <c r="GI64" s="42"/>
    </row>
    <row r="65" spans="1:191" ht="12.6" customHeight="1" x14ac:dyDescent="0.3">
      <c r="A65" s="367" t="s">
        <v>137</v>
      </c>
      <c r="B65" s="367"/>
      <c r="C65" s="367"/>
      <c r="D65" s="367"/>
      <c r="E65" s="367"/>
      <c r="F65" s="367"/>
      <c r="G65" s="367"/>
      <c r="H65" s="367"/>
      <c r="I65" s="367"/>
      <c r="J65" s="367"/>
      <c r="K65" s="367"/>
      <c r="L65" s="367"/>
      <c r="M65" s="367"/>
      <c r="N65" s="367"/>
      <c r="O65" s="367"/>
      <c r="P65" s="367"/>
      <c r="Q65" s="367"/>
      <c r="R65" s="367"/>
      <c r="S65" s="367"/>
      <c r="T65" s="373"/>
      <c r="U65" s="373"/>
      <c r="V65" s="373"/>
      <c r="W65" s="373"/>
      <c r="X65" s="373"/>
      <c r="Y65" s="373"/>
      <c r="Z65" s="373"/>
      <c r="AA65" s="373"/>
      <c r="AB65" s="373"/>
      <c r="AC65" s="373"/>
      <c r="AD65" s="373"/>
      <c r="AE65" s="373"/>
      <c r="AF65" s="373"/>
      <c r="AG65" s="373"/>
      <c r="AH65" s="78"/>
      <c r="AI65" s="78" t="s">
        <v>138</v>
      </c>
      <c r="AJ65" s="78"/>
      <c r="AK65" s="78"/>
      <c r="AL65" s="78"/>
      <c r="AM65" s="78"/>
      <c r="AN65" s="78"/>
      <c r="AO65" s="78"/>
      <c r="AP65" s="373"/>
      <c r="AQ65" s="373"/>
      <c r="AR65" s="373"/>
      <c r="AS65" s="373"/>
      <c r="AT65" s="373"/>
      <c r="AU65" s="373"/>
      <c r="AV65" s="373"/>
      <c r="AW65" s="373"/>
      <c r="AX65" s="373"/>
      <c r="AY65" s="373"/>
      <c r="AZ65" s="373"/>
      <c r="BA65" s="373"/>
      <c r="BB65" s="373"/>
      <c r="BC65" s="373"/>
      <c r="BD65" s="78"/>
      <c r="BE65" s="78" t="s">
        <v>56</v>
      </c>
      <c r="BF65" s="78"/>
      <c r="BG65" s="78"/>
      <c r="BH65" s="78"/>
      <c r="BI65" s="373"/>
      <c r="BJ65" s="373"/>
      <c r="BK65" s="373"/>
      <c r="BL65" s="373"/>
      <c r="BM65" s="373"/>
      <c r="BN65" s="373"/>
      <c r="BO65" s="373"/>
      <c r="BP65" s="373"/>
      <c r="BQ65" s="373"/>
      <c r="BR65" s="373"/>
      <c r="BS65" s="373"/>
      <c r="BT65" s="373"/>
      <c r="BU65" s="373"/>
      <c r="BV65" s="373"/>
      <c r="BW65" s="93"/>
      <c r="BX65" s="93"/>
      <c r="BY65" s="93"/>
      <c r="BZ65" s="93"/>
      <c r="CA65" s="93"/>
      <c r="CB65" s="93"/>
      <c r="CC65" s="93"/>
      <c r="CD65" s="93"/>
      <c r="CE65" s="93"/>
      <c r="CF65" s="93"/>
      <c r="CG65" s="93"/>
      <c r="CH65" s="93"/>
      <c r="CI65" s="93"/>
      <c r="CJ65" s="93"/>
      <c r="CK65" s="93"/>
      <c r="CL65" s="93"/>
      <c r="CM65" s="93"/>
      <c r="CN65" s="93"/>
      <c r="CO65" s="93"/>
      <c r="CP65" s="93"/>
      <c r="CQ65" s="93"/>
      <c r="CR65" s="93"/>
      <c r="CS65" s="93"/>
      <c r="CT65" s="93"/>
      <c r="CU65" s="93"/>
      <c r="CV65" s="93"/>
      <c r="CW65" s="93"/>
      <c r="CX65" s="93"/>
      <c r="CY65" s="93"/>
      <c r="CZ65" s="93"/>
      <c r="DA65" s="93"/>
      <c r="DB65" s="93"/>
      <c r="DC65" s="93"/>
      <c r="DD65" s="93"/>
      <c r="DE65" s="93"/>
      <c r="DF65" s="93"/>
      <c r="DG65" s="93"/>
      <c r="DH65" s="93"/>
      <c r="DI65" s="93"/>
      <c r="DJ65" s="93"/>
      <c r="DK65" s="93"/>
      <c r="DL65" s="93"/>
      <c r="DM65" s="93"/>
      <c r="DN65" s="93"/>
      <c r="DO65" s="93"/>
      <c r="DP65" s="93"/>
      <c r="DQ65" s="93"/>
      <c r="DR65" s="93"/>
      <c r="DS65" s="93"/>
      <c r="DT65" s="93"/>
      <c r="DU65" s="93"/>
      <c r="DV65" s="93"/>
      <c r="DW65" s="93"/>
      <c r="DX65" s="93"/>
      <c r="DY65" s="78"/>
      <c r="DZ65" s="78"/>
      <c r="EA65" s="78"/>
      <c r="EB65" s="78"/>
      <c r="EC65" s="78"/>
      <c r="ED65" s="78"/>
      <c r="EE65" s="78"/>
      <c r="EF65" s="78"/>
      <c r="EG65" s="78"/>
      <c r="EH65" s="78"/>
      <c r="EI65" s="78"/>
      <c r="EJ65" s="78"/>
      <c r="EK65" s="78"/>
      <c r="EL65" s="78"/>
      <c r="EM65" s="78"/>
      <c r="EN65" s="78"/>
      <c r="EO65" s="78"/>
      <c r="EP65" s="78"/>
      <c r="EQ65" s="78"/>
      <c r="ER65" s="78"/>
      <c r="ES65" s="78"/>
      <c r="ET65" s="78"/>
      <c r="EU65" s="78"/>
      <c r="EV65" s="78"/>
      <c r="EW65" s="78"/>
      <c r="EX65" s="78"/>
      <c r="EY65" s="78"/>
      <c r="EZ65" s="78"/>
      <c r="FA65" s="78"/>
      <c r="FB65" s="78"/>
      <c r="FC65" s="78"/>
      <c r="FD65" s="78"/>
      <c r="FE65" s="78"/>
      <c r="FF65" s="78"/>
      <c r="FG65" s="78"/>
      <c r="FH65" s="78"/>
      <c r="FI65" s="78"/>
      <c r="FJ65" s="78"/>
      <c r="FK65" s="78"/>
      <c r="FL65" s="78"/>
      <c r="FM65" s="78"/>
      <c r="FN65" s="78"/>
      <c r="FO65" s="78"/>
      <c r="FP65" s="391"/>
      <c r="FQ65" s="392"/>
      <c r="FR65" s="392"/>
      <c r="FS65" s="392"/>
      <c r="FT65" s="392"/>
      <c r="FU65" s="392"/>
      <c r="FV65" s="392"/>
      <c r="FW65" s="392"/>
      <c r="FX65" s="392"/>
      <c r="FY65" s="392"/>
      <c r="FZ65" s="392"/>
      <c r="GA65" s="392"/>
      <c r="GB65" s="392"/>
      <c r="GC65" s="392"/>
      <c r="GD65" s="392"/>
      <c r="GE65" s="392"/>
      <c r="GF65" s="392"/>
      <c r="GG65" s="392"/>
      <c r="GH65" s="393"/>
      <c r="GI65" s="42"/>
    </row>
    <row r="66" spans="1:191" ht="13.95" customHeight="1" x14ac:dyDescent="0.3">
      <c r="A66" s="78" t="s">
        <v>162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396" t="s">
        <v>163</v>
      </c>
      <c r="R66" s="396"/>
      <c r="S66" s="396"/>
      <c r="T66" s="396"/>
      <c r="U66" s="396"/>
      <c r="V66" s="396"/>
      <c r="W66" s="396"/>
      <c r="X66" s="396"/>
      <c r="Y66" s="396"/>
      <c r="Z66" s="396"/>
      <c r="AA66" s="396"/>
      <c r="AB66" s="396"/>
      <c r="AC66" s="396"/>
      <c r="AD66" s="396"/>
      <c r="AE66" s="396"/>
      <c r="AF66" s="396"/>
      <c r="AG66" s="396"/>
      <c r="AH66" s="396"/>
      <c r="AI66" s="396"/>
      <c r="AJ66" s="396"/>
      <c r="AK66" s="396"/>
      <c r="AL66" s="396"/>
      <c r="AM66" s="396"/>
      <c r="AN66" s="396"/>
      <c r="AO66" s="396"/>
      <c r="AP66" s="396"/>
      <c r="AQ66" s="396"/>
      <c r="AR66" s="396"/>
      <c r="AS66" s="396"/>
      <c r="AT66" s="396"/>
      <c r="AU66" s="396"/>
      <c r="AV66" s="396"/>
      <c r="AW66" s="396"/>
      <c r="AX66" s="396"/>
      <c r="AY66" s="396"/>
      <c r="AZ66" s="396"/>
      <c r="BA66" s="396"/>
      <c r="BB66" s="396"/>
      <c r="BC66" s="396"/>
      <c r="BD66" s="396"/>
      <c r="BE66" s="396"/>
      <c r="BF66" s="396"/>
      <c r="BG66" s="396"/>
      <c r="BH66" s="396"/>
      <c r="BI66" s="396"/>
      <c r="BJ66" s="396"/>
      <c r="BK66" s="396"/>
      <c r="BL66" s="396"/>
      <c r="BM66" s="396"/>
      <c r="BN66" s="396"/>
      <c r="BO66" s="396"/>
      <c r="BP66" s="396"/>
      <c r="BQ66" s="396"/>
      <c r="BR66" s="396"/>
      <c r="BS66" s="396"/>
      <c r="BT66" s="396"/>
      <c r="BU66" s="396"/>
      <c r="BV66" s="396"/>
      <c r="BW66" s="396"/>
      <c r="BX66" s="396"/>
      <c r="BY66" s="396"/>
      <c r="BZ66" s="396"/>
      <c r="CA66" s="396"/>
      <c r="CB66" s="396"/>
      <c r="CC66" s="78"/>
      <c r="CD66" s="78" t="s">
        <v>164</v>
      </c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397" t="s">
        <v>165</v>
      </c>
      <c r="CU66" s="397"/>
      <c r="CV66" s="397"/>
      <c r="CW66" s="397"/>
      <c r="CX66" s="397"/>
      <c r="CY66" s="397"/>
      <c r="CZ66" s="397"/>
      <c r="DA66" s="397"/>
      <c r="DB66" s="397"/>
      <c r="DC66" s="397"/>
      <c r="DD66" s="397"/>
      <c r="DE66" s="397"/>
      <c r="DF66" s="397"/>
      <c r="DG66" s="397"/>
      <c r="DH66" s="397"/>
      <c r="DI66" s="397"/>
      <c r="DJ66" s="397"/>
      <c r="DK66" s="397"/>
      <c r="DL66" s="397"/>
      <c r="DM66" s="397"/>
      <c r="DN66" s="397"/>
      <c r="DO66" s="397"/>
      <c r="DP66" s="397"/>
      <c r="DQ66" s="397"/>
      <c r="DR66" s="397"/>
      <c r="DS66" s="397"/>
      <c r="DT66" s="397"/>
      <c r="DU66" s="397"/>
      <c r="DV66" s="397"/>
      <c r="DW66" s="397"/>
      <c r="DX66" s="397"/>
      <c r="DY66" s="397"/>
      <c r="DZ66" s="397"/>
      <c r="EA66" s="397"/>
      <c r="EB66" s="397"/>
      <c r="EC66" s="397"/>
      <c r="ED66" s="397"/>
      <c r="EE66" s="397"/>
      <c r="EF66" s="397"/>
      <c r="EG66" s="397"/>
      <c r="EH66" s="397"/>
      <c r="EI66" s="397"/>
      <c r="EJ66" s="397"/>
      <c r="EK66" s="397"/>
      <c r="EL66" s="397"/>
      <c r="EM66" s="397"/>
      <c r="EN66" s="397"/>
      <c r="EO66" s="397"/>
      <c r="EP66" s="397"/>
      <c r="EQ66" s="397"/>
      <c r="ER66" s="397"/>
      <c r="ES66" s="397"/>
      <c r="ET66" s="397"/>
      <c r="EU66" s="397"/>
      <c r="EV66" s="397"/>
      <c r="EW66" s="397"/>
      <c r="EX66" s="397"/>
      <c r="EY66" s="397"/>
      <c r="EZ66" s="397"/>
      <c r="FA66" s="397"/>
      <c r="FB66" s="397"/>
      <c r="FC66" s="397"/>
      <c r="FD66" s="78"/>
      <c r="FE66" s="78"/>
      <c r="FF66" s="78"/>
      <c r="FG66" s="78"/>
      <c r="FH66" s="78"/>
      <c r="FI66" s="78"/>
      <c r="FJ66" s="78"/>
      <c r="FK66" s="78"/>
      <c r="FL66" s="78"/>
      <c r="FM66" s="78"/>
      <c r="FN66" s="82" t="s">
        <v>166</v>
      </c>
      <c r="FO66" s="78"/>
      <c r="FP66" s="394"/>
      <c r="FQ66" s="373"/>
      <c r="FR66" s="373"/>
      <c r="FS66" s="373"/>
      <c r="FT66" s="373"/>
      <c r="FU66" s="373"/>
      <c r="FV66" s="373"/>
      <c r="FW66" s="373"/>
      <c r="FX66" s="373"/>
      <c r="FY66" s="373"/>
      <c r="FZ66" s="373"/>
      <c r="GA66" s="373"/>
      <c r="GB66" s="373"/>
      <c r="GC66" s="373"/>
      <c r="GD66" s="373"/>
      <c r="GE66" s="373"/>
      <c r="GF66" s="373"/>
      <c r="GG66" s="373"/>
      <c r="GH66" s="395"/>
      <c r="GI66" s="42"/>
    </row>
    <row r="67" spans="1:191" ht="7.95" customHeight="1" x14ac:dyDescent="0.3">
      <c r="A67" s="78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404" t="s">
        <v>167</v>
      </c>
      <c r="R67" s="404"/>
      <c r="S67" s="404"/>
      <c r="T67" s="404"/>
      <c r="U67" s="404"/>
      <c r="V67" s="404"/>
      <c r="W67" s="404"/>
      <c r="X67" s="404"/>
      <c r="Y67" s="404"/>
      <c r="Z67" s="404"/>
      <c r="AA67" s="404"/>
      <c r="AB67" s="404"/>
      <c r="AC67" s="404"/>
      <c r="AD67" s="404"/>
      <c r="AE67" s="404"/>
      <c r="AF67" s="404"/>
      <c r="AG67" s="404"/>
      <c r="AH67" s="404"/>
      <c r="AI67" s="404"/>
      <c r="AJ67" s="404"/>
      <c r="AK67" s="404"/>
      <c r="AL67" s="404"/>
      <c r="AM67" s="404"/>
      <c r="AN67" s="404"/>
      <c r="AO67" s="404"/>
      <c r="AP67" s="404"/>
      <c r="AQ67" s="404"/>
      <c r="AR67" s="404"/>
      <c r="AS67" s="404"/>
      <c r="AT67" s="404"/>
      <c r="AU67" s="404"/>
      <c r="AV67" s="404"/>
      <c r="AW67" s="404"/>
      <c r="AX67" s="404"/>
      <c r="AY67" s="404"/>
      <c r="AZ67" s="404"/>
      <c r="BA67" s="404"/>
      <c r="BB67" s="404"/>
      <c r="BC67" s="404"/>
      <c r="BD67" s="404"/>
      <c r="BE67" s="404"/>
      <c r="BF67" s="404"/>
      <c r="BG67" s="404"/>
      <c r="BH67" s="404"/>
      <c r="BI67" s="404"/>
      <c r="BJ67" s="404"/>
      <c r="BK67" s="404"/>
      <c r="BL67" s="404"/>
      <c r="BM67" s="404"/>
      <c r="BN67" s="404"/>
      <c r="BO67" s="404"/>
      <c r="BP67" s="404"/>
      <c r="BQ67" s="404"/>
      <c r="BR67" s="404"/>
      <c r="BS67" s="404"/>
      <c r="BT67" s="404"/>
      <c r="BU67" s="404"/>
      <c r="BV67" s="404"/>
      <c r="BW67" s="404"/>
      <c r="BX67" s="404"/>
      <c r="BY67" s="404"/>
      <c r="BZ67" s="404"/>
      <c r="CA67" s="404"/>
      <c r="CB67" s="404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404" t="s">
        <v>167</v>
      </c>
      <c r="CU67" s="404"/>
      <c r="CV67" s="404"/>
      <c r="CW67" s="404"/>
      <c r="CX67" s="404"/>
      <c r="CY67" s="404"/>
      <c r="CZ67" s="404"/>
      <c r="DA67" s="404"/>
      <c r="DB67" s="404"/>
      <c r="DC67" s="404"/>
      <c r="DD67" s="404"/>
      <c r="DE67" s="404"/>
      <c r="DF67" s="404"/>
      <c r="DG67" s="404"/>
      <c r="DH67" s="404"/>
      <c r="DI67" s="404"/>
      <c r="DJ67" s="404"/>
      <c r="DK67" s="404"/>
      <c r="DL67" s="404"/>
      <c r="DM67" s="404"/>
      <c r="DN67" s="404"/>
      <c r="DO67" s="404"/>
      <c r="DP67" s="404"/>
      <c r="DQ67" s="404"/>
      <c r="DR67" s="404"/>
      <c r="DS67" s="404"/>
      <c r="DT67" s="404"/>
      <c r="DU67" s="404"/>
      <c r="DV67" s="404"/>
      <c r="DW67" s="404"/>
      <c r="DX67" s="404"/>
      <c r="DY67" s="404"/>
      <c r="DZ67" s="404"/>
      <c r="EA67" s="404"/>
      <c r="EB67" s="404"/>
      <c r="EC67" s="404"/>
      <c r="ED67" s="404"/>
      <c r="EE67" s="404"/>
      <c r="EF67" s="404"/>
      <c r="EG67" s="404"/>
      <c r="EH67" s="404"/>
      <c r="EI67" s="404"/>
      <c r="EJ67" s="404"/>
      <c r="EK67" s="404"/>
      <c r="EL67" s="404"/>
      <c r="EM67" s="404"/>
      <c r="EN67" s="404"/>
      <c r="EO67" s="404"/>
      <c r="EP67" s="404"/>
      <c r="EQ67" s="404"/>
      <c r="ER67" s="404"/>
      <c r="ES67" s="404"/>
      <c r="ET67" s="404"/>
      <c r="EU67" s="404"/>
      <c r="EV67" s="404"/>
      <c r="EW67" s="404"/>
      <c r="EX67" s="404"/>
      <c r="EY67" s="404"/>
      <c r="EZ67" s="404"/>
      <c r="FA67" s="404"/>
      <c r="FB67" s="404"/>
      <c r="FC67" s="404"/>
      <c r="FD67" s="78"/>
      <c r="FE67" s="78"/>
      <c r="FF67" s="78"/>
      <c r="FG67" s="78"/>
      <c r="FH67" s="78"/>
      <c r="FI67" s="78"/>
      <c r="FJ67" s="78"/>
      <c r="FK67" s="78"/>
      <c r="FL67" s="78"/>
      <c r="FM67" s="78"/>
      <c r="FN67" s="78"/>
      <c r="FO67" s="78"/>
      <c r="FP67" s="399"/>
      <c r="FQ67" s="400"/>
      <c r="FR67" s="400"/>
      <c r="FS67" s="400"/>
      <c r="FT67" s="400"/>
      <c r="FU67" s="400"/>
      <c r="FV67" s="400"/>
      <c r="FW67" s="400"/>
      <c r="FX67" s="400"/>
      <c r="FY67" s="400"/>
      <c r="FZ67" s="400"/>
      <c r="GA67" s="400"/>
      <c r="GB67" s="400"/>
      <c r="GC67" s="400"/>
      <c r="GD67" s="400"/>
      <c r="GE67" s="400"/>
      <c r="GF67" s="400"/>
      <c r="GG67" s="400"/>
      <c r="GH67" s="401"/>
      <c r="GI67" s="42"/>
    </row>
    <row r="68" spans="1:191" x14ac:dyDescent="0.3">
      <c r="A68" s="78" t="s">
        <v>168</v>
      </c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300" t="s">
        <v>169</v>
      </c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  <c r="AF68" s="300"/>
      <c r="AG68" s="300"/>
      <c r="AH68" s="300"/>
      <c r="AI68" s="300"/>
      <c r="AJ68" s="300"/>
      <c r="AK68" s="300"/>
      <c r="AL68" s="300"/>
      <c r="AM68" s="300"/>
      <c r="AN68" s="300"/>
      <c r="AO68" s="300"/>
      <c r="AP68" s="300"/>
      <c r="AQ68" s="300"/>
      <c r="AR68" s="300"/>
      <c r="AS68" s="300"/>
      <c r="AT68" s="300"/>
      <c r="AU68" s="300"/>
      <c r="AV68" s="300"/>
      <c r="AW68" s="300"/>
      <c r="AX68" s="300"/>
      <c r="AY68" s="300"/>
      <c r="AZ68" s="300"/>
      <c r="BA68" s="300"/>
      <c r="BB68" s="300"/>
      <c r="BC68" s="300"/>
      <c r="BD68" s="300"/>
      <c r="BE68" s="300"/>
      <c r="BF68" s="300"/>
      <c r="BG68" s="300"/>
      <c r="BH68" s="300"/>
      <c r="BI68" s="300"/>
      <c r="BJ68" s="300"/>
      <c r="BK68" s="300"/>
      <c r="BL68" s="300"/>
      <c r="BM68" s="300"/>
      <c r="BN68" s="300"/>
      <c r="BO68" s="300"/>
      <c r="BP68" s="300"/>
      <c r="BQ68" s="300"/>
      <c r="BR68" s="300"/>
      <c r="BS68" s="300"/>
      <c r="BT68" s="300"/>
      <c r="BU68" s="300"/>
      <c r="BV68" s="78"/>
      <c r="BW68" s="78" t="s">
        <v>170</v>
      </c>
      <c r="BX68" s="78"/>
      <c r="BY68" s="78"/>
      <c r="BZ68" s="78"/>
      <c r="CA68" s="78"/>
      <c r="CB68" s="78"/>
      <c r="CC68" s="78"/>
      <c r="CD68" s="78"/>
      <c r="CE68" s="78"/>
      <c r="CF68" s="78"/>
      <c r="CG68" s="78"/>
      <c r="CH68" s="369" t="s">
        <v>171</v>
      </c>
      <c r="CI68" s="369"/>
      <c r="CJ68" s="369"/>
      <c r="CK68" s="369"/>
      <c r="CL68" s="369"/>
      <c r="CM68" s="369"/>
      <c r="CN68" s="369"/>
      <c r="CO68" s="369"/>
      <c r="CP68" s="369"/>
      <c r="CQ68" s="369"/>
      <c r="CR68" s="369"/>
      <c r="CS68" s="369"/>
      <c r="CT68" s="369"/>
      <c r="CU68" s="369"/>
      <c r="CV68" s="369"/>
      <c r="CW68" s="369"/>
      <c r="CX68" s="369"/>
      <c r="CY68" s="369"/>
      <c r="CZ68" s="78"/>
      <c r="DA68" s="94" t="s">
        <v>145</v>
      </c>
      <c r="DB68" s="78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95"/>
      <c r="DP68" s="95"/>
      <c r="DQ68" s="95"/>
      <c r="DR68" s="95"/>
      <c r="DS68" s="95"/>
      <c r="DT68" s="95"/>
      <c r="DU68" s="95"/>
      <c r="DV68" s="371" t="s">
        <v>172</v>
      </c>
      <c r="DW68" s="371"/>
      <c r="DX68" s="371"/>
      <c r="DY68" s="371"/>
      <c r="DZ68" s="371"/>
      <c r="EA68" s="371"/>
      <c r="EB68" s="371"/>
      <c r="EC68" s="371"/>
      <c r="ED68" s="371"/>
      <c r="EE68" s="371"/>
      <c r="EF68" s="371"/>
      <c r="EG68" s="371"/>
      <c r="EH68" s="371"/>
      <c r="EI68" s="371"/>
      <c r="EJ68" s="371"/>
      <c r="EK68" s="371"/>
      <c r="EL68" s="371"/>
      <c r="EM68" s="371"/>
      <c r="EN68" s="371"/>
      <c r="EO68" s="371"/>
      <c r="EP68" s="371"/>
      <c r="EQ68" s="371"/>
      <c r="ER68" s="371"/>
      <c r="ES68" s="371"/>
      <c r="ET68" s="371"/>
      <c r="EU68" s="371"/>
      <c r="EV68" s="371"/>
      <c r="EW68" s="371"/>
      <c r="EX68" s="96"/>
      <c r="EY68" s="96"/>
      <c r="EZ68" s="96"/>
      <c r="FA68" s="96"/>
      <c r="FB68" s="96"/>
      <c r="FC68" s="96"/>
      <c r="FD68" s="96"/>
      <c r="FE68" s="96"/>
      <c r="FF68" s="96"/>
      <c r="FG68" s="96"/>
      <c r="FH68" s="96"/>
      <c r="FI68" s="96"/>
      <c r="FJ68" s="96"/>
      <c r="FK68" s="96"/>
      <c r="FL68" s="96"/>
      <c r="FM68" s="96"/>
      <c r="FN68" s="82" t="s">
        <v>173</v>
      </c>
      <c r="FO68" s="78"/>
      <c r="FP68" s="394"/>
      <c r="FQ68" s="373"/>
      <c r="FR68" s="373"/>
      <c r="FS68" s="373"/>
      <c r="FT68" s="373"/>
      <c r="FU68" s="373"/>
      <c r="FV68" s="373"/>
      <c r="FW68" s="373"/>
      <c r="FX68" s="373"/>
      <c r="FY68" s="373"/>
      <c r="FZ68" s="373"/>
      <c r="GA68" s="373"/>
      <c r="GB68" s="373"/>
      <c r="GC68" s="373"/>
      <c r="GD68" s="373"/>
      <c r="GE68" s="373"/>
      <c r="GF68" s="373"/>
      <c r="GG68" s="373"/>
      <c r="GH68" s="395"/>
      <c r="GI68" s="42"/>
    </row>
    <row r="69" spans="1:191" ht="9" customHeight="1" x14ac:dyDescent="0.3">
      <c r="A69" s="78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404" t="s">
        <v>174</v>
      </c>
      <c r="R69" s="404"/>
      <c r="S69" s="404"/>
      <c r="T69" s="404"/>
      <c r="U69" s="404"/>
      <c r="V69" s="404"/>
      <c r="W69" s="404"/>
      <c r="X69" s="404"/>
      <c r="Y69" s="404"/>
      <c r="Z69" s="404"/>
      <c r="AA69" s="404"/>
      <c r="AB69" s="404"/>
      <c r="AC69" s="404"/>
      <c r="AD69" s="404"/>
      <c r="AE69" s="404"/>
      <c r="AF69" s="404"/>
      <c r="AG69" s="404"/>
      <c r="AH69" s="404"/>
      <c r="AI69" s="404"/>
      <c r="AJ69" s="404"/>
      <c r="AK69" s="404"/>
      <c r="AL69" s="404"/>
      <c r="AM69" s="404"/>
      <c r="AN69" s="404"/>
      <c r="AO69" s="404"/>
      <c r="AP69" s="404"/>
      <c r="AQ69" s="404"/>
      <c r="AR69" s="404"/>
      <c r="AS69" s="404"/>
      <c r="AT69" s="404"/>
      <c r="AU69" s="404"/>
      <c r="AV69" s="404"/>
      <c r="AW69" s="404"/>
      <c r="AX69" s="404"/>
      <c r="AY69" s="404"/>
      <c r="AZ69" s="404"/>
      <c r="BA69" s="404"/>
      <c r="BB69" s="404"/>
      <c r="BC69" s="404"/>
      <c r="BD69" s="404"/>
      <c r="BE69" s="404"/>
      <c r="BF69" s="404"/>
      <c r="BG69" s="404"/>
      <c r="BH69" s="404"/>
      <c r="BI69" s="404"/>
      <c r="BJ69" s="404"/>
      <c r="BK69" s="404"/>
      <c r="BL69" s="404"/>
      <c r="BM69" s="404"/>
      <c r="BN69" s="404"/>
      <c r="BO69" s="404"/>
      <c r="BP69" s="404"/>
      <c r="BQ69" s="404"/>
      <c r="BR69" s="404"/>
      <c r="BS69" s="404"/>
      <c r="BT69" s="404"/>
      <c r="BU69" s="404"/>
      <c r="BV69" s="78"/>
      <c r="BW69" s="78"/>
      <c r="BX69" s="78"/>
      <c r="BY69" s="78"/>
      <c r="BZ69" s="78"/>
      <c r="CA69" s="78"/>
      <c r="CB69" s="78"/>
      <c r="CC69" s="78"/>
      <c r="CD69" s="78"/>
      <c r="CE69" s="78"/>
      <c r="CF69" s="78"/>
      <c r="CG69" s="78"/>
      <c r="CH69" s="404" t="s">
        <v>150</v>
      </c>
      <c r="CI69" s="404"/>
      <c r="CJ69" s="404"/>
      <c r="CK69" s="404"/>
      <c r="CL69" s="404"/>
      <c r="CM69" s="404"/>
      <c r="CN69" s="404"/>
      <c r="CO69" s="404"/>
      <c r="CP69" s="404"/>
      <c r="CQ69" s="404"/>
      <c r="CR69" s="404"/>
      <c r="CS69" s="404"/>
      <c r="CT69" s="404"/>
      <c r="CU69" s="404"/>
      <c r="CV69" s="404"/>
      <c r="CW69" s="404"/>
      <c r="CX69" s="404"/>
      <c r="CY69" s="404"/>
      <c r="CZ69" s="78"/>
      <c r="DA69" s="78"/>
      <c r="DB69" s="78"/>
      <c r="DC69" s="78"/>
      <c r="DD69" s="78"/>
      <c r="DE69" s="78"/>
      <c r="DF69" s="78"/>
      <c r="DG69" s="78"/>
      <c r="DH69" s="78"/>
      <c r="DI69" s="78"/>
      <c r="DJ69" s="78"/>
      <c r="DK69" s="78"/>
      <c r="DL69" s="78"/>
      <c r="DM69" s="78"/>
      <c r="DN69" s="78"/>
      <c r="DO69" s="78"/>
      <c r="DP69" s="78"/>
      <c r="DQ69" s="78"/>
      <c r="DR69" s="78"/>
      <c r="DS69" s="78"/>
      <c r="DT69" s="78"/>
      <c r="DU69" s="78"/>
      <c r="DV69" s="78"/>
      <c r="DW69" s="78"/>
      <c r="DX69" s="78"/>
      <c r="DY69" s="78"/>
      <c r="DZ69" s="78"/>
      <c r="EA69" s="78"/>
      <c r="EB69" s="78"/>
      <c r="EC69" s="78"/>
      <c r="ED69" s="78"/>
      <c r="EE69" s="78"/>
      <c r="EF69" s="78"/>
      <c r="EG69" s="78"/>
      <c r="EH69" s="78"/>
      <c r="EI69" s="78"/>
      <c r="EJ69" s="78"/>
      <c r="EK69" s="78"/>
      <c r="EL69" s="78"/>
      <c r="EM69" s="78"/>
      <c r="EN69" s="78"/>
      <c r="EO69" s="78"/>
      <c r="EP69" s="78"/>
      <c r="EQ69" s="78"/>
      <c r="ER69" s="78"/>
      <c r="ES69" s="78"/>
      <c r="ET69" s="78"/>
      <c r="EU69" s="78"/>
      <c r="EV69" s="78"/>
      <c r="EW69" s="78"/>
      <c r="EX69" s="97"/>
      <c r="EY69" s="97"/>
      <c r="EZ69" s="97"/>
      <c r="FA69" s="97"/>
      <c r="FB69" s="97"/>
      <c r="FC69" s="97"/>
      <c r="FD69" s="97"/>
      <c r="FE69" s="97"/>
      <c r="FF69" s="97"/>
      <c r="FG69" s="97"/>
      <c r="FH69" s="97"/>
      <c r="FI69" s="97"/>
      <c r="FJ69" s="97"/>
      <c r="FK69" s="97"/>
      <c r="FL69" s="97"/>
      <c r="FM69" s="97"/>
      <c r="FN69" s="97"/>
      <c r="FO69" s="78"/>
      <c r="FP69" s="399"/>
      <c r="FQ69" s="400"/>
      <c r="FR69" s="400"/>
      <c r="FS69" s="400"/>
      <c r="FT69" s="400"/>
      <c r="FU69" s="400"/>
      <c r="FV69" s="400"/>
      <c r="FW69" s="400"/>
      <c r="FX69" s="400"/>
      <c r="FY69" s="400"/>
      <c r="FZ69" s="400"/>
      <c r="GA69" s="400"/>
      <c r="GB69" s="400"/>
      <c r="GC69" s="400"/>
      <c r="GD69" s="400"/>
      <c r="GE69" s="400"/>
      <c r="GF69" s="400"/>
      <c r="GG69" s="400"/>
      <c r="GH69" s="401"/>
      <c r="GI69" s="42"/>
    </row>
    <row r="70" spans="1:191" ht="11.4" customHeight="1" thickBot="1" x14ac:dyDescent="0.35">
      <c r="A70" s="300" t="s">
        <v>151</v>
      </c>
      <c r="B70" s="300"/>
      <c r="C70" s="300"/>
      <c r="D70" s="300"/>
      <c r="E70" s="300"/>
      <c r="F70" s="300"/>
      <c r="G70" s="300"/>
      <c r="H70" s="300"/>
      <c r="I70" s="300"/>
      <c r="J70" s="300"/>
      <c r="K70" s="300"/>
      <c r="L70" s="300"/>
      <c r="M70" s="300"/>
      <c r="N70" s="300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  <c r="AF70" s="300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96"/>
      <c r="AX70" s="96"/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78"/>
      <c r="BS70" s="78"/>
      <c r="BT70" s="78"/>
      <c r="BU70" s="78"/>
      <c r="BV70" s="78"/>
      <c r="BW70" s="96" t="s">
        <v>175</v>
      </c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409" t="s">
        <v>169</v>
      </c>
      <c r="CI70" s="409"/>
      <c r="CJ70" s="409"/>
      <c r="CK70" s="409"/>
      <c r="CL70" s="409"/>
      <c r="CM70" s="409"/>
      <c r="CN70" s="409"/>
      <c r="CO70" s="409"/>
      <c r="CP70" s="409"/>
      <c r="CQ70" s="409"/>
      <c r="CR70" s="409"/>
      <c r="CS70" s="409"/>
      <c r="CT70" s="409"/>
      <c r="CU70" s="409"/>
      <c r="CV70" s="409"/>
      <c r="CW70" s="409"/>
      <c r="CX70" s="409"/>
      <c r="CY70" s="409"/>
      <c r="CZ70" s="78"/>
      <c r="DA70" s="94" t="s">
        <v>145</v>
      </c>
      <c r="DB70" s="78"/>
      <c r="DC70" s="95"/>
      <c r="DD70" s="95"/>
      <c r="DE70" s="95"/>
      <c r="DF70" s="95"/>
      <c r="DG70" s="95"/>
      <c r="DH70" s="95"/>
      <c r="DI70" s="95"/>
      <c r="DJ70" s="95"/>
      <c r="DK70" s="95"/>
      <c r="DL70" s="95"/>
      <c r="DM70" s="95"/>
      <c r="DN70" s="95"/>
      <c r="DO70" s="95"/>
      <c r="DP70" s="95"/>
      <c r="DQ70" s="95"/>
      <c r="DR70" s="95"/>
      <c r="DS70" s="95"/>
      <c r="DT70" s="95"/>
      <c r="DU70" s="95"/>
      <c r="DV70" s="410"/>
      <c r="DW70" s="410"/>
      <c r="DX70" s="410"/>
      <c r="DY70" s="410"/>
      <c r="DZ70" s="410"/>
      <c r="EA70" s="410"/>
      <c r="EB70" s="410"/>
      <c r="EC70" s="410"/>
      <c r="ED70" s="410"/>
      <c r="EE70" s="410"/>
      <c r="EF70" s="410"/>
      <c r="EG70" s="410"/>
      <c r="EH70" s="410"/>
      <c r="EI70" s="410"/>
      <c r="EJ70" s="410"/>
      <c r="EK70" s="410"/>
      <c r="EL70" s="410"/>
      <c r="EM70" s="410"/>
      <c r="EN70" s="410"/>
      <c r="EO70" s="410"/>
      <c r="EP70" s="410"/>
      <c r="EQ70" s="410"/>
      <c r="ER70" s="410"/>
      <c r="ES70" s="410"/>
      <c r="ET70" s="410"/>
      <c r="EU70" s="410"/>
      <c r="EV70" s="410"/>
      <c r="EW70" s="410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 t="s">
        <v>173</v>
      </c>
      <c r="FO70" s="78"/>
      <c r="FP70" s="406"/>
      <c r="FQ70" s="407"/>
      <c r="FR70" s="407"/>
      <c r="FS70" s="407"/>
      <c r="FT70" s="407"/>
      <c r="FU70" s="407"/>
      <c r="FV70" s="407"/>
      <c r="FW70" s="407"/>
      <c r="FX70" s="407"/>
      <c r="FY70" s="407"/>
      <c r="FZ70" s="407"/>
      <c r="GA70" s="407"/>
      <c r="GB70" s="407"/>
      <c r="GC70" s="407"/>
      <c r="GD70" s="407"/>
      <c r="GE70" s="407"/>
      <c r="GF70" s="407"/>
      <c r="GG70" s="407"/>
      <c r="GH70" s="408"/>
      <c r="GI70" s="42"/>
    </row>
    <row r="71" spans="1:191" ht="7.2" customHeight="1" x14ac:dyDescent="0.3">
      <c r="A71" s="404" t="s">
        <v>176</v>
      </c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  <c r="P71" s="404"/>
      <c r="Q71" s="404"/>
      <c r="R71" s="404"/>
      <c r="S71" s="404"/>
      <c r="T71" s="404"/>
      <c r="U71" s="404"/>
      <c r="V71" s="404"/>
      <c r="W71" s="404"/>
      <c r="X71" s="404"/>
      <c r="Y71" s="404"/>
      <c r="Z71" s="404"/>
      <c r="AA71" s="404"/>
      <c r="AB71" s="404"/>
      <c r="AC71" s="404"/>
      <c r="AD71" s="404"/>
      <c r="AE71" s="404"/>
      <c r="AF71" s="404"/>
      <c r="AG71" s="78"/>
      <c r="AH71" s="78"/>
      <c r="AI71" s="78"/>
      <c r="AJ71" s="78"/>
      <c r="AK71" s="78"/>
      <c r="AL71" s="78"/>
      <c r="AM71" s="78"/>
      <c r="AN71" s="78"/>
      <c r="AO71" s="405" t="s">
        <v>177</v>
      </c>
      <c r="AP71" s="405"/>
      <c r="AQ71" s="405"/>
      <c r="AR71" s="405"/>
      <c r="AS71" s="405"/>
      <c r="AT71" s="405"/>
      <c r="AU71" s="405"/>
      <c r="AV71" s="405"/>
      <c r="AW71" s="405"/>
      <c r="AX71" s="405"/>
      <c r="AY71" s="405"/>
      <c r="AZ71" s="405"/>
      <c r="BA71" s="405"/>
      <c r="BB71" s="405"/>
      <c r="BC71" s="405"/>
      <c r="BD71" s="405"/>
      <c r="BE71" s="405"/>
      <c r="BF71" s="405"/>
      <c r="BG71" s="405"/>
      <c r="BH71" s="405"/>
      <c r="BI71" s="405"/>
      <c r="BJ71" s="405"/>
      <c r="BK71" s="405"/>
      <c r="BL71" s="405"/>
      <c r="BM71" s="405"/>
      <c r="BN71" s="405"/>
      <c r="BO71" s="405"/>
      <c r="BP71" s="405"/>
      <c r="BQ71" s="405"/>
      <c r="BR71" s="405"/>
      <c r="BS71" s="405"/>
      <c r="BT71" s="405"/>
      <c r="BU71" s="78"/>
      <c r="BV71" s="78"/>
      <c r="BW71" s="78"/>
      <c r="BX71" s="78"/>
      <c r="BY71" s="78"/>
      <c r="BZ71" s="78"/>
      <c r="CA71" s="78"/>
      <c r="CB71" s="78"/>
      <c r="CC71" s="78"/>
      <c r="CD71" s="78"/>
      <c r="CE71" s="78"/>
      <c r="CF71" s="78"/>
      <c r="CG71" s="78"/>
      <c r="CH71" s="404" t="s">
        <v>150</v>
      </c>
      <c r="CI71" s="404"/>
      <c r="CJ71" s="404"/>
      <c r="CK71" s="404"/>
      <c r="CL71" s="404"/>
      <c r="CM71" s="404"/>
      <c r="CN71" s="404"/>
      <c r="CO71" s="404"/>
      <c r="CP71" s="404"/>
      <c r="CQ71" s="404"/>
      <c r="CR71" s="404"/>
      <c r="CS71" s="404"/>
      <c r="CT71" s="404"/>
      <c r="CU71" s="404"/>
      <c r="CV71" s="404"/>
      <c r="CW71" s="404"/>
      <c r="CX71" s="404"/>
      <c r="CY71" s="404"/>
      <c r="CZ71" s="78"/>
      <c r="DA71" s="78"/>
      <c r="DB71" s="78"/>
      <c r="DC71" s="78"/>
      <c r="DD71" s="78"/>
      <c r="DE71" s="78"/>
      <c r="DF71" s="78"/>
      <c r="DG71" s="78"/>
      <c r="DH71" s="78"/>
      <c r="DI71" s="78"/>
      <c r="DJ71" s="78"/>
      <c r="DK71" s="78"/>
      <c r="DL71" s="78"/>
      <c r="DM71" s="78"/>
      <c r="DN71" s="78"/>
      <c r="DO71" s="78"/>
      <c r="DP71" s="78"/>
      <c r="DQ71" s="78"/>
      <c r="DR71" s="78"/>
      <c r="DS71" s="78"/>
      <c r="DT71" s="78"/>
      <c r="DU71" s="78"/>
      <c r="DV71" s="78"/>
      <c r="DW71" s="78"/>
      <c r="DX71" s="78"/>
      <c r="DY71" s="78"/>
      <c r="DZ71" s="78"/>
      <c r="EA71" s="78"/>
      <c r="EB71" s="78"/>
      <c r="EC71" s="78"/>
      <c r="ED71" s="78"/>
      <c r="EE71" s="78"/>
      <c r="EF71" s="78"/>
      <c r="EG71" s="78"/>
      <c r="EH71" s="78"/>
      <c r="EI71" s="78"/>
      <c r="EJ71" s="78"/>
      <c r="EK71" s="78"/>
      <c r="EL71" s="78"/>
      <c r="EM71" s="78"/>
      <c r="EN71" s="78"/>
      <c r="EO71" s="78"/>
      <c r="EP71" s="78"/>
      <c r="EQ71" s="78"/>
      <c r="ER71" s="78"/>
      <c r="ES71" s="78"/>
      <c r="ET71" s="78"/>
      <c r="EU71" s="78"/>
      <c r="EV71" s="97"/>
      <c r="EW71" s="97"/>
      <c r="EX71" s="97"/>
      <c r="EY71" s="97"/>
      <c r="EZ71" s="97"/>
      <c r="FA71" s="97"/>
      <c r="FB71" s="97"/>
      <c r="FC71" s="97"/>
      <c r="FD71" s="97"/>
      <c r="FE71" s="97"/>
      <c r="FF71" s="97"/>
      <c r="FG71" s="97"/>
      <c r="FH71" s="97"/>
      <c r="FI71" s="97"/>
      <c r="FJ71" s="97"/>
      <c r="FK71" s="97"/>
      <c r="FL71" s="97"/>
      <c r="FM71" s="97"/>
      <c r="FN71" s="97"/>
      <c r="FO71" s="78"/>
      <c r="FP71" s="78"/>
      <c r="FQ71" s="78"/>
      <c r="FR71" s="78"/>
      <c r="FS71" s="78"/>
      <c r="FT71" s="78"/>
      <c r="FU71" s="78"/>
      <c r="FV71" s="78"/>
      <c r="FW71" s="78"/>
      <c r="FX71" s="78"/>
      <c r="FY71" s="78"/>
      <c r="FZ71" s="78"/>
      <c r="GA71" s="78"/>
      <c r="GB71" s="78"/>
      <c r="GC71" s="78"/>
      <c r="GD71" s="78"/>
      <c r="GE71" s="78"/>
      <c r="GF71" s="78"/>
      <c r="GG71" s="78"/>
      <c r="GH71" s="78"/>
      <c r="GI71" s="42"/>
    </row>
    <row r="72" spans="1:191" ht="4.2" customHeight="1" thickBot="1" x14ac:dyDescent="0.35">
      <c r="A72" s="78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418"/>
      <c r="AP72" s="418"/>
      <c r="AQ72" s="418"/>
      <c r="AR72" s="418"/>
      <c r="AS72" s="418"/>
      <c r="AT72" s="418"/>
      <c r="AU72" s="418"/>
      <c r="AV72" s="418"/>
      <c r="AW72" s="418"/>
      <c r="AX72" s="418"/>
      <c r="AY72" s="418"/>
      <c r="AZ72" s="418"/>
      <c r="BA72" s="418"/>
      <c r="BB72" s="418"/>
      <c r="BC72" s="418"/>
      <c r="BD72" s="418"/>
      <c r="BE72" s="418"/>
      <c r="BF72" s="418"/>
      <c r="BG72" s="418"/>
      <c r="BH72" s="418"/>
      <c r="BI72" s="418"/>
      <c r="BJ72" s="418"/>
      <c r="BK72" s="418"/>
      <c r="BL72" s="418"/>
      <c r="BM72" s="418"/>
      <c r="BN72" s="418"/>
      <c r="BO72" s="418"/>
      <c r="BP72" s="418"/>
      <c r="BQ72" s="418"/>
      <c r="BR72" s="418"/>
      <c r="BS72" s="418"/>
      <c r="BT72" s="418"/>
      <c r="BU72" s="78"/>
      <c r="BV72" s="78"/>
      <c r="BW72" s="78"/>
      <c r="BX72" s="78"/>
      <c r="BY72" s="78"/>
      <c r="BZ72" s="78"/>
      <c r="CA72" s="78"/>
      <c r="CB72" s="78"/>
      <c r="CC72" s="78"/>
      <c r="CD72" s="78"/>
      <c r="CE72" s="78"/>
      <c r="CF72" s="78"/>
      <c r="CG72" s="78"/>
      <c r="CH72" s="78"/>
      <c r="CI72" s="78"/>
      <c r="CJ72" s="78"/>
      <c r="CK72" s="78"/>
      <c r="CL72" s="78"/>
      <c r="CM72" s="78"/>
      <c r="CN72" s="78"/>
      <c r="CO72" s="78"/>
      <c r="CP72" s="78"/>
      <c r="CQ72" s="78"/>
      <c r="CR72" s="78"/>
      <c r="CS72" s="78"/>
      <c r="CT72" s="78"/>
      <c r="CU72" s="78"/>
      <c r="CV72" s="78"/>
      <c r="CW72" s="78"/>
      <c r="CX72" s="78"/>
      <c r="CY72" s="78"/>
      <c r="CZ72" s="78"/>
      <c r="DA72" s="78"/>
      <c r="DB72" s="78"/>
      <c r="DC72" s="78"/>
      <c r="DD72" s="78"/>
      <c r="DE72" s="78"/>
      <c r="DF72" s="78"/>
      <c r="DG72" s="78"/>
      <c r="DH72" s="78"/>
      <c r="DI72" s="78"/>
      <c r="DJ72" s="78"/>
      <c r="DK72" s="78"/>
      <c r="DL72" s="78"/>
      <c r="DM72" s="78"/>
      <c r="DN72" s="78"/>
      <c r="DO72" s="78"/>
      <c r="DP72" s="78"/>
      <c r="DQ72" s="78"/>
      <c r="DR72" s="78"/>
      <c r="DS72" s="78"/>
      <c r="DT72" s="78"/>
      <c r="DU72" s="78"/>
      <c r="DV72" s="78"/>
      <c r="DW72" s="78"/>
      <c r="DX72" s="78"/>
      <c r="DY72" s="78"/>
      <c r="DZ72" s="78"/>
      <c r="EA72" s="78"/>
      <c r="EB72" s="78"/>
      <c r="EC72" s="78"/>
      <c r="ED72" s="78"/>
      <c r="EE72" s="78"/>
      <c r="EF72" s="78"/>
      <c r="EG72" s="78"/>
      <c r="EH72" s="78"/>
      <c r="EI72" s="78"/>
      <c r="EJ72" s="78"/>
      <c r="EK72" s="78"/>
      <c r="EL72" s="78"/>
      <c r="EM72" s="78"/>
      <c r="EN72" s="78"/>
      <c r="EO72" s="78"/>
      <c r="EP72" s="78"/>
      <c r="EQ72" s="78"/>
      <c r="ER72" s="78"/>
      <c r="ES72" s="78"/>
      <c r="ET72" s="78"/>
      <c r="EU72" s="78"/>
      <c r="EV72" s="97"/>
      <c r="EW72" s="97"/>
      <c r="EX72" s="97"/>
      <c r="EY72" s="97"/>
      <c r="EZ72" s="97"/>
      <c r="FA72" s="97"/>
      <c r="FB72" s="97"/>
      <c r="FC72" s="97"/>
      <c r="FD72" s="97"/>
      <c r="FE72" s="97"/>
      <c r="FF72" s="97"/>
      <c r="FG72" s="97"/>
      <c r="FH72" s="97"/>
      <c r="FI72" s="97"/>
      <c r="FJ72" s="97"/>
      <c r="FK72" s="97"/>
      <c r="FL72" s="97"/>
      <c r="FM72" s="97"/>
      <c r="FN72" s="97"/>
      <c r="FO72" s="78"/>
      <c r="FP72" s="78"/>
      <c r="FQ72" s="78"/>
      <c r="FR72" s="78"/>
      <c r="FS72" s="78"/>
      <c r="FT72" s="78"/>
      <c r="FU72" s="78"/>
      <c r="FV72" s="78"/>
      <c r="FW72" s="78"/>
      <c r="FX72" s="78"/>
      <c r="FY72" s="78"/>
      <c r="FZ72" s="78"/>
      <c r="GA72" s="78"/>
      <c r="GB72" s="78"/>
      <c r="GC72" s="78"/>
      <c r="GD72" s="78"/>
      <c r="GE72" s="78"/>
      <c r="GF72" s="78"/>
      <c r="GG72" s="78"/>
      <c r="GH72" s="78"/>
      <c r="GI72" s="42"/>
    </row>
    <row r="73" spans="1:191" ht="19.2" customHeight="1" thickTop="1" x14ac:dyDescent="0.3">
      <c r="A73" s="419" t="s">
        <v>178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  <c r="N73" s="420"/>
      <c r="O73" s="420"/>
      <c r="P73" s="420"/>
      <c r="Q73" s="420"/>
      <c r="R73" s="420"/>
      <c r="S73" s="420"/>
      <c r="T73" s="420"/>
      <c r="U73" s="420"/>
      <c r="V73" s="420"/>
      <c r="W73" s="420"/>
      <c r="X73" s="420"/>
      <c r="Y73" s="420"/>
      <c r="Z73" s="420"/>
      <c r="AA73" s="420"/>
      <c r="AB73" s="420"/>
      <c r="AC73" s="420"/>
      <c r="AD73" s="420"/>
      <c r="AE73" s="420"/>
      <c r="AF73" s="420"/>
      <c r="AG73" s="420"/>
      <c r="AH73" s="421"/>
      <c r="AI73" s="419" t="s">
        <v>179</v>
      </c>
      <c r="AJ73" s="420"/>
      <c r="AK73" s="420"/>
      <c r="AL73" s="420"/>
      <c r="AM73" s="420"/>
      <c r="AN73" s="420"/>
      <c r="AO73" s="420"/>
      <c r="AP73" s="420"/>
      <c r="AQ73" s="420"/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1"/>
      <c r="BU73" s="419" t="s">
        <v>43</v>
      </c>
      <c r="BV73" s="420"/>
      <c r="BW73" s="420"/>
      <c r="BX73" s="420"/>
      <c r="BY73" s="420"/>
      <c r="BZ73" s="420"/>
      <c r="CA73" s="420"/>
      <c r="CB73" s="420"/>
      <c r="CC73" s="420"/>
      <c r="CD73" s="420"/>
      <c r="CE73" s="420"/>
      <c r="CF73" s="420"/>
      <c r="CG73" s="420"/>
      <c r="CH73" s="420"/>
      <c r="CI73" s="420"/>
      <c r="CJ73" s="420"/>
      <c r="CK73" s="420"/>
      <c r="CL73" s="421"/>
      <c r="CM73" s="419" t="s">
        <v>180</v>
      </c>
      <c r="CN73" s="420"/>
      <c r="CO73" s="420"/>
      <c r="CP73" s="420"/>
      <c r="CQ73" s="420"/>
      <c r="CR73" s="420"/>
      <c r="CS73" s="420"/>
      <c r="CT73" s="420"/>
      <c r="CU73" s="420"/>
      <c r="CV73" s="420"/>
      <c r="CW73" s="420"/>
      <c r="CX73" s="420"/>
      <c r="CY73" s="420"/>
      <c r="CZ73" s="420"/>
      <c r="DA73" s="420"/>
      <c r="DB73" s="421"/>
      <c r="DC73" s="419" t="s">
        <v>181</v>
      </c>
      <c r="DD73" s="420"/>
      <c r="DE73" s="420"/>
      <c r="DF73" s="420"/>
      <c r="DG73" s="420"/>
      <c r="DH73" s="420"/>
      <c r="DI73" s="420"/>
      <c r="DJ73" s="420"/>
      <c r="DK73" s="420"/>
      <c r="DL73" s="420"/>
      <c r="DM73" s="420"/>
      <c r="DN73" s="420"/>
      <c r="DO73" s="420"/>
      <c r="DP73" s="420"/>
      <c r="DQ73" s="420"/>
      <c r="DR73" s="420"/>
      <c r="DS73" s="420"/>
      <c r="DT73" s="420"/>
      <c r="DU73" s="420"/>
      <c r="DV73" s="420"/>
      <c r="DW73" s="420"/>
      <c r="DX73" s="420"/>
      <c r="DY73" s="420"/>
      <c r="DZ73" s="420"/>
      <c r="EA73" s="420"/>
      <c r="EB73" s="420"/>
      <c r="EC73" s="420"/>
      <c r="ED73" s="420"/>
      <c r="EE73" s="420"/>
      <c r="EF73" s="420"/>
      <c r="EG73" s="420"/>
      <c r="EH73" s="420"/>
      <c r="EI73" s="421"/>
      <c r="EJ73" s="411" t="s">
        <v>182</v>
      </c>
      <c r="EK73" s="411"/>
      <c r="EL73" s="411"/>
      <c r="EM73" s="411"/>
      <c r="EN73" s="411"/>
      <c r="EO73" s="411"/>
      <c r="EP73" s="411"/>
      <c r="EQ73" s="411"/>
      <c r="ER73" s="411"/>
      <c r="ES73" s="411"/>
      <c r="ET73" s="411"/>
      <c r="EU73" s="412" t="s">
        <v>183</v>
      </c>
      <c r="EV73" s="412"/>
      <c r="EW73" s="412"/>
      <c r="EX73" s="412"/>
      <c r="EY73" s="412"/>
      <c r="EZ73" s="412"/>
      <c r="FA73" s="412"/>
      <c r="FB73" s="412"/>
      <c r="FC73" s="412"/>
      <c r="FD73" s="412"/>
      <c r="FE73" s="412"/>
      <c r="FF73" s="412"/>
      <c r="FG73" s="412"/>
      <c r="FH73" s="411" t="s">
        <v>184</v>
      </c>
      <c r="FI73" s="411"/>
      <c r="FJ73" s="411"/>
      <c r="FK73" s="411"/>
      <c r="FL73" s="411"/>
      <c r="FM73" s="411"/>
      <c r="FN73" s="411"/>
      <c r="FO73" s="411"/>
      <c r="FP73" s="411"/>
      <c r="FQ73" s="411"/>
      <c r="FR73" s="411"/>
      <c r="FS73" s="411"/>
      <c r="FT73" s="411"/>
      <c r="FU73" s="412" t="s">
        <v>185</v>
      </c>
      <c r="FV73" s="412"/>
      <c r="FW73" s="412"/>
      <c r="FX73" s="412"/>
      <c r="FY73" s="412"/>
      <c r="FZ73" s="412"/>
      <c r="GA73" s="412"/>
      <c r="GB73" s="412"/>
      <c r="GC73" s="412"/>
      <c r="GD73" s="412"/>
      <c r="GE73" s="412"/>
      <c r="GF73" s="412"/>
      <c r="GG73" s="412"/>
      <c r="GH73" s="412"/>
      <c r="GI73" s="42"/>
    </row>
    <row r="74" spans="1:191" ht="7.95" customHeight="1" x14ac:dyDescent="0.3">
      <c r="A74" s="413">
        <v>1</v>
      </c>
      <c r="B74" s="414"/>
      <c r="C74" s="414"/>
      <c r="D74" s="414"/>
      <c r="E74" s="414"/>
      <c r="F74" s="414"/>
      <c r="G74" s="414"/>
      <c r="H74" s="414"/>
      <c r="I74" s="414"/>
      <c r="J74" s="414"/>
      <c r="K74" s="414"/>
      <c r="L74" s="414"/>
      <c r="M74" s="414"/>
      <c r="N74" s="414"/>
      <c r="O74" s="414"/>
      <c r="P74" s="414"/>
      <c r="Q74" s="414"/>
      <c r="R74" s="414"/>
      <c r="S74" s="414"/>
      <c r="T74" s="414"/>
      <c r="U74" s="414"/>
      <c r="V74" s="414"/>
      <c r="W74" s="414"/>
      <c r="X74" s="414"/>
      <c r="Y74" s="414"/>
      <c r="Z74" s="414"/>
      <c r="AA74" s="414"/>
      <c r="AB74" s="414"/>
      <c r="AC74" s="414"/>
      <c r="AD74" s="414"/>
      <c r="AE74" s="414"/>
      <c r="AF74" s="414"/>
      <c r="AG74" s="414"/>
      <c r="AH74" s="415"/>
      <c r="AI74" s="413">
        <v>2</v>
      </c>
      <c r="AJ74" s="416"/>
      <c r="AK74" s="416"/>
      <c r="AL74" s="416"/>
      <c r="AM74" s="416"/>
      <c r="AN74" s="416"/>
      <c r="AO74" s="416"/>
      <c r="AP74" s="416"/>
      <c r="AQ74" s="416"/>
      <c r="AR74" s="416"/>
      <c r="AS74" s="416"/>
      <c r="AT74" s="416"/>
      <c r="AU74" s="416"/>
      <c r="AV74" s="416"/>
      <c r="AW74" s="416"/>
      <c r="AX74" s="416"/>
      <c r="AY74" s="416"/>
      <c r="AZ74" s="416"/>
      <c r="BA74" s="416"/>
      <c r="BB74" s="416"/>
      <c r="BC74" s="416"/>
      <c r="BD74" s="416"/>
      <c r="BE74" s="416"/>
      <c r="BF74" s="416"/>
      <c r="BG74" s="416"/>
      <c r="BH74" s="416"/>
      <c r="BI74" s="416"/>
      <c r="BJ74" s="416"/>
      <c r="BK74" s="416"/>
      <c r="BL74" s="416"/>
      <c r="BM74" s="416"/>
      <c r="BN74" s="416"/>
      <c r="BO74" s="416"/>
      <c r="BP74" s="416"/>
      <c r="BQ74" s="416"/>
      <c r="BR74" s="416"/>
      <c r="BS74" s="416"/>
      <c r="BT74" s="417"/>
      <c r="BU74" s="413">
        <v>3</v>
      </c>
      <c r="BV74" s="416"/>
      <c r="BW74" s="416"/>
      <c r="BX74" s="416"/>
      <c r="BY74" s="416"/>
      <c r="BZ74" s="416"/>
      <c r="CA74" s="416"/>
      <c r="CB74" s="416"/>
      <c r="CC74" s="416"/>
      <c r="CD74" s="416"/>
      <c r="CE74" s="416"/>
      <c r="CF74" s="416"/>
      <c r="CG74" s="416"/>
      <c r="CH74" s="416"/>
      <c r="CI74" s="416"/>
      <c r="CJ74" s="416"/>
      <c r="CK74" s="416"/>
      <c r="CL74" s="417"/>
      <c r="CM74" s="413">
        <v>4</v>
      </c>
      <c r="CN74" s="416"/>
      <c r="CO74" s="416"/>
      <c r="CP74" s="416"/>
      <c r="CQ74" s="416"/>
      <c r="CR74" s="416"/>
      <c r="CS74" s="416"/>
      <c r="CT74" s="416"/>
      <c r="CU74" s="416"/>
      <c r="CV74" s="416"/>
      <c r="CW74" s="416"/>
      <c r="CX74" s="416"/>
      <c r="CY74" s="416"/>
      <c r="CZ74" s="416"/>
      <c r="DA74" s="416"/>
      <c r="DB74" s="417"/>
      <c r="DC74" s="413">
        <v>5</v>
      </c>
      <c r="DD74" s="416"/>
      <c r="DE74" s="416"/>
      <c r="DF74" s="416"/>
      <c r="DG74" s="416"/>
      <c r="DH74" s="416"/>
      <c r="DI74" s="416"/>
      <c r="DJ74" s="416"/>
      <c r="DK74" s="416"/>
      <c r="DL74" s="416"/>
      <c r="DM74" s="416"/>
      <c r="DN74" s="416"/>
      <c r="DO74" s="416"/>
      <c r="DP74" s="416"/>
      <c r="DQ74" s="416"/>
      <c r="DR74" s="416"/>
      <c r="DS74" s="416"/>
      <c r="DT74" s="416"/>
      <c r="DU74" s="416"/>
      <c r="DV74" s="416"/>
      <c r="DW74" s="416"/>
      <c r="DX74" s="416"/>
      <c r="DY74" s="416"/>
      <c r="DZ74" s="416"/>
      <c r="EA74" s="416"/>
      <c r="EB74" s="416"/>
      <c r="EC74" s="416"/>
      <c r="ED74" s="416"/>
      <c r="EE74" s="416"/>
      <c r="EF74" s="416"/>
      <c r="EG74" s="416"/>
      <c r="EH74" s="416"/>
      <c r="EI74" s="417"/>
      <c r="EJ74" s="447">
        <v>6</v>
      </c>
      <c r="EK74" s="447"/>
      <c r="EL74" s="447"/>
      <c r="EM74" s="447"/>
      <c r="EN74" s="447"/>
      <c r="EO74" s="447"/>
      <c r="EP74" s="447"/>
      <c r="EQ74" s="447"/>
      <c r="ER74" s="447"/>
      <c r="ES74" s="447"/>
      <c r="ET74" s="447"/>
      <c r="EU74" s="447">
        <v>7</v>
      </c>
      <c r="EV74" s="447"/>
      <c r="EW74" s="447"/>
      <c r="EX74" s="447"/>
      <c r="EY74" s="447"/>
      <c r="EZ74" s="447"/>
      <c r="FA74" s="447"/>
      <c r="FB74" s="447"/>
      <c r="FC74" s="447"/>
      <c r="FD74" s="447"/>
      <c r="FE74" s="447"/>
      <c r="FF74" s="447"/>
      <c r="FG74" s="447"/>
      <c r="FH74" s="447">
        <v>8</v>
      </c>
      <c r="FI74" s="447"/>
      <c r="FJ74" s="447"/>
      <c r="FK74" s="447"/>
      <c r="FL74" s="447"/>
      <c r="FM74" s="447"/>
      <c r="FN74" s="447"/>
      <c r="FO74" s="447"/>
      <c r="FP74" s="447"/>
      <c r="FQ74" s="447"/>
      <c r="FR74" s="447"/>
      <c r="FS74" s="447"/>
      <c r="FT74" s="447"/>
      <c r="FU74" s="447">
        <v>9</v>
      </c>
      <c r="FV74" s="447"/>
      <c r="FW74" s="447"/>
      <c r="FX74" s="447"/>
      <c r="FY74" s="447"/>
      <c r="FZ74" s="447"/>
      <c r="GA74" s="447"/>
      <c r="GB74" s="447"/>
      <c r="GC74" s="447"/>
      <c r="GD74" s="447"/>
      <c r="GE74" s="447"/>
      <c r="GF74" s="447"/>
      <c r="GG74" s="447"/>
      <c r="GH74" s="447"/>
      <c r="GI74" s="42"/>
    </row>
    <row r="75" spans="1:191" x14ac:dyDescent="0.3">
      <c r="A75" s="422" t="s">
        <v>186</v>
      </c>
      <c r="B75" s="423"/>
      <c r="C75" s="423"/>
      <c r="D75" s="423"/>
      <c r="E75" s="423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  <c r="AA75" s="423"/>
      <c r="AB75" s="423"/>
      <c r="AC75" s="423"/>
      <c r="AD75" s="423"/>
      <c r="AE75" s="423"/>
      <c r="AF75" s="423"/>
      <c r="AG75" s="423"/>
      <c r="AH75" s="424"/>
      <c r="AI75" s="425"/>
      <c r="AJ75" s="426"/>
      <c r="AK75" s="426"/>
      <c r="AL75" s="426"/>
      <c r="AM75" s="426"/>
      <c r="AN75" s="426"/>
      <c r="AO75" s="426"/>
      <c r="AP75" s="426"/>
      <c r="AQ75" s="426"/>
      <c r="AR75" s="426"/>
      <c r="AS75" s="426"/>
      <c r="AT75" s="426"/>
      <c r="AU75" s="426"/>
      <c r="AV75" s="426"/>
      <c r="AW75" s="426"/>
      <c r="AX75" s="426"/>
      <c r="AY75" s="426"/>
      <c r="AZ75" s="426"/>
      <c r="BA75" s="426"/>
      <c r="BB75" s="426"/>
      <c r="BC75" s="426"/>
      <c r="BD75" s="426"/>
      <c r="BE75" s="426"/>
      <c r="BF75" s="426"/>
      <c r="BG75" s="426"/>
      <c r="BH75" s="426"/>
      <c r="BI75" s="426"/>
      <c r="BJ75" s="426"/>
      <c r="BK75" s="426"/>
      <c r="BL75" s="426"/>
      <c r="BM75" s="426"/>
      <c r="BN75" s="426"/>
      <c r="BO75" s="426"/>
      <c r="BP75" s="426"/>
      <c r="BQ75" s="426"/>
      <c r="BR75" s="426"/>
      <c r="BS75" s="426"/>
      <c r="BT75" s="427"/>
      <c r="BU75" s="425"/>
      <c r="BV75" s="426"/>
      <c r="BW75" s="426"/>
      <c r="BX75" s="426"/>
      <c r="BY75" s="426"/>
      <c r="BZ75" s="426"/>
      <c r="CA75" s="426"/>
      <c r="CB75" s="426"/>
      <c r="CC75" s="426"/>
      <c r="CD75" s="426"/>
      <c r="CE75" s="426"/>
      <c r="CF75" s="426"/>
      <c r="CG75" s="426"/>
      <c r="CH75" s="426"/>
      <c r="CI75" s="426"/>
      <c r="CJ75" s="426"/>
      <c r="CK75" s="426"/>
      <c r="CL75" s="426"/>
      <c r="CM75" s="428"/>
      <c r="CN75" s="429"/>
      <c r="CO75" s="429"/>
      <c r="CP75" s="429"/>
      <c r="CQ75" s="429"/>
      <c r="CR75" s="429"/>
      <c r="CS75" s="429"/>
      <c r="CT75" s="429"/>
      <c r="CU75" s="429"/>
      <c r="CV75" s="429"/>
      <c r="CW75" s="429"/>
      <c r="CX75" s="429"/>
      <c r="CY75" s="429"/>
      <c r="CZ75" s="429"/>
      <c r="DA75" s="429"/>
      <c r="DB75" s="430"/>
      <c r="DC75" s="431"/>
      <c r="DD75" s="431"/>
      <c r="DE75" s="431"/>
      <c r="DF75" s="431"/>
      <c r="DG75" s="431"/>
      <c r="DH75" s="431"/>
      <c r="DI75" s="431"/>
      <c r="DJ75" s="431"/>
      <c r="DK75" s="431"/>
      <c r="DL75" s="431"/>
      <c r="DM75" s="431"/>
      <c r="DN75" s="431"/>
      <c r="DO75" s="431"/>
      <c r="DP75" s="431"/>
      <c r="DQ75" s="431"/>
      <c r="DR75" s="431"/>
      <c r="DS75" s="431"/>
      <c r="DT75" s="431"/>
      <c r="DU75" s="431"/>
      <c r="DV75" s="431"/>
      <c r="DW75" s="431"/>
      <c r="DX75" s="431"/>
      <c r="DY75" s="431"/>
      <c r="DZ75" s="431"/>
      <c r="EA75" s="431"/>
      <c r="EB75" s="431"/>
      <c r="EC75" s="431"/>
      <c r="ED75" s="431"/>
      <c r="EE75" s="431"/>
      <c r="EF75" s="431"/>
      <c r="EG75" s="431"/>
      <c r="EH75" s="431"/>
      <c r="EI75" s="431"/>
      <c r="EJ75" s="425"/>
      <c r="EK75" s="432"/>
      <c r="EL75" s="432"/>
      <c r="EM75" s="432"/>
      <c r="EN75" s="432"/>
      <c r="EO75" s="432"/>
      <c r="EP75" s="432"/>
      <c r="EQ75" s="432"/>
      <c r="ER75" s="432"/>
      <c r="ES75" s="432"/>
      <c r="ET75" s="433"/>
      <c r="EU75" s="432"/>
      <c r="EV75" s="432"/>
      <c r="EW75" s="432"/>
      <c r="EX75" s="432"/>
      <c r="EY75" s="432"/>
      <c r="EZ75" s="432"/>
      <c r="FA75" s="432"/>
      <c r="FB75" s="432"/>
      <c r="FC75" s="432"/>
      <c r="FD75" s="432"/>
      <c r="FE75" s="432"/>
      <c r="FF75" s="432"/>
      <c r="FG75" s="432"/>
      <c r="FH75" s="425"/>
      <c r="FI75" s="432"/>
      <c r="FJ75" s="432"/>
      <c r="FK75" s="432"/>
      <c r="FL75" s="432"/>
      <c r="FM75" s="432"/>
      <c r="FN75" s="432"/>
      <c r="FO75" s="432"/>
      <c r="FP75" s="432"/>
      <c r="FQ75" s="432"/>
      <c r="FR75" s="432"/>
      <c r="FS75" s="432"/>
      <c r="FT75" s="433"/>
      <c r="FU75" s="434"/>
      <c r="FV75" s="434"/>
      <c r="FW75" s="434"/>
      <c r="FX75" s="434"/>
      <c r="FY75" s="434"/>
      <c r="FZ75" s="434"/>
      <c r="GA75" s="434"/>
      <c r="GB75" s="434"/>
      <c r="GC75" s="434"/>
      <c r="GD75" s="434"/>
      <c r="GE75" s="434"/>
      <c r="GF75" s="434"/>
      <c r="GG75" s="434"/>
      <c r="GH75" s="435"/>
      <c r="GI75" s="42"/>
    </row>
    <row r="76" spans="1:191" ht="8.4" customHeight="1" x14ac:dyDescent="0.3">
      <c r="A76" s="96" t="s">
        <v>187</v>
      </c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261" t="s">
        <v>188</v>
      </c>
      <c r="AT76" s="261"/>
      <c r="AU76" s="261"/>
      <c r="AV76" s="261"/>
      <c r="AW76" s="261"/>
      <c r="AX76" s="261"/>
      <c r="AY76" s="96"/>
      <c r="AZ76" s="96"/>
      <c r="BA76" s="96"/>
      <c r="BB76" s="96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98"/>
      <c r="BO76" s="78"/>
      <c r="BP76" s="96" t="s">
        <v>187</v>
      </c>
      <c r="BQ76" s="96"/>
      <c r="BR76" s="96"/>
      <c r="BS76" s="96"/>
      <c r="BT76" s="96"/>
      <c r="BU76" s="96"/>
      <c r="BV76" s="96"/>
      <c r="BW76" s="96"/>
      <c r="BX76" s="96"/>
      <c r="BY76" s="96"/>
      <c r="BZ76" s="96"/>
      <c r="CA76" s="96"/>
      <c r="CB76" s="96"/>
      <c r="CC76" s="96"/>
      <c r="CD76" s="96"/>
      <c r="CE76" s="96"/>
      <c r="CF76" s="96"/>
      <c r="CG76" s="96"/>
      <c r="CH76" s="96"/>
      <c r="CI76" s="96"/>
      <c r="CJ76" s="96"/>
      <c r="CK76" s="96"/>
      <c r="CL76" s="96"/>
      <c r="CM76" s="96"/>
      <c r="CN76" s="96"/>
      <c r="CO76" s="96"/>
      <c r="CP76" s="96"/>
      <c r="CQ76" s="96"/>
      <c r="CR76" s="96"/>
      <c r="CS76" s="78"/>
      <c r="CT76" s="78"/>
      <c r="CU76" s="78"/>
      <c r="CV76" s="78"/>
      <c r="CW76" s="78"/>
      <c r="CX76" s="78"/>
      <c r="CY76" s="78"/>
      <c r="CZ76" s="78"/>
      <c r="DA76" s="78"/>
      <c r="DB76" s="261" t="s">
        <v>188</v>
      </c>
      <c r="DC76" s="261"/>
      <c r="DD76" s="261"/>
      <c r="DE76" s="261"/>
      <c r="DF76" s="261"/>
      <c r="DG76" s="261"/>
      <c r="DH76" s="261"/>
      <c r="DI76" s="261"/>
      <c r="DJ76" s="261"/>
      <c r="DK76" s="78"/>
      <c r="DL76" s="78"/>
      <c r="DM76" s="78"/>
      <c r="DN76" s="78"/>
      <c r="DO76" s="78"/>
      <c r="DP76" s="78"/>
      <c r="DQ76" s="78"/>
      <c r="DR76" s="78"/>
      <c r="DS76" s="78"/>
      <c r="DT76" s="78"/>
      <c r="DU76" s="96"/>
      <c r="DV76" s="96" t="s">
        <v>72</v>
      </c>
      <c r="DW76" s="78"/>
      <c r="DX76" s="96"/>
      <c r="DY76" s="96"/>
      <c r="DZ76" s="96"/>
      <c r="EA76" s="96"/>
      <c r="EB76" s="96"/>
      <c r="EC76" s="96"/>
      <c r="ED76" s="96"/>
      <c r="EE76" s="96"/>
      <c r="EF76" s="96"/>
      <c r="EG76" s="96"/>
      <c r="EH76" s="96"/>
      <c r="EI76" s="96"/>
      <c r="EJ76" s="436"/>
      <c r="EK76" s="314"/>
      <c r="EL76" s="314"/>
      <c r="EM76" s="314"/>
      <c r="EN76" s="314"/>
      <c r="EO76" s="314"/>
      <c r="EP76" s="314"/>
      <c r="EQ76" s="314"/>
      <c r="ER76" s="314"/>
      <c r="ES76" s="314"/>
      <c r="ET76" s="437"/>
      <c r="EU76" s="314" t="s">
        <v>189</v>
      </c>
      <c r="EV76" s="314"/>
      <c r="EW76" s="314"/>
      <c r="EX76" s="314"/>
      <c r="EY76" s="314"/>
      <c r="EZ76" s="314"/>
      <c r="FA76" s="314"/>
      <c r="FB76" s="314"/>
      <c r="FC76" s="314"/>
      <c r="FD76" s="314"/>
      <c r="FE76" s="314"/>
      <c r="FF76" s="314"/>
      <c r="FG76" s="314"/>
      <c r="FH76" s="314"/>
      <c r="FI76" s="314"/>
      <c r="FJ76" s="314"/>
      <c r="FK76" s="314"/>
      <c r="FL76" s="314"/>
      <c r="FM76" s="314"/>
      <c r="FN76" s="314"/>
      <c r="FO76" s="314"/>
      <c r="FP76" s="314"/>
      <c r="FQ76" s="314"/>
      <c r="FR76" s="314"/>
      <c r="FS76" s="314"/>
      <c r="FT76" s="314"/>
      <c r="FU76" s="441"/>
      <c r="FV76" s="442"/>
      <c r="FW76" s="442"/>
      <c r="FX76" s="442"/>
      <c r="FY76" s="442"/>
      <c r="FZ76" s="442"/>
      <c r="GA76" s="442"/>
      <c r="GB76" s="442"/>
      <c r="GC76" s="442"/>
      <c r="GD76" s="442"/>
      <c r="GE76" s="442"/>
      <c r="GF76" s="442"/>
      <c r="GG76" s="442"/>
      <c r="GH76" s="443"/>
      <c r="GI76" s="42"/>
    </row>
    <row r="77" spans="1:191" ht="8.4" customHeight="1" thickBot="1" x14ac:dyDescent="0.35">
      <c r="A77" s="78" t="s">
        <v>190</v>
      </c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450"/>
      <c r="AB77" s="450"/>
      <c r="AC77" s="450"/>
      <c r="AD77" s="450"/>
      <c r="AE77" s="450"/>
      <c r="AF77" s="450"/>
      <c r="AG77" s="450"/>
      <c r="AH77" s="450"/>
      <c r="AI77" s="450"/>
      <c r="AJ77" s="450"/>
      <c r="AK77" s="450"/>
      <c r="AL77" s="450"/>
      <c r="AM77" s="450"/>
      <c r="AN77" s="450"/>
      <c r="AO77" s="450"/>
      <c r="AP77" s="450"/>
      <c r="AQ77" s="450"/>
      <c r="AR77" s="450"/>
      <c r="AS77" s="380" t="s">
        <v>191</v>
      </c>
      <c r="AT77" s="380"/>
      <c r="AU77" s="380"/>
      <c r="AV77" s="380"/>
      <c r="AW77" s="380"/>
      <c r="AX77" s="380"/>
      <c r="AY77" s="449"/>
      <c r="AZ77" s="449"/>
      <c r="BA77" s="449"/>
      <c r="BB77" s="449"/>
      <c r="BC77" s="449"/>
      <c r="BD77" s="449"/>
      <c r="BE77" s="449"/>
      <c r="BF77" s="449"/>
      <c r="BG77" s="449"/>
      <c r="BH77" s="449"/>
      <c r="BI77" s="449"/>
      <c r="BJ77" s="449"/>
      <c r="BK77" s="449"/>
      <c r="BL77" s="449"/>
      <c r="BM77" s="449"/>
      <c r="BN77" s="99"/>
      <c r="BO77" s="78"/>
      <c r="BP77" s="78" t="s">
        <v>190</v>
      </c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451"/>
      <c r="CT77" s="451"/>
      <c r="CU77" s="451"/>
      <c r="CV77" s="451"/>
      <c r="CW77" s="451"/>
      <c r="CX77" s="451"/>
      <c r="CY77" s="451"/>
      <c r="CZ77" s="451"/>
      <c r="DA77" s="451"/>
      <c r="DB77" s="380" t="s">
        <v>191</v>
      </c>
      <c r="DC77" s="380"/>
      <c r="DD77" s="380"/>
      <c r="DE77" s="380"/>
      <c r="DF77" s="380"/>
      <c r="DG77" s="380"/>
      <c r="DH77" s="380"/>
      <c r="DI77" s="380"/>
      <c r="DJ77" s="380"/>
      <c r="DK77" s="300"/>
      <c r="DL77" s="300"/>
      <c r="DM77" s="300"/>
      <c r="DN77" s="300"/>
      <c r="DO77" s="300"/>
      <c r="DP77" s="300"/>
      <c r="DQ77" s="300"/>
      <c r="DR77" s="300"/>
      <c r="DS77" s="300"/>
      <c r="DT77" s="300"/>
      <c r="DU77" s="78"/>
      <c r="DV77" s="78" t="s">
        <v>192</v>
      </c>
      <c r="DW77" s="78"/>
      <c r="DX77" s="78"/>
      <c r="DY77" s="78"/>
      <c r="DZ77" s="78"/>
      <c r="EA77" s="78"/>
      <c r="EB77" s="78"/>
      <c r="EC77" s="78"/>
      <c r="ED77" s="78"/>
      <c r="EE77" s="78"/>
      <c r="EF77" s="78"/>
      <c r="EG77" s="78"/>
      <c r="EH77" s="78"/>
      <c r="EI77" s="78"/>
      <c r="EJ77" s="438"/>
      <c r="EK77" s="439"/>
      <c r="EL77" s="439"/>
      <c r="EM77" s="439"/>
      <c r="EN77" s="439"/>
      <c r="EO77" s="439"/>
      <c r="EP77" s="439"/>
      <c r="EQ77" s="439"/>
      <c r="ER77" s="439"/>
      <c r="ES77" s="439"/>
      <c r="ET77" s="440"/>
      <c r="EU77" s="78"/>
      <c r="EV77" s="78"/>
      <c r="EW77" s="78"/>
      <c r="EX77" s="78"/>
      <c r="EY77" s="78"/>
      <c r="EZ77" s="78"/>
      <c r="FA77" s="78"/>
      <c r="FB77" s="78"/>
      <c r="FC77" s="78"/>
      <c r="FD77" s="78"/>
      <c r="FE77" s="78"/>
      <c r="FF77" s="78"/>
      <c r="FG77" s="78"/>
      <c r="FH77" s="78"/>
      <c r="FI77" s="78"/>
      <c r="FJ77" s="78"/>
      <c r="FK77" s="78"/>
      <c r="FL77" s="78"/>
      <c r="FM77" s="78"/>
      <c r="FN77" s="78"/>
      <c r="FO77" s="78"/>
      <c r="FP77" s="78"/>
      <c r="FQ77" s="78"/>
      <c r="FR77" s="78"/>
      <c r="FS77" s="78"/>
      <c r="FT77" s="78"/>
      <c r="FU77" s="444"/>
      <c r="FV77" s="445"/>
      <c r="FW77" s="445"/>
      <c r="FX77" s="445"/>
      <c r="FY77" s="445"/>
      <c r="FZ77" s="445"/>
      <c r="GA77" s="445"/>
      <c r="GB77" s="445"/>
      <c r="GC77" s="445"/>
      <c r="GD77" s="445"/>
      <c r="GE77" s="445"/>
      <c r="GF77" s="445"/>
      <c r="GG77" s="445"/>
      <c r="GH77" s="446"/>
      <c r="GI77" s="42"/>
    </row>
    <row r="78" spans="1:191" ht="7.2" customHeight="1" x14ac:dyDescent="0.3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448" t="s">
        <v>193</v>
      </c>
      <c r="AB78" s="448"/>
      <c r="AC78" s="448"/>
      <c r="AD78" s="448"/>
      <c r="AE78" s="448"/>
      <c r="AF78" s="448"/>
      <c r="AG78" s="448"/>
      <c r="AH78" s="448"/>
      <c r="AI78" s="448"/>
      <c r="AJ78" s="448"/>
      <c r="AK78" s="448"/>
      <c r="AL78" s="448"/>
      <c r="AM78" s="448"/>
      <c r="AN78" s="448"/>
      <c r="AO78" s="448"/>
      <c r="AP78" s="448"/>
      <c r="AQ78" s="448"/>
      <c r="AR78" s="448"/>
      <c r="AS78" s="85"/>
      <c r="AT78" s="85"/>
      <c r="AU78" s="100"/>
      <c r="AV78" s="100"/>
      <c r="AW78" s="100"/>
      <c r="AX78" s="100"/>
      <c r="AY78" s="448" t="s">
        <v>99</v>
      </c>
      <c r="AZ78" s="448"/>
      <c r="BA78" s="448"/>
      <c r="BB78" s="448"/>
      <c r="BC78" s="448"/>
      <c r="BD78" s="448"/>
      <c r="BE78" s="448"/>
      <c r="BF78" s="448"/>
      <c r="BG78" s="448"/>
      <c r="BH78" s="448"/>
      <c r="BI78" s="448"/>
      <c r="BJ78" s="448"/>
      <c r="BK78" s="448"/>
      <c r="BL78" s="448"/>
      <c r="BM78" s="448"/>
      <c r="BN78" s="101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448" t="s">
        <v>193</v>
      </c>
      <c r="CT78" s="448"/>
      <c r="CU78" s="448"/>
      <c r="CV78" s="448"/>
      <c r="CW78" s="448"/>
      <c r="CX78" s="448"/>
      <c r="CY78" s="448"/>
      <c r="CZ78" s="448"/>
      <c r="DA78" s="448"/>
      <c r="DB78" s="85"/>
      <c r="DC78" s="100"/>
      <c r="DD78" s="100"/>
      <c r="DE78" s="100"/>
      <c r="DF78" s="100"/>
      <c r="DG78" s="100"/>
      <c r="DH78" s="100"/>
      <c r="DI78" s="100"/>
      <c r="DJ78" s="85"/>
      <c r="DK78" s="448" t="s">
        <v>99</v>
      </c>
      <c r="DL78" s="448"/>
      <c r="DM78" s="448"/>
      <c r="DN78" s="448"/>
      <c r="DO78" s="448"/>
      <c r="DP78" s="448"/>
      <c r="DQ78" s="448"/>
      <c r="DR78" s="448"/>
      <c r="DS78" s="448"/>
      <c r="DT78" s="448"/>
      <c r="DU78" s="85"/>
      <c r="DV78" s="85"/>
      <c r="DW78" s="85"/>
      <c r="DX78" s="85"/>
      <c r="DY78" s="85"/>
      <c r="DZ78" s="85"/>
      <c r="EA78" s="85"/>
      <c r="EB78" s="85"/>
      <c r="EC78" s="85"/>
      <c r="ED78" s="85"/>
      <c r="EE78" s="85"/>
      <c r="EF78" s="85"/>
      <c r="EG78" s="85"/>
      <c r="EH78" s="85"/>
      <c r="EI78" s="85"/>
      <c r="EJ78" s="85"/>
      <c r="EK78" s="85"/>
      <c r="EL78" s="85"/>
      <c r="EM78" s="85"/>
      <c r="EN78" s="85"/>
      <c r="EO78" s="85"/>
      <c r="EP78" s="85"/>
      <c r="EQ78" s="85"/>
      <c r="ER78" s="85"/>
      <c r="ES78" s="85"/>
      <c r="ET78" s="85"/>
      <c r="EU78" s="85"/>
      <c r="EV78" s="85"/>
      <c r="EW78" s="85"/>
      <c r="EX78" s="85"/>
      <c r="EY78" s="85"/>
      <c r="EZ78" s="85"/>
      <c r="FA78" s="85"/>
      <c r="FB78" s="85"/>
      <c r="FC78" s="85"/>
      <c r="FD78" s="85"/>
      <c r="FE78" s="85"/>
      <c r="FF78" s="85"/>
      <c r="FG78" s="85"/>
      <c r="FH78" s="85"/>
      <c r="FI78" s="85"/>
      <c r="FJ78" s="85"/>
      <c r="FK78" s="85"/>
      <c r="FL78" s="85"/>
      <c r="FM78" s="85"/>
      <c r="FN78" s="85"/>
      <c r="FO78" s="85"/>
      <c r="FP78" s="85"/>
      <c r="FQ78" s="85"/>
      <c r="FR78" s="85"/>
      <c r="FS78" s="85"/>
      <c r="FT78" s="85"/>
      <c r="FU78" s="85"/>
      <c r="FV78" s="85"/>
      <c r="FW78" s="85"/>
      <c r="FX78" s="85"/>
      <c r="FY78" s="85"/>
      <c r="FZ78" s="85"/>
      <c r="GA78" s="85"/>
      <c r="GB78" s="85"/>
      <c r="GC78" s="85"/>
      <c r="GD78" s="85"/>
      <c r="GE78" s="85"/>
      <c r="GF78" s="85"/>
      <c r="GG78" s="85"/>
      <c r="GH78" s="85"/>
      <c r="GI78" s="42"/>
    </row>
    <row r="79" spans="1:191" ht="9.6" customHeight="1" x14ac:dyDescent="0.3">
      <c r="A79" s="78" t="s">
        <v>194</v>
      </c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449"/>
      <c r="R79" s="449"/>
      <c r="S79" s="449"/>
      <c r="T79" s="449"/>
      <c r="U79" s="449"/>
      <c r="V79" s="449"/>
      <c r="W79" s="449"/>
      <c r="X79" s="449"/>
      <c r="Y79" s="449"/>
      <c r="Z79" s="449"/>
      <c r="AA79" s="449"/>
      <c r="AB79" s="449"/>
      <c r="AC79" s="449"/>
      <c r="AD79" s="449"/>
      <c r="AE79" s="449"/>
      <c r="AF79" s="449"/>
      <c r="AG79" s="449"/>
      <c r="AH79" s="449"/>
      <c r="AI79" s="449"/>
      <c r="AJ79" s="449"/>
      <c r="AK79" s="449"/>
      <c r="AL79" s="449"/>
      <c r="AM79" s="449"/>
      <c r="AN79" s="449"/>
      <c r="AO79" s="449"/>
      <c r="AP79" s="449"/>
      <c r="AQ79" s="449"/>
      <c r="AR79" s="449"/>
      <c r="AS79" s="449"/>
      <c r="AT79" s="78"/>
      <c r="AU79" s="78" t="s">
        <v>195</v>
      </c>
      <c r="AV79" s="78"/>
      <c r="AW79" s="78"/>
      <c r="AX79" s="78"/>
      <c r="AY79" s="78"/>
      <c r="AZ79" s="78"/>
      <c r="BA79" s="78"/>
      <c r="BB79" s="78" t="s">
        <v>196</v>
      </c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98"/>
      <c r="BO79" s="78"/>
      <c r="BP79" s="78" t="s">
        <v>194</v>
      </c>
      <c r="BQ79" s="78"/>
      <c r="BR79" s="78"/>
      <c r="BS79" s="78"/>
      <c r="BT79" s="78"/>
      <c r="BU79" s="78"/>
      <c r="BV79" s="78"/>
      <c r="BW79" s="78"/>
      <c r="BX79" s="78"/>
      <c r="BY79" s="78"/>
      <c r="BZ79" s="78"/>
      <c r="CA79" s="78"/>
      <c r="CB79" s="78"/>
      <c r="CC79" s="78"/>
      <c r="CD79" s="78"/>
      <c r="CE79" s="78"/>
      <c r="CF79" s="362"/>
      <c r="CG79" s="362"/>
      <c r="CH79" s="362"/>
      <c r="CI79" s="362"/>
      <c r="CJ79" s="362"/>
      <c r="CK79" s="362"/>
      <c r="CL79" s="362"/>
      <c r="CM79" s="362"/>
      <c r="CN79" s="362"/>
      <c r="CO79" s="362"/>
      <c r="CP79" s="362"/>
      <c r="CQ79" s="362"/>
      <c r="CR79" s="362"/>
      <c r="CS79" s="362"/>
      <c r="CT79" s="362"/>
      <c r="CU79" s="362"/>
      <c r="CV79" s="362"/>
      <c r="CW79" s="362"/>
      <c r="CX79" s="362"/>
      <c r="CY79" s="362"/>
      <c r="CZ79" s="362"/>
      <c r="DA79" s="362"/>
      <c r="DB79" s="362"/>
      <c r="DC79" s="91" t="s">
        <v>195</v>
      </c>
      <c r="DD79" s="78"/>
      <c r="DE79" s="78"/>
      <c r="DF79" s="78"/>
      <c r="DG79" s="78"/>
      <c r="DH79" s="78"/>
      <c r="DI79" s="78"/>
      <c r="DJ79" s="78"/>
      <c r="DK79" s="78"/>
      <c r="DL79" s="78"/>
      <c r="DM79" s="78"/>
      <c r="DN79" s="78"/>
      <c r="DO79" s="78"/>
      <c r="DP79" s="78"/>
      <c r="DQ79" s="78"/>
      <c r="DR79" s="78"/>
      <c r="DS79" s="78"/>
      <c r="DT79" s="78"/>
      <c r="DU79" s="78"/>
      <c r="DV79" s="78"/>
      <c r="DW79" s="78"/>
      <c r="DX79" s="78"/>
      <c r="DY79" s="78"/>
      <c r="DZ79" s="78"/>
      <c r="EA79" s="78"/>
      <c r="EB79" s="102" t="s">
        <v>197</v>
      </c>
      <c r="EC79" s="78"/>
      <c r="ED79" s="78"/>
      <c r="EE79" s="78"/>
      <c r="EF79" s="78"/>
      <c r="EG79" s="78"/>
      <c r="EH79" s="78"/>
      <c r="EI79" s="78"/>
      <c r="EJ79" s="78"/>
      <c r="EK79" s="78"/>
      <c r="EL79" s="78"/>
      <c r="EM79" s="78"/>
      <c r="EN79" s="78"/>
      <c r="EO79" s="78"/>
      <c r="EP79" s="78"/>
      <c r="EQ79" s="78"/>
      <c r="ER79" s="78"/>
      <c r="ES79" s="78"/>
      <c r="ET79" s="78"/>
      <c r="EU79" s="78"/>
      <c r="EV79" s="78"/>
      <c r="EW79" s="78"/>
      <c r="EX79" s="78"/>
      <c r="EY79" s="78"/>
      <c r="EZ79" s="78"/>
      <c r="FA79" s="78"/>
      <c r="FB79" s="78"/>
      <c r="FC79" s="78"/>
      <c r="FD79" s="78"/>
      <c r="FE79" s="452"/>
      <c r="FF79" s="452"/>
      <c r="FG79" s="452"/>
      <c r="FH79" s="452"/>
      <c r="FI79" s="452"/>
      <c r="FJ79" s="452"/>
      <c r="FK79" s="452"/>
      <c r="FL79" s="452"/>
      <c r="FM79" s="452"/>
      <c r="FN79" s="452"/>
      <c r="FO79" s="452"/>
      <c r="FP79" s="452"/>
      <c r="FQ79" s="452"/>
      <c r="FR79" s="452"/>
      <c r="FS79" s="452"/>
      <c r="FT79" s="452"/>
      <c r="FU79" s="452"/>
      <c r="FV79" s="452"/>
      <c r="FW79" s="452"/>
      <c r="FX79" s="452"/>
      <c r="FY79" s="452"/>
      <c r="FZ79" s="452"/>
      <c r="GA79" s="452"/>
      <c r="GB79" s="452"/>
      <c r="GC79" s="452"/>
      <c r="GD79" s="452"/>
      <c r="GE79" s="452"/>
      <c r="GF79" s="452"/>
      <c r="GG79" s="452"/>
      <c r="GH79" s="452"/>
      <c r="GI79" s="42"/>
    </row>
    <row r="80" spans="1:191" s="33" customFormat="1" ht="6.6" customHeight="1" x14ac:dyDescent="0.3">
      <c r="A80" s="367" t="s">
        <v>198</v>
      </c>
      <c r="B80" s="367"/>
      <c r="C80" s="367"/>
      <c r="D80" s="367"/>
      <c r="E80" s="367"/>
      <c r="F80" s="367"/>
      <c r="G80" s="367"/>
      <c r="H80" s="103"/>
      <c r="I80" s="103"/>
      <c r="J80" s="103"/>
      <c r="K80" s="103"/>
      <c r="L80" s="103"/>
      <c r="M80" s="103"/>
      <c r="N80" s="103"/>
      <c r="O80" s="103"/>
      <c r="P80" s="103"/>
      <c r="Q80" s="404" t="s">
        <v>99</v>
      </c>
      <c r="R80" s="404"/>
      <c r="S80" s="404"/>
      <c r="T80" s="404"/>
      <c r="U80" s="404"/>
      <c r="V80" s="404"/>
      <c r="W80" s="404"/>
      <c r="X80" s="404"/>
      <c r="Y80" s="404"/>
      <c r="Z80" s="404"/>
      <c r="AA80" s="404"/>
      <c r="AB80" s="404"/>
      <c r="AC80" s="404"/>
      <c r="AD80" s="404"/>
      <c r="AE80" s="404"/>
      <c r="AF80" s="404"/>
      <c r="AG80" s="404"/>
      <c r="AH80" s="404"/>
      <c r="AI80" s="404"/>
      <c r="AJ80" s="404"/>
      <c r="AK80" s="404"/>
      <c r="AL80" s="404"/>
      <c r="AM80" s="404"/>
      <c r="AN80" s="404"/>
      <c r="AO80" s="404"/>
      <c r="AP80" s="404"/>
      <c r="AQ80" s="404"/>
      <c r="AR80" s="404"/>
      <c r="AS80" s="404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  <c r="BM80" s="103"/>
      <c r="BN80" s="104"/>
      <c r="BO80" s="103"/>
      <c r="BP80" s="103"/>
      <c r="BQ80" s="103"/>
      <c r="BR80" s="103"/>
      <c r="BS80" s="103"/>
      <c r="BT80" s="103"/>
      <c r="BU80" s="103"/>
      <c r="BV80" s="103"/>
      <c r="BW80" s="103"/>
      <c r="BX80" s="103"/>
      <c r="BY80" s="103"/>
      <c r="BZ80" s="103"/>
      <c r="CA80" s="103"/>
      <c r="CB80" s="103"/>
      <c r="CC80" s="103"/>
      <c r="CD80" s="103"/>
      <c r="CE80" s="103"/>
      <c r="CF80" s="404" t="s">
        <v>99</v>
      </c>
      <c r="CG80" s="404"/>
      <c r="CH80" s="404"/>
      <c r="CI80" s="404"/>
      <c r="CJ80" s="404"/>
      <c r="CK80" s="404"/>
      <c r="CL80" s="404"/>
      <c r="CM80" s="404"/>
      <c r="CN80" s="404"/>
      <c r="CO80" s="404"/>
      <c r="CP80" s="404"/>
      <c r="CQ80" s="404"/>
      <c r="CR80" s="404"/>
      <c r="CS80" s="404"/>
      <c r="CT80" s="404"/>
      <c r="CU80" s="404"/>
      <c r="CV80" s="404"/>
      <c r="CW80" s="404"/>
      <c r="CX80" s="404"/>
      <c r="CY80" s="404"/>
      <c r="CZ80" s="404"/>
      <c r="DA80" s="404"/>
      <c r="DB80" s="404"/>
      <c r="DC80" s="103"/>
      <c r="DD80" s="103"/>
      <c r="DE80" s="103"/>
      <c r="DF80" s="103"/>
      <c r="DG80" s="103"/>
      <c r="DH80" s="103"/>
      <c r="DI80" s="103"/>
      <c r="DJ80" s="103"/>
      <c r="DK80" s="103"/>
      <c r="DL80" s="103"/>
      <c r="DM80" s="103"/>
      <c r="DN80" s="103"/>
      <c r="DO80" s="103"/>
      <c r="DP80" s="103"/>
      <c r="DQ80" s="103"/>
      <c r="DR80" s="103"/>
      <c r="DS80" s="103"/>
      <c r="DT80" s="103"/>
      <c r="DU80" s="103"/>
      <c r="DV80" s="103"/>
      <c r="DW80" s="103"/>
      <c r="DX80" s="103"/>
      <c r="DY80" s="103"/>
      <c r="DZ80" s="103"/>
      <c r="EA80" s="103"/>
      <c r="EB80" s="105"/>
      <c r="EC80" s="103"/>
      <c r="ED80" s="103"/>
      <c r="EE80" s="103"/>
      <c r="EF80" s="103"/>
      <c r="EG80" s="103"/>
      <c r="EH80" s="103"/>
      <c r="EI80" s="103"/>
      <c r="EJ80" s="103"/>
      <c r="EK80" s="103"/>
      <c r="EL80" s="103"/>
      <c r="EM80" s="103"/>
      <c r="EN80" s="103"/>
      <c r="EO80" s="103"/>
      <c r="EP80" s="103"/>
      <c r="EQ80" s="103"/>
      <c r="ER80" s="103"/>
      <c r="ES80" s="103"/>
      <c r="ET80" s="103"/>
      <c r="EU80" s="103"/>
      <c r="EV80" s="103"/>
      <c r="EW80" s="103"/>
      <c r="EX80" s="103"/>
      <c r="EY80" s="103"/>
      <c r="EZ80" s="103"/>
      <c r="FA80" s="103"/>
      <c r="FB80" s="103"/>
      <c r="FC80" s="103"/>
      <c r="FD80" s="103"/>
      <c r="FE80" s="103"/>
      <c r="FF80" s="103"/>
      <c r="FG80" s="103"/>
      <c r="FH80" s="103"/>
      <c r="FI80" s="103"/>
      <c r="FJ80" s="103"/>
      <c r="FK80" s="103"/>
      <c r="FL80" s="103"/>
      <c r="FM80" s="103"/>
      <c r="FN80" s="103"/>
      <c r="FO80" s="103"/>
      <c r="FP80" s="103"/>
      <c r="FQ80" s="103"/>
      <c r="FR80" s="103"/>
      <c r="FS80" s="103"/>
      <c r="FT80" s="103"/>
      <c r="FU80" s="103"/>
      <c r="FV80" s="103"/>
      <c r="FW80" s="103"/>
      <c r="FX80" s="103"/>
      <c r="FY80" s="103"/>
      <c r="FZ80" s="103"/>
      <c r="GA80" s="103"/>
      <c r="GB80" s="103"/>
      <c r="GC80" s="103"/>
      <c r="GD80" s="103"/>
      <c r="GE80" s="103"/>
      <c r="GF80" s="103"/>
      <c r="GG80" s="103"/>
      <c r="GH80" s="103"/>
      <c r="GI80" s="75"/>
    </row>
    <row r="81" spans="1:191" ht="10.199999999999999" customHeight="1" x14ac:dyDescent="0.3">
      <c r="A81" s="367"/>
      <c r="B81" s="367"/>
      <c r="C81" s="367"/>
      <c r="D81" s="367"/>
      <c r="E81" s="367"/>
      <c r="F81" s="367"/>
      <c r="G81" s="367"/>
      <c r="H81" s="256" t="str">
        <f>AB48</f>
        <v>Кладовщик</v>
      </c>
      <c r="I81" s="256"/>
      <c r="J81" s="256"/>
      <c r="K81" s="256"/>
      <c r="L81" s="256"/>
      <c r="M81" s="256"/>
      <c r="N81" s="256"/>
      <c r="O81" s="256"/>
      <c r="P81" s="256"/>
      <c r="Q81" s="256"/>
      <c r="R81" s="256"/>
      <c r="S81" s="256"/>
      <c r="T81" s="78"/>
      <c r="U81" s="350"/>
      <c r="V81" s="350"/>
      <c r="W81" s="350"/>
      <c r="X81" s="350"/>
      <c r="Y81" s="350"/>
      <c r="Z81" s="350"/>
      <c r="AA81" s="350"/>
      <c r="AB81" s="350"/>
      <c r="AC81" s="350"/>
      <c r="AD81" s="350"/>
      <c r="AE81" s="350"/>
      <c r="AF81" s="78"/>
      <c r="AG81" s="78"/>
      <c r="AH81" s="402" t="str">
        <f>BR48</f>
        <v>Петров С.Н.</v>
      </c>
      <c r="AI81" s="402"/>
      <c r="AJ81" s="402"/>
      <c r="AK81" s="402"/>
      <c r="AL81" s="402"/>
      <c r="AM81" s="402"/>
      <c r="AN81" s="402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98"/>
      <c r="BO81" s="78"/>
      <c r="BP81" s="367" t="s">
        <v>199</v>
      </c>
      <c r="BQ81" s="367"/>
      <c r="BR81" s="367"/>
      <c r="BS81" s="367"/>
      <c r="BT81" s="367"/>
      <c r="BU81" s="367"/>
      <c r="BV81" s="367"/>
      <c r="BW81" s="367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453"/>
      <c r="CQ81" s="453"/>
      <c r="CR81" s="453"/>
      <c r="CS81" s="453"/>
      <c r="CT81" s="453"/>
      <c r="CU81" s="453"/>
      <c r="CV81" s="453"/>
      <c r="CW81" s="453"/>
      <c r="CX81" s="453"/>
      <c r="CY81" s="453"/>
      <c r="CZ81" s="453"/>
      <c r="DA81" s="78"/>
      <c r="DB81" s="78"/>
      <c r="DC81" s="455" t="str">
        <f>FI42</f>
        <v>Сундеев В.И.</v>
      </c>
      <c r="DD81" s="455"/>
      <c r="DE81" s="455"/>
      <c r="DF81" s="455"/>
      <c r="DG81" s="455"/>
      <c r="DH81" s="455"/>
      <c r="DI81" s="455"/>
      <c r="DJ81" s="455"/>
      <c r="DK81" s="455"/>
      <c r="DL81" s="455"/>
      <c r="DM81" s="455"/>
      <c r="DN81" s="455"/>
      <c r="DO81" s="455"/>
      <c r="DP81" s="455"/>
      <c r="DQ81" s="455"/>
      <c r="DR81" s="455"/>
      <c r="DS81" s="455"/>
      <c r="DT81" s="455"/>
      <c r="DU81" s="455"/>
      <c r="DV81" s="455"/>
      <c r="DW81" s="455"/>
      <c r="DX81" s="455"/>
      <c r="DY81" s="80"/>
      <c r="DZ81" s="78"/>
      <c r="EA81" s="78"/>
      <c r="EB81" s="456" t="s">
        <v>200</v>
      </c>
      <c r="EC81" s="367"/>
      <c r="ED81" s="367"/>
      <c r="EE81" s="367"/>
      <c r="EF81" s="367"/>
      <c r="EG81" s="367"/>
      <c r="EH81" s="367"/>
      <c r="EI81" s="367"/>
      <c r="EJ81" s="367"/>
      <c r="EK81" s="367"/>
      <c r="EL81" s="367"/>
      <c r="EM81" s="367"/>
      <c r="EN81" s="367"/>
      <c r="EO81" s="367"/>
      <c r="EP81" s="367"/>
      <c r="EQ81" s="367"/>
      <c r="ER81" s="367"/>
      <c r="ES81" s="367"/>
      <c r="ET81" s="367"/>
      <c r="EU81" s="367"/>
      <c r="EV81" s="367"/>
      <c r="EW81" s="78"/>
      <c r="EX81" s="367"/>
      <c r="EY81" s="367"/>
      <c r="EZ81" s="367"/>
      <c r="FA81" s="367"/>
      <c r="FB81" s="367"/>
      <c r="FC81" s="367"/>
      <c r="FD81" s="367"/>
      <c r="FE81" s="367"/>
      <c r="FF81" s="367"/>
      <c r="FG81" s="367"/>
      <c r="FH81" s="367"/>
      <c r="FI81" s="367"/>
      <c r="FJ81" s="367"/>
      <c r="FK81" s="367"/>
      <c r="FL81" s="367"/>
      <c r="FM81" s="367"/>
      <c r="FN81" s="367"/>
      <c r="FO81" s="367"/>
      <c r="FP81" s="367"/>
      <c r="FQ81" s="367"/>
      <c r="FR81" s="367"/>
      <c r="FS81" s="367"/>
      <c r="FT81" s="367"/>
      <c r="FU81" s="367"/>
      <c r="FV81" s="367"/>
      <c r="FW81" s="367"/>
      <c r="FX81" s="367"/>
      <c r="FY81" s="367"/>
      <c r="FZ81" s="367"/>
      <c r="GA81" s="367"/>
      <c r="GB81" s="367"/>
      <c r="GC81" s="367"/>
      <c r="GD81" s="367"/>
      <c r="GE81" s="367"/>
      <c r="GF81" s="367"/>
      <c r="GG81" s="367"/>
      <c r="GH81" s="367"/>
      <c r="GI81" s="42"/>
    </row>
    <row r="82" spans="1:191" ht="3" customHeight="1" x14ac:dyDescent="0.3">
      <c r="A82" s="78"/>
      <c r="B82" s="78"/>
      <c r="C82" s="78"/>
      <c r="D82" s="78"/>
      <c r="E82" s="78"/>
      <c r="F82" s="78"/>
      <c r="G82" s="78"/>
      <c r="H82" s="78"/>
      <c r="I82" s="398" t="s">
        <v>121</v>
      </c>
      <c r="J82" s="398"/>
      <c r="K82" s="398"/>
      <c r="L82" s="398"/>
      <c r="M82" s="398"/>
      <c r="N82" s="398"/>
      <c r="O82" s="398"/>
      <c r="P82" s="398"/>
      <c r="Q82" s="398"/>
      <c r="R82" s="398"/>
      <c r="S82" s="106"/>
      <c r="T82" s="106"/>
      <c r="U82" s="404" t="s">
        <v>122</v>
      </c>
      <c r="V82" s="404"/>
      <c r="W82" s="404"/>
      <c r="X82" s="404"/>
      <c r="Y82" s="404"/>
      <c r="Z82" s="404"/>
      <c r="AA82" s="404"/>
      <c r="AB82" s="404"/>
      <c r="AC82" s="404"/>
      <c r="AD82" s="404"/>
      <c r="AE82" s="404"/>
      <c r="AF82" s="106"/>
      <c r="AG82" s="106"/>
      <c r="AH82" s="404" t="s">
        <v>126</v>
      </c>
      <c r="AI82" s="404"/>
      <c r="AJ82" s="404"/>
      <c r="AK82" s="404"/>
      <c r="AL82" s="404"/>
      <c r="AM82" s="404"/>
      <c r="AN82" s="404"/>
      <c r="AO82" s="404"/>
      <c r="AP82" s="404"/>
      <c r="AQ82" s="404"/>
      <c r="AR82" s="404"/>
      <c r="AS82" s="404"/>
      <c r="AT82" s="404"/>
      <c r="AU82" s="404"/>
      <c r="AV82" s="404"/>
      <c r="AW82" s="404"/>
      <c r="AX82" s="404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98"/>
      <c r="BO82" s="78"/>
      <c r="BP82" s="367"/>
      <c r="BQ82" s="367"/>
      <c r="BR82" s="367"/>
      <c r="BS82" s="367"/>
      <c r="BT82" s="367"/>
      <c r="BU82" s="367"/>
      <c r="BV82" s="367"/>
      <c r="BW82" s="367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/>
      <c r="CZ82" s="454"/>
      <c r="DA82" s="107"/>
      <c r="DB82" s="107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86"/>
      <c r="DZ82" s="78"/>
      <c r="EA82" s="78"/>
      <c r="EB82" s="456"/>
      <c r="EC82" s="367"/>
      <c r="ED82" s="367"/>
      <c r="EE82" s="367"/>
      <c r="EF82" s="367"/>
      <c r="EG82" s="367"/>
      <c r="EH82" s="367"/>
      <c r="EI82" s="367"/>
      <c r="EJ82" s="367"/>
      <c r="EK82" s="367"/>
      <c r="EL82" s="367"/>
      <c r="EM82" s="367"/>
      <c r="EN82" s="367"/>
      <c r="EO82" s="367"/>
      <c r="EP82" s="367"/>
      <c r="EQ82" s="367"/>
      <c r="ER82" s="367"/>
      <c r="ES82" s="367"/>
      <c r="ET82" s="367"/>
      <c r="EU82" s="367"/>
      <c r="EV82" s="367"/>
      <c r="EW82" s="78"/>
      <c r="EX82" s="367"/>
      <c r="EY82" s="367"/>
      <c r="EZ82" s="367"/>
      <c r="FA82" s="367"/>
      <c r="FB82" s="367"/>
      <c r="FC82" s="367"/>
      <c r="FD82" s="367"/>
      <c r="FE82" s="367"/>
      <c r="FF82" s="367"/>
      <c r="FG82" s="367"/>
      <c r="FH82" s="367"/>
      <c r="FI82" s="367"/>
      <c r="FJ82" s="367"/>
      <c r="FK82" s="367"/>
      <c r="FL82" s="367"/>
      <c r="FM82" s="367"/>
      <c r="FN82" s="367"/>
      <c r="FO82" s="367"/>
      <c r="FP82" s="367"/>
      <c r="FQ82" s="367"/>
      <c r="FR82" s="367"/>
      <c r="FS82" s="367"/>
      <c r="FT82" s="367"/>
      <c r="FU82" s="367"/>
      <c r="FV82" s="367"/>
      <c r="FW82" s="367"/>
      <c r="FX82" s="367"/>
      <c r="FY82" s="367"/>
      <c r="FZ82" s="367"/>
      <c r="GA82" s="367"/>
      <c r="GB82" s="367"/>
      <c r="GC82" s="367"/>
      <c r="GD82" s="367"/>
      <c r="GE82" s="367"/>
      <c r="GF82" s="367"/>
      <c r="GG82" s="367"/>
      <c r="GH82" s="367"/>
      <c r="GI82" s="42"/>
    </row>
    <row r="83" spans="1:191" ht="2.4" customHeight="1" x14ac:dyDescent="0.3">
      <c r="A83" s="78"/>
      <c r="B83" s="78"/>
      <c r="C83" s="78"/>
      <c r="D83" s="78"/>
      <c r="E83" s="78"/>
      <c r="F83" s="78"/>
      <c r="G83" s="78"/>
      <c r="H83" s="78"/>
      <c r="I83" s="398"/>
      <c r="J83" s="398"/>
      <c r="K83" s="398"/>
      <c r="L83" s="398"/>
      <c r="M83" s="398"/>
      <c r="N83" s="398"/>
      <c r="O83" s="398"/>
      <c r="P83" s="398"/>
      <c r="Q83" s="398"/>
      <c r="R83" s="398"/>
      <c r="S83" s="96"/>
      <c r="T83" s="96"/>
      <c r="U83" s="398"/>
      <c r="V83" s="398"/>
      <c r="W83" s="398"/>
      <c r="X83" s="398"/>
      <c r="Y83" s="398"/>
      <c r="Z83" s="398"/>
      <c r="AA83" s="398"/>
      <c r="AB83" s="398"/>
      <c r="AC83" s="398"/>
      <c r="AD83" s="398"/>
      <c r="AE83" s="398"/>
      <c r="AF83" s="96"/>
      <c r="AG83" s="96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  <c r="AR83" s="398"/>
      <c r="AS83" s="398"/>
      <c r="AT83" s="398"/>
      <c r="AU83" s="398"/>
      <c r="AV83" s="398"/>
      <c r="AW83" s="398"/>
      <c r="AX83" s="39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9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86"/>
      <c r="CM83" s="86"/>
      <c r="CN83" s="86"/>
      <c r="CO83" s="86"/>
      <c r="CP83" s="404" t="s">
        <v>122</v>
      </c>
      <c r="CQ83" s="404"/>
      <c r="CR83" s="404"/>
      <c r="CS83" s="404"/>
      <c r="CT83" s="404"/>
      <c r="CU83" s="404"/>
      <c r="CV83" s="404"/>
      <c r="CW83" s="404"/>
      <c r="CX83" s="404"/>
      <c r="CY83" s="404"/>
      <c r="CZ83" s="404"/>
      <c r="DA83" s="96"/>
      <c r="DB83" s="96"/>
      <c r="DC83" s="404" t="s">
        <v>126</v>
      </c>
      <c r="DD83" s="404"/>
      <c r="DE83" s="404"/>
      <c r="DF83" s="404"/>
      <c r="DG83" s="404"/>
      <c r="DH83" s="404"/>
      <c r="DI83" s="404"/>
      <c r="DJ83" s="404"/>
      <c r="DK83" s="404"/>
      <c r="DL83" s="404"/>
      <c r="DM83" s="404"/>
      <c r="DN83" s="404"/>
      <c r="DO83" s="404"/>
      <c r="DP83" s="404"/>
      <c r="DQ83" s="404"/>
      <c r="DR83" s="404"/>
      <c r="DS83" s="404"/>
      <c r="DT83" s="404"/>
      <c r="DU83" s="404"/>
      <c r="DV83" s="404"/>
      <c r="DW83" s="404"/>
      <c r="DX83" s="404"/>
      <c r="DY83" s="86"/>
      <c r="DZ83" s="78"/>
      <c r="EA83" s="78"/>
      <c r="EB83" s="456"/>
      <c r="EC83" s="367"/>
      <c r="ED83" s="367"/>
      <c r="EE83" s="367"/>
      <c r="EF83" s="367"/>
      <c r="EG83" s="367"/>
      <c r="EH83" s="367"/>
      <c r="EI83" s="367"/>
      <c r="EJ83" s="367"/>
      <c r="EK83" s="367"/>
      <c r="EL83" s="367"/>
      <c r="EM83" s="367"/>
      <c r="EN83" s="367"/>
      <c r="EO83" s="367"/>
      <c r="EP83" s="367"/>
      <c r="EQ83" s="367"/>
      <c r="ER83" s="367"/>
      <c r="ES83" s="367"/>
      <c r="ET83" s="367"/>
      <c r="EU83" s="367"/>
      <c r="EV83" s="367"/>
      <c r="EW83" s="78"/>
      <c r="EX83" s="457"/>
      <c r="EY83" s="457"/>
      <c r="EZ83" s="457"/>
      <c r="FA83" s="457"/>
      <c r="FB83" s="457"/>
      <c r="FC83" s="457"/>
      <c r="FD83" s="457"/>
      <c r="FE83" s="457"/>
      <c r="FF83" s="457"/>
      <c r="FG83" s="457"/>
      <c r="FH83" s="457"/>
      <c r="FI83" s="457"/>
      <c r="FJ83" s="457"/>
      <c r="FK83" s="457"/>
      <c r="FL83" s="457"/>
      <c r="FM83" s="457"/>
      <c r="FN83" s="457"/>
      <c r="FO83" s="457"/>
      <c r="FP83" s="457"/>
      <c r="FQ83" s="457"/>
      <c r="FR83" s="457"/>
      <c r="FS83" s="457"/>
      <c r="FT83" s="457"/>
      <c r="FU83" s="457"/>
      <c r="FV83" s="457"/>
      <c r="FW83" s="457"/>
      <c r="FX83" s="457"/>
      <c r="FY83" s="457"/>
      <c r="FZ83" s="457"/>
      <c r="GA83" s="457"/>
      <c r="GB83" s="457"/>
      <c r="GC83" s="457"/>
      <c r="GD83" s="457"/>
      <c r="GE83" s="457"/>
      <c r="GF83" s="457"/>
      <c r="GG83" s="457"/>
      <c r="GH83" s="457"/>
      <c r="GI83" s="42"/>
    </row>
    <row r="84" spans="1:191" ht="2.4" customHeight="1" x14ac:dyDescent="0.3">
      <c r="A84" s="367" t="s">
        <v>201</v>
      </c>
      <c r="B84" s="367"/>
      <c r="C84" s="367"/>
      <c r="D84" s="367"/>
      <c r="E84" s="367"/>
      <c r="F84" s="367"/>
      <c r="G84" s="367"/>
      <c r="H84" s="367"/>
      <c r="I84" s="367"/>
      <c r="J84" s="367"/>
      <c r="K84" s="367"/>
      <c r="L84" s="367"/>
      <c r="M84" s="367"/>
      <c r="N84" s="367"/>
      <c r="O84" s="367"/>
      <c r="P84" s="367"/>
      <c r="Q84" s="367"/>
      <c r="R84" s="367"/>
      <c r="S84" s="367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9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398"/>
      <c r="CQ84" s="398"/>
      <c r="CR84" s="398"/>
      <c r="CS84" s="398"/>
      <c r="CT84" s="398"/>
      <c r="CU84" s="398"/>
      <c r="CV84" s="398"/>
      <c r="CW84" s="398"/>
      <c r="CX84" s="398"/>
      <c r="CY84" s="398"/>
      <c r="CZ84" s="398"/>
      <c r="DA84" s="96"/>
      <c r="DB84" s="96"/>
      <c r="DC84" s="398"/>
      <c r="DD84" s="398"/>
      <c r="DE84" s="398"/>
      <c r="DF84" s="398"/>
      <c r="DG84" s="398"/>
      <c r="DH84" s="398"/>
      <c r="DI84" s="398"/>
      <c r="DJ84" s="398"/>
      <c r="DK84" s="398"/>
      <c r="DL84" s="398"/>
      <c r="DM84" s="398"/>
      <c r="DN84" s="398"/>
      <c r="DO84" s="398"/>
      <c r="DP84" s="398"/>
      <c r="DQ84" s="398"/>
      <c r="DR84" s="398"/>
      <c r="DS84" s="398"/>
      <c r="DT84" s="398"/>
      <c r="DU84" s="398"/>
      <c r="DV84" s="398"/>
      <c r="DW84" s="398"/>
      <c r="DX84" s="398"/>
      <c r="DY84" s="78"/>
      <c r="DZ84" s="78"/>
      <c r="EA84" s="78"/>
      <c r="EB84" s="102"/>
      <c r="EC84" s="367"/>
      <c r="ED84" s="367"/>
      <c r="EE84" s="367"/>
      <c r="EF84" s="367"/>
      <c r="EG84" s="367"/>
      <c r="EH84" s="367"/>
      <c r="EI84" s="367"/>
      <c r="EJ84" s="367"/>
      <c r="EK84" s="367"/>
      <c r="EL84" s="367"/>
      <c r="EM84" s="367"/>
      <c r="EN84" s="367"/>
      <c r="EO84" s="367"/>
      <c r="EP84" s="367"/>
      <c r="EQ84" s="367"/>
      <c r="ER84" s="367"/>
      <c r="ES84" s="367"/>
      <c r="ET84" s="367"/>
      <c r="EU84" s="367"/>
      <c r="EV84" s="367"/>
      <c r="EW84" s="367"/>
      <c r="EX84" s="367"/>
      <c r="EY84" s="367"/>
      <c r="EZ84" s="367"/>
      <c r="FA84" s="367"/>
      <c r="FB84" s="367"/>
      <c r="FC84" s="367"/>
      <c r="FD84" s="367"/>
      <c r="FE84" s="367"/>
      <c r="FF84" s="367"/>
      <c r="FG84" s="367"/>
      <c r="FH84" s="367"/>
      <c r="FI84" s="367"/>
      <c r="FJ84" s="367"/>
      <c r="FK84" s="367"/>
      <c r="FL84" s="367"/>
      <c r="FM84" s="367"/>
      <c r="FN84" s="367"/>
      <c r="FO84" s="367"/>
      <c r="FP84" s="367"/>
      <c r="FQ84" s="367"/>
      <c r="FR84" s="367"/>
      <c r="FS84" s="367"/>
      <c r="FT84" s="367"/>
      <c r="FU84" s="367"/>
      <c r="FV84" s="367"/>
      <c r="FW84" s="367"/>
      <c r="FX84" s="367"/>
      <c r="FY84" s="367"/>
      <c r="FZ84" s="367"/>
      <c r="GA84" s="367"/>
      <c r="GB84" s="367"/>
      <c r="GC84" s="367"/>
      <c r="GD84" s="367"/>
      <c r="GE84" s="367"/>
      <c r="GF84" s="367"/>
      <c r="GG84" s="367"/>
      <c r="GH84" s="367"/>
      <c r="GI84" s="42"/>
    </row>
    <row r="85" spans="1:191" x14ac:dyDescent="0.3">
      <c r="A85" s="367"/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108"/>
      <c r="BD85" s="108"/>
      <c r="BE85" s="458" t="s">
        <v>202</v>
      </c>
      <c r="BF85" s="458"/>
      <c r="BG85" s="458"/>
      <c r="BH85" s="458"/>
      <c r="BI85" s="458"/>
      <c r="BJ85" s="458"/>
      <c r="BK85" s="458"/>
      <c r="BL85" s="458"/>
      <c r="BM85" s="458"/>
      <c r="BN85" s="98"/>
      <c r="BO85" s="78"/>
      <c r="BP85" s="78"/>
      <c r="BQ85" s="78"/>
      <c r="BR85" s="78"/>
      <c r="BS85" s="78"/>
      <c r="BT85" s="78"/>
      <c r="BU85" s="78"/>
      <c r="BV85" s="78"/>
      <c r="BW85" s="78"/>
      <c r="BX85" s="78"/>
      <c r="BY85" s="78"/>
      <c r="BZ85" s="78"/>
      <c r="CA85" s="78"/>
      <c r="CB85" s="78"/>
      <c r="CC85" s="78"/>
      <c r="CD85" s="78"/>
      <c r="CE85" s="78"/>
      <c r="CF85" s="78"/>
      <c r="CG85" s="78"/>
      <c r="CH85" s="78"/>
      <c r="CI85" s="78"/>
      <c r="CJ85" s="78"/>
      <c r="CK85" s="78"/>
      <c r="CL85" s="78"/>
      <c r="CM85" s="78"/>
      <c r="CN85" s="78"/>
      <c r="CO85" s="78"/>
      <c r="CP85" s="78"/>
      <c r="CQ85" s="78"/>
      <c r="CR85" s="78"/>
      <c r="CS85" s="78"/>
      <c r="CT85" s="78"/>
      <c r="CU85" s="78"/>
      <c r="CV85" s="78"/>
      <c r="CW85" s="78"/>
      <c r="CX85" s="78"/>
      <c r="CY85" s="78"/>
      <c r="CZ85" s="78"/>
      <c r="DA85" s="78"/>
      <c r="DB85" s="78"/>
      <c r="DC85" s="78"/>
      <c r="DD85" s="78"/>
      <c r="DE85" s="78"/>
      <c r="DF85" s="78"/>
      <c r="DG85" s="78"/>
      <c r="DH85" s="78"/>
      <c r="DI85" s="78"/>
      <c r="DJ85" s="78"/>
      <c r="DK85" s="78"/>
      <c r="DL85" s="78"/>
      <c r="DM85" s="78"/>
      <c r="DN85" s="78"/>
      <c r="DO85" s="78"/>
      <c r="DP85" s="78"/>
      <c r="DQ85" s="78"/>
      <c r="DR85" s="458" t="s">
        <v>202</v>
      </c>
      <c r="DS85" s="458"/>
      <c r="DT85" s="458"/>
      <c r="DU85" s="458"/>
      <c r="DV85" s="458"/>
      <c r="DW85" s="458"/>
      <c r="DX85" s="458"/>
      <c r="DY85" s="458"/>
      <c r="DZ85" s="458"/>
      <c r="EA85" s="78"/>
      <c r="EB85" s="102"/>
      <c r="EC85" s="457"/>
      <c r="ED85" s="457"/>
      <c r="EE85" s="457"/>
      <c r="EF85" s="457"/>
      <c r="EG85" s="457"/>
      <c r="EH85" s="457"/>
      <c r="EI85" s="457"/>
      <c r="EJ85" s="457"/>
      <c r="EK85" s="457"/>
      <c r="EL85" s="457"/>
      <c r="EM85" s="457"/>
      <c r="EN85" s="457"/>
      <c r="EO85" s="457"/>
      <c r="EP85" s="457"/>
      <c r="EQ85" s="457"/>
      <c r="ER85" s="457"/>
      <c r="ES85" s="457"/>
      <c r="ET85" s="457"/>
      <c r="EU85" s="457"/>
      <c r="EV85" s="457"/>
      <c r="EW85" s="457"/>
      <c r="EX85" s="457"/>
      <c r="EY85" s="457"/>
      <c r="EZ85" s="457"/>
      <c r="FA85" s="457"/>
      <c r="FB85" s="457"/>
      <c r="FC85" s="457"/>
      <c r="FD85" s="457"/>
      <c r="FE85" s="457"/>
      <c r="FF85" s="457"/>
      <c r="FG85" s="457"/>
      <c r="FH85" s="457"/>
      <c r="FI85" s="457"/>
      <c r="FJ85" s="457"/>
      <c r="FK85" s="457"/>
      <c r="FL85" s="457"/>
      <c r="FM85" s="457"/>
      <c r="FN85" s="457"/>
      <c r="FO85" s="457"/>
      <c r="FP85" s="457"/>
      <c r="FQ85" s="457"/>
      <c r="FR85" s="457"/>
      <c r="FS85" s="457"/>
      <c r="FT85" s="457"/>
      <c r="FU85" s="457"/>
      <c r="FV85" s="457"/>
      <c r="FW85" s="457"/>
      <c r="FX85" s="457"/>
      <c r="FY85" s="457"/>
      <c r="FZ85" s="457"/>
      <c r="GA85" s="457"/>
      <c r="GB85" s="457"/>
      <c r="GC85" s="457"/>
      <c r="GD85" s="457"/>
      <c r="GE85" s="457"/>
      <c r="GF85" s="457"/>
      <c r="GG85" s="457"/>
      <c r="GH85" s="457"/>
      <c r="GI85" s="42"/>
    </row>
    <row r="86" spans="1:191" ht="11.4" customHeight="1" x14ac:dyDescent="0.3">
      <c r="A86" s="78" t="s">
        <v>203</v>
      </c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350"/>
      <c r="O86" s="350"/>
      <c r="P86" s="350"/>
      <c r="Q86" s="350"/>
      <c r="R86" s="350"/>
      <c r="S86" s="350"/>
      <c r="T86" s="350"/>
      <c r="U86" s="350"/>
      <c r="V86" s="350"/>
      <c r="W86" s="350"/>
      <c r="X86" s="350"/>
      <c r="Y86" s="78"/>
      <c r="Z86" s="78"/>
      <c r="AA86" s="402" t="str">
        <f>FI42</f>
        <v>Сундеев В.И.</v>
      </c>
      <c r="AB86" s="402"/>
      <c r="AC86" s="402"/>
      <c r="AD86" s="402"/>
      <c r="AE86" s="402"/>
      <c r="AF86" s="402"/>
      <c r="AG86" s="402"/>
      <c r="AH86" s="402"/>
      <c r="AI86" s="402"/>
      <c r="AJ86" s="402"/>
      <c r="AK86" s="402"/>
      <c r="AL86" s="402"/>
      <c r="AM86" s="402"/>
      <c r="AN86" s="402"/>
      <c r="AO86" s="402"/>
      <c r="AP86" s="402"/>
      <c r="AQ86" s="402"/>
      <c r="AR86" s="402"/>
      <c r="AS86" s="402"/>
      <c r="AT86" s="402"/>
      <c r="AU86" s="402"/>
      <c r="AV86" s="402"/>
      <c r="AW86" s="78"/>
      <c r="AX86" s="78"/>
      <c r="AY86" s="78"/>
      <c r="AZ86" s="78"/>
      <c r="BA86" s="78"/>
      <c r="BB86" s="78"/>
      <c r="BC86" s="108"/>
      <c r="BD86" s="108"/>
      <c r="BE86" s="458"/>
      <c r="BF86" s="458"/>
      <c r="BG86" s="458"/>
      <c r="BH86" s="458"/>
      <c r="BI86" s="458"/>
      <c r="BJ86" s="458"/>
      <c r="BK86" s="458"/>
      <c r="BL86" s="458"/>
      <c r="BM86" s="458"/>
      <c r="BN86" s="98"/>
      <c r="BO86" s="78"/>
      <c r="BP86" s="78" t="s">
        <v>204</v>
      </c>
      <c r="BQ86" s="78"/>
      <c r="BR86" s="78"/>
      <c r="BS86" s="78"/>
      <c r="BT86" s="78"/>
      <c r="BU86" s="78"/>
      <c r="BV86" s="78"/>
      <c r="BW86" s="78"/>
      <c r="BX86" s="78"/>
      <c r="BY86" s="362"/>
      <c r="BZ86" s="362"/>
      <c r="CA86" s="362"/>
      <c r="CB86" s="362"/>
      <c r="CC86" s="362"/>
      <c r="CD86" s="362"/>
      <c r="CE86" s="362"/>
      <c r="CF86" s="362"/>
      <c r="CG86" s="362"/>
      <c r="CH86" s="362"/>
      <c r="CI86" s="362"/>
      <c r="CJ86" s="362"/>
      <c r="CK86" s="362"/>
      <c r="CL86" s="78"/>
      <c r="CM86" s="362"/>
      <c r="CN86" s="362"/>
      <c r="CO86" s="362"/>
      <c r="CP86" s="362"/>
      <c r="CQ86" s="362"/>
      <c r="CR86" s="362"/>
      <c r="CS86" s="362"/>
      <c r="CT86" s="362"/>
      <c r="CU86" s="362"/>
      <c r="CV86" s="362"/>
      <c r="CW86" s="362"/>
      <c r="CX86" s="362"/>
      <c r="CY86" s="78"/>
      <c r="CZ86" s="362"/>
      <c r="DA86" s="362"/>
      <c r="DB86" s="362"/>
      <c r="DC86" s="362"/>
      <c r="DD86" s="362"/>
      <c r="DE86" s="362"/>
      <c r="DF86" s="362"/>
      <c r="DG86" s="362"/>
      <c r="DH86" s="362"/>
      <c r="DI86" s="362"/>
      <c r="DJ86" s="362"/>
      <c r="DK86" s="362"/>
      <c r="DL86" s="362"/>
      <c r="DM86" s="362"/>
      <c r="DN86" s="362"/>
      <c r="DO86" s="362"/>
      <c r="DP86" s="362"/>
      <c r="DQ86" s="109"/>
      <c r="DR86" s="458"/>
      <c r="DS86" s="458"/>
      <c r="DT86" s="458"/>
      <c r="DU86" s="458"/>
      <c r="DV86" s="458"/>
      <c r="DW86" s="458"/>
      <c r="DX86" s="458"/>
      <c r="DY86" s="458"/>
      <c r="DZ86" s="458"/>
      <c r="EA86" s="109"/>
      <c r="EB86" s="102"/>
      <c r="EC86" s="459"/>
      <c r="ED86" s="459"/>
      <c r="EE86" s="459"/>
      <c r="EF86" s="459"/>
      <c r="EG86" s="459"/>
      <c r="EH86" s="459"/>
      <c r="EI86" s="459"/>
      <c r="EJ86" s="459"/>
      <c r="EK86" s="459"/>
      <c r="EL86" s="459"/>
      <c r="EM86" s="459"/>
      <c r="EN86" s="459"/>
      <c r="EO86" s="459"/>
      <c r="EP86" s="459"/>
      <c r="EQ86" s="459"/>
      <c r="ER86" s="459"/>
      <c r="ES86" s="459"/>
      <c r="ET86" s="459"/>
      <c r="EU86" s="459"/>
      <c r="EV86" s="459"/>
      <c r="EW86" s="459"/>
      <c r="EX86" s="459"/>
      <c r="EY86" s="459"/>
      <c r="EZ86" s="459"/>
      <c r="FA86" s="459"/>
      <c r="FB86" s="459"/>
      <c r="FC86" s="459"/>
      <c r="FD86" s="459"/>
      <c r="FE86" s="459"/>
      <c r="FF86" s="459"/>
      <c r="FG86" s="459"/>
      <c r="FH86" s="459"/>
      <c r="FI86" s="459"/>
      <c r="FJ86" s="459"/>
      <c r="FK86" s="459"/>
      <c r="FL86" s="459"/>
      <c r="FM86" s="459"/>
      <c r="FN86" s="459"/>
      <c r="FO86" s="459"/>
      <c r="FP86" s="459"/>
      <c r="FQ86" s="459"/>
      <c r="FR86" s="459"/>
      <c r="FS86" s="459"/>
      <c r="FT86" s="459"/>
      <c r="FU86" s="459"/>
      <c r="FV86" s="459"/>
      <c r="FW86" s="459"/>
      <c r="FX86" s="459"/>
      <c r="FY86" s="459"/>
      <c r="FZ86" s="459"/>
      <c r="GA86" s="459"/>
      <c r="GB86" s="459"/>
      <c r="GC86" s="459"/>
      <c r="GD86" s="459"/>
      <c r="GE86" s="459"/>
      <c r="GF86" s="459"/>
      <c r="GG86" s="459"/>
      <c r="GH86" s="459"/>
      <c r="GI86" s="42"/>
    </row>
    <row r="87" spans="1:191" s="62" customFormat="1" ht="4.2" customHeight="1" x14ac:dyDescent="0.3">
      <c r="A87" s="96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389" t="s">
        <v>122</v>
      </c>
      <c r="O87" s="389"/>
      <c r="P87" s="389"/>
      <c r="Q87" s="389"/>
      <c r="R87" s="389"/>
      <c r="S87" s="389"/>
      <c r="T87" s="389"/>
      <c r="U87" s="389"/>
      <c r="V87" s="389"/>
      <c r="W87" s="389"/>
      <c r="X87" s="389"/>
      <c r="Y87" s="106"/>
      <c r="Z87" s="106"/>
      <c r="AA87" s="389"/>
      <c r="AB87" s="389"/>
      <c r="AC87" s="389"/>
      <c r="AD87" s="389"/>
      <c r="AE87" s="389"/>
      <c r="AF87" s="389"/>
      <c r="AG87" s="389"/>
      <c r="AH87" s="389"/>
      <c r="AI87" s="389"/>
      <c r="AJ87" s="389"/>
      <c r="AK87" s="389"/>
      <c r="AL87" s="389"/>
      <c r="AM87" s="389"/>
      <c r="AN87" s="389"/>
      <c r="AO87" s="389"/>
      <c r="AP87" s="389"/>
      <c r="AQ87" s="389"/>
      <c r="AR87" s="389"/>
      <c r="AS87" s="389"/>
      <c r="AT87" s="389"/>
      <c r="AU87" s="389"/>
      <c r="AV87" s="389"/>
      <c r="AW87" s="96"/>
      <c r="AX87" s="96"/>
      <c r="AY87" s="96"/>
      <c r="AZ87" s="96"/>
      <c r="BA87" s="96"/>
      <c r="BB87" s="96"/>
      <c r="BC87" s="110"/>
      <c r="BD87" s="110"/>
      <c r="BE87" s="458"/>
      <c r="BF87" s="458"/>
      <c r="BG87" s="458"/>
      <c r="BH87" s="458"/>
      <c r="BI87" s="458"/>
      <c r="BJ87" s="458"/>
      <c r="BK87" s="458"/>
      <c r="BL87" s="458"/>
      <c r="BM87" s="458"/>
      <c r="BN87" s="111"/>
      <c r="BO87" s="96"/>
      <c r="BP87" s="96"/>
      <c r="BQ87" s="96"/>
      <c r="BR87" s="96"/>
      <c r="BS87" s="96"/>
      <c r="BT87" s="96"/>
      <c r="BU87" s="96"/>
      <c r="BV87" s="96"/>
      <c r="BW87" s="96"/>
      <c r="BX87" s="96"/>
      <c r="BY87" s="461" t="s">
        <v>121</v>
      </c>
      <c r="BZ87" s="461"/>
      <c r="CA87" s="461"/>
      <c r="CB87" s="461"/>
      <c r="CC87" s="461"/>
      <c r="CD87" s="461"/>
      <c r="CE87" s="461"/>
      <c r="CF87" s="461"/>
      <c r="CG87" s="461"/>
      <c r="CH87" s="461"/>
      <c r="CI87" s="461"/>
      <c r="CJ87" s="461"/>
      <c r="CK87" s="461"/>
      <c r="CL87" s="106"/>
      <c r="CM87" s="461" t="s">
        <v>122</v>
      </c>
      <c r="CN87" s="461"/>
      <c r="CO87" s="461"/>
      <c r="CP87" s="461"/>
      <c r="CQ87" s="461"/>
      <c r="CR87" s="461"/>
      <c r="CS87" s="461"/>
      <c r="CT87" s="461"/>
      <c r="CU87" s="461"/>
      <c r="CV87" s="461"/>
      <c r="CW87" s="461"/>
      <c r="CX87" s="461"/>
      <c r="CY87" s="106"/>
      <c r="CZ87" s="461" t="s">
        <v>126</v>
      </c>
      <c r="DA87" s="461"/>
      <c r="DB87" s="461"/>
      <c r="DC87" s="461"/>
      <c r="DD87" s="461"/>
      <c r="DE87" s="461"/>
      <c r="DF87" s="461"/>
      <c r="DG87" s="461"/>
      <c r="DH87" s="461"/>
      <c r="DI87" s="461"/>
      <c r="DJ87" s="461"/>
      <c r="DK87" s="461"/>
      <c r="DL87" s="461"/>
      <c r="DM87" s="461"/>
      <c r="DN87" s="461"/>
      <c r="DO87" s="461"/>
      <c r="DP87" s="461"/>
      <c r="DQ87" s="112"/>
      <c r="DR87" s="458"/>
      <c r="DS87" s="458"/>
      <c r="DT87" s="458"/>
      <c r="DU87" s="458"/>
      <c r="DV87" s="458"/>
      <c r="DW87" s="458"/>
      <c r="DX87" s="458"/>
      <c r="DY87" s="458"/>
      <c r="DZ87" s="458"/>
      <c r="EA87" s="112"/>
      <c r="EB87" s="113"/>
      <c r="EC87" s="367"/>
      <c r="ED87" s="367"/>
      <c r="EE87" s="367"/>
      <c r="EF87" s="367"/>
      <c r="EG87" s="367"/>
      <c r="EH87" s="367"/>
      <c r="EI87" s="367"/>
      <c r="EJ87" s="367"/>
      <c r="EK87" s="367"/>
      <c r="EL87" s="367"/>
      <c r="EM87" s="367"/>
      <c r="EN87" s="367"/>
      <c r="EO87" s="367"/>
      <c r="EP87" s="367"/>
      <c r="EQ87" s="367"/>
      <c r="ER87" s="367"/>
      <c r="ES87" s="367"/>
      <c r="ET87" s="367"/>
      <c r="EU87" s="367"/>
      <c r="EV87" s="367"/>
      <c r="EW87" s="367"/>
      <c r="EX87" s="367"/>
      <c r="EY87" s="367"/>
      <c r="EZ87" s="367"/>
      <c r="FA87" s="367"/>
      <c r="FB87" s="367"/>
      <c r="FC87" s="367"/>
      <c r="FD87" s="367"/>
      <c r="FE87" s="367"/>
      <c r="FF87" s="367"/>
      <c r="FG87" s="367"/>
      <c r="FH87" s="367"/>
      <c r="FI87" s="367"/>
      <c r="FJ87" s="367"/>
      <c r="FK87" s="367"/>
      <c r="FL87" s="367"/>
      <c r="FM87" s="367"/>
      <c r="FN87" s="367"/>
      <c r="FO87" s="367"/>
      <c r="FP87" s="367"/>
      <c r="FQ87" s="367"/>
      <c r="FR87" s="367"/>
      <c r="FS87" s="367"/>
      <c r="FT87" s="367"/>
      <c r="FU87" s="367"/>
      <c r="FV87" s="367"/>
      <c r="FW87" s="367"/>
      <c r="FX87" s="367"/>
      <c r="FY87" s="367"/>
      <c r="FZ87" s="367"/>
      <c r="GA87" s="367"/>
      <c r="GB87" s="367"/>
      <c r="GC87" s="367"/>
      <c r="GD87" s="367"/>
      <c r="GE87" s="367"/>
      <c r="GF87" s="367"/>
      <c r="GG87" s="367"/>
      <c r="GH87" s="367"/>
      <c r="GI87" s="61"/>
    </row>
    <row r="88" spans="1:191" ht="4.2" customHeight="1" x14ac:dyDescent="0.3">
      <c r="A88" s="78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390"/>
      <c r="O88" s="390"/>
      <c r="P88" s="390"/>
      <c r="Q88" s="390"/>
      <c r="R88" s="390"/>
      <c r="S88" s="390"/>
      <c r="T88" s="390"/>
      <c r="U88" s="390"/>
      <c r="V88" s="390"/>
      <c r="W88" s="390"/>
      <c r="X88" s="390"/>
      <c r="Y88" s="114"/>
      <c r="Z88" s="114"/>
      <c r="AA88" s="390"/>
      <c r="AB88" s="390"/>
      <c r="AC88" s="390"/>
      <c r="AD88" s="390"/>
      <c r="AE88" s="390"/>
      <c r="AF88" s="390"/>
      <c r="AG88" s="390"/>
      <c r="AH88" s="390"/>
      <c r="AI88" s="390"/>
      <c r="AJ88" s="390"/>
      <c r="AK88" s="390"/>
      <c r="AL88" s="390"/>
      <c r="AM88" s="390"/>
      <c r="AN88" s="390"/>
      <c r="AO88" s="390"/>
      <c r="AP88" s="390"/>
      <c r="AQ88" s="390"/>
      <c r="AR88" s="390"/>
      <c r="AS88" s="390"/>
      <c r="AT88" s="390"/>
      <c r="AU88" s="390"/>
      <c r="AV88" s="390"/>
      <c r="AW88" s="78"/>
      <c r="AX88" s="78"/>
      <c r="AY88" s="78"/>
      <c r="AZ88" s="78"/>
      <c r="BA88" s="78"/>
      <c r="BB88" s="78"/>
      <c r="BC88" s="108"/>
      <c r="BD88" s="108"/>
      <c r="BE88" s="458"/>
      <c r="BF88" s="458"/>
      <c r="BG88" s="458"/>
      <c r="BH88" s="458"/>
      <c r="BI88" s="458"/>
      <c r="BJ88" s="458"/>
      <c r="BK88" s="458"/>
      <c r="BL88" s="458"/>
      <c r="BM88" s="45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462"/>
      <c r="BZ88" s="462"/>
      <c r="CA88" s="462"/>
      <c r="CB88" s="462"/>
      <c r="CC88" s="462"/>
      <c r="CD88" s="462"/>
      <c r="CE88" s="462"/>
      <c r="CF88" s="462"/>
      <c r="CG88" s="462"/>
      <c r="CH88" s="462"/>
      <c r="CI88" s="462"/>
      <c r="CJ88" s="462"/>
      <c r="CK88" s="462"/>
      <c r="CL88" s="114"/>
      <c r="CM88" s="462"/>
      <c r="CN88" s="462"/>
      <c r="CO88" s="462"/>
      <c r="CP88" s="462"/>
      <c r="CQ88" s="462"/>
      <c r="CR88" s="462"/>
      <c r="CS88" s="462"/>
      <c r="CT88" s="462"/>
      <c r="CU88" s="462"/>
      <c r="CV88" s="462"/>
      <c r="CW88" s="462"/>
      <c r="CX88" s="462"/>
      <c r="CY88" s="114"/>
      <c r="CZ88" s="462"/>
      <c r="DA88" s="462"/>
      <c r="DB88" s="462"/>
      <c r="DC88" s="462"/>
      <c r="DD88" s="462"/>
      <c r="DE88" s="462"/>
      <c r="DF88" s="462"/>
      <c r="DG88" s="462"/>
      <c r="DH88" s="462"/>
      <c r="DI88" s="462"/>
      <c r="DJ88" s="462"/>
      <c r="DK88" s="462"/>
      <c r="DL88" s="462"/>
      <c r="DM88" s="462"/>
      <c r="DN88" s="462"/>
      <c r="DO88" s="462"/>
      <c r="DP88" s="462"/>
      <c r="DQ88" s="109"/>
      <c r="DR88" s="458"/>
      <c r="DS88" s="458"/>
      <c r="DT88" s="458"/>
      <c r="DU88" s="458"/>
      <c r="DV88" s="458"/>
      <c r="DW88" s="458"/>
      <c r="DX88" s="458"/>
      <c r="DY88" s="458"/>
      <c r="DZ88" s="458"/>
      <c r="EA88" s="109"/>
      <c r="EB88" s="102"/>
      <c r="EC88" s="457"/>
      <c r="ED88" s="457"/>
      <c r="EE88" s="457"/>
      <c r="EF88" s="457"/>
      <c r="EG88" s="457"/>
      <c r="EH88" s="457"/>
      <c r="EI88" s="457"/>
      <c r="EJ88" s="457"/>
      <c r="EK88" s="457"/>
      <c r="EL88" s="457"/>
      <c r="EM88" s="457"/>
      <c r="EN88" s="457"/>
      <c r="EO88" s="457"/>
      <c r="EP88" s="457"/>
      <c r="EQ88" s="457"/>
      <c r="ER88" s="457"/>
      <c r="ES88" s="457"/>
      <c r="ET88" s="457"/>
      <c r="EU88" s="457"/>
      <c r="EV88" s="457"/>
      <c r="EW88" s="457"/>
      <c r="EX88" s="457"/>
      <c r="EY88" s="457"/>
      <c r="EZ88" s="457"/>
      <c r="FA88" s="457"/>
      <c r="FB88" s="457"/>
      <c r="FC88" s="457"/>
      <c r="FD88" s="457"/>
      <c r="FE88" s="457"/>
      <c r="FF88" s="457"/>
      <c r="FG88" s="457"/>
      <c r="FH88" s="457"/>
      <c r="FI88" s="457"/>
      <c r="FJ88" s="457"/>
      <c r="FK88" s="457"/>
      <c r="FL88" s="457"/>
      <c r="FM88" s="457"/>
      <c r="FN88" s="457"/>
      <c r="FO88" s="457"/>
      <c r="FP88" s="457"/>
      <c r="FQ88" s="457"/>
      <c r="FR88" s="457"/>
      <c r="FS88" s="457"/>
      <c r="FT88" s="457"/>
      <c r="FU88" s="457"/>
      <c r="FV88" s="457"/>
      <c r="FW88" s="457"/>
      <c r="FX88" s="457"/>
      <c r="FY88" s="457"/>
      <c r="FZ88" s="457"/>
      <c r="GA88" s="457"/>
      <c r="GB88" s="457"/>
      <c r="GC88" s="457"/>
      <c r="GD88" s="457"/>
      <c r="GE88" s="457"/>
      <c r="GF88" s="457"/>
      <c r="GG88" s="457"/>
      <c r="GH88" s="457"/>
      <c r="GI88" s="42"/>
    </row>
    <row r="89" spans="1:191" ht="4.2" customHeight="1" thickBot="1" x14ac:dyDescent="0.35">
      <c r="A89" s="78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460"/>
      <c r="O89" s="460"/>
      <c r="P89" s="460"/>
      <c r="Q89" s="460"/>
      <c r="R89" s="460"/>
      <c r="S89" s="460"/>
      <c r="T89" s="460"/>
      <c r="U89" s="460"/>
      <c r="V89" s="460"/>
      <c r="W89" s="460"/>
      <c r="X89" s="460"/>
      <c r="Y89" s="78"/>
      <c r="Z89" s="78"/>
      <c r="AA89" s="460"/>
      <c r="AB89" s="460"/>
      <c r="AC89" s="460"/>
      <c r="AD89" s="460"/>
      <c r="AE89" s="460"/>
      <c r="AF89" s="460"/>
      <c r="AG89" s="460"/>
      <c r="AH89" s="460"/>
      <c r="AI89" s="460"/>
      <c r="AJ89" s="460"/>
      <c r="AK89" s="460"/>
      <c r="AL89" s="460"/>
      <c r="AM89" s="460"/>
      <c r="AN89" s="460"/>
      <c r="AO89" s="460"/>
      <c r="AP89" s="460"/>
      <c r="AQ89" s="460"/>
      <c r="AR89" s="460"/>
      <c r="AS89" s="460"/>
      <c r="AT89" s="460"/>
      <c r="AU89" s="460"/>
      <c r="AV89" s="460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463"/>
      <c r="BZ89" s="463"/>
      <c r="CA89" s="463"/>
      <c r="CB89" s="463"/>
      <c r="CC89" s="463"/>
      <c r="CD89" s="463"/>
      <c r="CE89" s="463"/>
      <c r="CF89" s="463"/>
      <c r="CG89" s="463"/>
      <c r="CH89" s="463"/>
      <c r="CI89" s="463"/>
      <c r="CJ89" s="463"/>
      <c r="CK89" s="463"/>
      <c r="CL89" s="78"/>
      <c r="CM89" s="463"/>
      <c r="CN89" s="463"/>
      <c r="CO89" s="463"/>
      <c r="CP89" s="463"/>
      <c r="CQ89" s="463"/>
      <c r="CR89" s="463"/>
      <c r="CS89" s="463"/>
      <c r="CT89" s="463"/>
      <c r="CU89" s="463"/>
      <c r="CV89" s="463"/>
      <c r="CW89" s="463"/>
      <c r="CX89" s="463"/>
      <c r="CY89" s="78"/>
      <c r="CZ89" s="463"/>
      <c r="DA89" s="463"/>
      <c r="DB89" s="463"/>
      <c r="DC89" s="463"/>
      <c r="DD89" s="463"/>
      <c r="DE89" s="463"/>
      <c r="DF89" s="463"/>
      <c r="DG89" s="463"/>
      <c r="DH89" s="463"/>
      <c r="DI89" s="463"/>
      <c r="DJ89" s="463"/>
      <c r="DK89" s="463"/>
      <c r="DL89" s="463"/>
      <c r="DM89" s="463"/>
      <c r="DN89" s="463"/>
      <c r="DO89" s="463"/>
      <c r="DP89" s="463"/>
      <c r="DQ89" s="78"/>
      <c r="DR89" s="78"/>
      <c r="DS89" s="78"/>
      <c r="DT89" s="78"/>
      <c r="DU89" s="78"/>
      <c r="DV89" s="78"/>
      <c r="DW89" s="78"/>
      <c r="DX89" s="78"/>
      <c r="DY89" s="78"/>
      <c r="DZ89" s="78"/>
      <c r="EA89" s="78"/>
      <c r="EB89" s="78"/>
      <c r="EC89" s="78"/>
      <c r="ED89" s="78"/>
      <c r="EE89" s="78"/>
      <c r="EF89" s="78"/>
      <c r="EG89" s="78"/>
      <c r="EH89" s="78"/>
      <c r="EI89" s="78"/>
      <c r="EJ89" s="78"/>
      <c r="EK89" s="78"/>
      <c r="EL89" s="78"/>
      <c r="EM89" s="78"/>
      <c r="EN89" s="78"/>
      <c r="EO89" s="78"/>
      <c r="EP89" s="78"/>
      <c r="EQ89" s="78"/>
      <c r="ER89" s="78"/>
      <c r="ES89" s="78"/>
      <c r="ET89" s="78"/>
      <c r="EU89" s="78"/>
      <c r="EV89" s="78"/>
      <c r="EW89" s="78"/>
      <c r="EX89" s="78"/>
      <c r="EY89" s="78"/>
      <c r="EZ89" s="78"/>
      <c r="FA89" s="78"/>
      <c r="FB89" s="78"/>
      <c r="FC89" s="78"/>
      <c r="FD89" s="78"/>
      <c r="FE89" s="78"/>
      <c r="FF89" s="78"/>
      <c r="FG89" s="78"/>
      <c r="FH89" s="78"/>
      <c r="FI89" s="78"/>
      <c r="FJ89" s="78"/>
      <c r="FK89" s="78"/>
      <c r="FL89" s="78"/>
      <c r="FM89" s="78"/>
      <c r="FN89" s="78"/>
      <c r="FO89" s="78"/>
      <c r="FP89" s="78"/>
      <c r="FQ89" s="78"/>
      <c r="FR89" s="78"/>
      <c r="FS89" s="78"/>
      <c r="FT89" s="78"/>
      <c r="FU89" s="78"/>
      <c r="FV89" s="78"/>
      <c r="FW89" s="78"/>
      <c r="FX89" s="78"/>
      <c r="FY89" s="78"/>
      <c r="FZ89" s="78"/>
      <c r="GA89" s="78"/>
      <c r="GB89" s="78"/>
      <c r="GC89" s="78"/>
      <c r="GD89" s="78"/>
      <c r="GE89" s="78"/>
      <c r="GF89" s="78"/>
      <c r="GG89" s="78"/>
      <c r="GH89" s="78"/>
      <c r="GI89" s="42"/>
    </row>
    <row r="90" spans="1:191" ht="15" thickTop="1" x14ac:dyDescent="0.3">
      <c r="A90" s="464" t="s">
        <v>205</v>
      </c>
      <c r="B90" s="465"/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5"/>
      <c r="V90" s="465"/>
      <c r="W90" s="465"/>
      <c r="X90" s="465"/>
      <c r="Y90" s="465"/>
      <c r="Z90" s="465"/>
      <c r="AA90" s="465"/>
      <c r="AB90" s="465"/>
      <c r="AC90" s="465"/>
      <c r="AD90" s="465"/>
      <c r="AE90" s="465"/>
      <c r="AF90" s="465"/>
      <c r="AG90" s="465"/>
      <c r="AH90" s="465"/>
      <c r="AI90" s="465"/>
      <c r="AJ90" s="465"/>
      <c r="AK90" s="465"/>
      <c r="AL90" s="465"/>
      <c r="AM90" s="465"/>
      <c r="AN90" s="465"/>
      <c r="AO90" s="465"/>
      <c r="AP90" s="465"/>
      <c r="AQ90" s="465"/>
      <c r="AR90" s="465"/>
      <c r="AS90" s="465"/>
      <c r="AT90" s="465"/>
      <c r="AU90" s="465"/>
      <c r="AV90" s="465"/>
      <c r="AW90" s="465"/>
      <c r="AX90" s="465"/>
      <c r="AY90" s="465"/>
      <c r="AZ90" s="465"/>
      <c r="BA90" s="465"/>
      <c r="BB90" s="465"/>
      <c r="BC90" s="465"/>
      <c r="BD90" s="465"/>
      <c r="BE90" s="465"/>
      <c r="BF90" s="465"/>
      <c r="BG90" s="465"/>
      <c r="BH90" s="465"/>
      <c r="BI90" s="465"/>
      <c r="BJ90" s="465"/>
      <c r="BK90" s="465"/>
      <c r="BL90" s="465"/>
      <c r="BM90" s="465"/>
      <c r="BN90" s="465"/>
      <c r="BO90" s="465"/>
      <c r="BP90" s="465"/>
      <c r="BQ90" s="465"/>
      <c r="BR90" s="465"/>
      <c r="BS90" s="465"/>
      <c r="BT90" s="465"/>
      <c r="BU90" s="465"/>
      <c r="BV90" s="465"/>
      <c r="BW90" s="465"/>
      <c r="BX90" s="465"/>
      <c r="BY90" s="465"/>
      <c r="BZ90" s="465"/>
      <c r="CA90" s="465"/>
      <c r="CB90" s="465"/>
      <c r="CC90" s="465"/>
      <c r="CD90" s="465"/>
      <c r="CE90" s="465"/>
      <c r="CF90" s="465"/>
      <c r="CG90" s="465"/>
      <c r="CH90" s="465"/>
      <c r="CI90" s="465"/>
      <c r="CJ90" s="465"/>
      <c r="CK90" s="465"/>
      <c r="CL90" s="465"/>
      <c r="CM90" s="465"/>
      <c r="CN90" s="465"/>
      <c r="CO90" s="465"/>
      <c r="CP90" s="465"/>
      <c r="CQ90" s="465"/>
      <c r="CR90" s="465"/>
      <c r="CS90" s="465"/>
      <c r="CT90" s="465"/>
      <c r="CU90" s="465"/>
      <c r="CV90" s="465"/>
      <c r="CW90" s="465"/>
      <c r="CX90" s="465"/>
      <c r="CY90" s="465"/>
      <c r="CZ90" s="465"/>
      <c r="DA90" s="465"/>
      <c r="DB90" s="465"/>
      <c r="DC90" s="465"/>
      <c r="DD90" s="465"/>
      <c r="DE90" s="465"/>
      <c r="DF90" s="465"/>
      <c r="DG90" s="465"/>
      <c r="DH90" s="465"/>
      <c r="DI90" s="465"/>
      <c r="DJ90" s="465"/>
      <c r="DK90" s="465"/>
      <c r="DL90" s="465"/>
      <c r="DM90" s="465"/>
      <c r="DN90" s="465"/>
      <c r="DO90" s="465"/>
      <c r="DP90" s="465"/>
      <c r="DQ90" s="465"/>
      <c r="DR90" s="465"/>
      <c r="DS90" s="465"/>
      <c r="DT90" s="465"/>
      <c r="DU90" s="465"/>
      <c r="DV90" s="465"/>
      <c r="DW90" s="465"/>
      <c r="DX90" s="465"/>
      <c r="DY90" s="465"/>
      <c r="DZ90" s="465"/>
      <c r="EA90" s="465"/>
      <c r="EB90" s="465"/>
      <c r="EC90" s="465"/>
      <c r="ED90" s="465"/>
      <c r="EE90" s="465"/>
      <c r="EF90" s="465"/>
      <c r="EG90" s="465"/>
      <c r="EH90" s="465"/>
      <c r="EI90" s="465"/>
      <c r="EJ90" s="465"/>
      <c r="EK90" s="465"/>
      <c r="EL90" s="465"/>
      <c r="EM90" s="465"/>
      <c r="EN90" s="465"/>
      <c r="EO90" s="465"/>
      <c r="EP90" s="465"/>
      <c r="EQ90" s="465"/>
      <c r="ER90" s="465"/>
      <c r="ES90" s="465"/>
      <c r="ET90" s="465"/>
      <c r="EU90" s="465"/>
      <c r="EV90" s="465"/>
      <c r="EW90" s="465"/>
      <c r="EX90" s="465"/>
      <c r="EY90" s="465"/>
      <c r="EZ90" s="465"/>
      <c r="FA90" s="465"/>
      <c r="FB90" s="465"/>
      <c r="FC90" s="465"/>
      <c r="FD90" s="465"/>
      <c r="FE90" s="465"/>
      <c r="FF90" s="465"/>
      <c r="FG90" s="465"/>
      <c r="FH90" s="465"/>
      <c r="FI90" s="465"/>
      <c r="FJ90" s="465"/>
      <c r="FK90" s="465"/>
      <c r="FL90" s="465"/>
      <c r="FM90" s="465"/>
      <c r="FN90" s="465"/>
      <c r="FO90" s="465"/>
      <c r="FP90" s="465"/>
      <c r="FQ90" s="465"/>
      <c r="FR90" s="465"/>
      <c r="FS90" s="465"/>
      <c r="FT90" s="465"/>
      <c r="FU90" s="465"/>
      <c r="FV90" s="465"/>
      <c r="FW90" s="465"/>
      <c r="FX90" s="465"/>
      <c r="FY90" s="465"/>
      <c r="FZ90" s="465"/>
      <c r="GA90" s="465"/>
      <c r="GB90" s="465"/>
      <c r="GC90" s="465"/>
      <c r="GD90" s="465"/>
      <c r="GE90" s="465"/>
      <c r="GF90" s="465"/>
      <c r="GG90" s="465"/>
      <c r="GH90" s="466"/>
      <c r="GI90" s="42"/>
    </row>
    <row r="91" spans="1:191" x14ac:dyDescent="0.3">
      <c r="A91" s="467" t="s">
        <v>206</v>
      </c>
      <c r="B91" s="468"/>
      <c r="C91" s="468"/>
      <c r="D91" s="468"/>
      <c r="E91" s="468"/>
      <c r="F91" s="468"/>
      <c r="G91" s="468"/>
      <c r="H91" s="468"/>
      <c r="I91" s="468"/>
      <c r="J91" s="469"/>
      <c r="K91" s="473" t="s">
        <v>207</v>
      </c>
      <c r="L91" s="305"/>
      <c r="M91" s="305"/>
      <c r="N91" s="305"/>
      <c r="O91" s="305"/>
      <c r="P91" s="305"/>
      <c r="Q91" s="305"/>
      <c r="R91" s="305"/>
      <c r="S91" s="305"/>
      <c r="T91" s="305"/>
      <c r="U91" s="305"/>
      <c r="V91" s="305"/>
      <c r="W91" s="305"/>
      <c r="X91" s="305"/>
      <c r="Y91" s="305"/>
      <c r="Z91" s="305"/>
      <c r="AA91" s="305"/>
      <c r="AB91" s="305"/>
      <c r="AC91" s="305"/>
      <c r="AD91" s="305"/>
      <c r="AE91" s="305"/>
      <c r="AF91" s="305"/>
      <c r="AG91" s="305"/>
      <c r="AH91" s="305"/>
      <c r="AI91" s="305"/>
      <c r="AJ91" s="306"/>
      <c r="AK91" s="473" t="s">
        <v>208</v>
      </c>
      <c r="AL91" s="305"/>
      <c r="AM91" s="305"/>
      <c r="AN91" s="305"/>
      <c r="AO91" s="305"/>
      <c r="AP91" s="305"/>
      <c r="AQ91" s="305"/>
      <c r="AR91" s="305"/>
      <c r="AS91" s="305"/>
      <c r="AT91" s="305"/>
      <c r="AU91" s="305"/>
      <c r="AV91" s="305"/>
      <c r="AW91" s="305"/>
      <c r="AX91" s="305"/>
      <c r="AY91" s="305"/>
      <c r="AZ91" s="305"/>
      <c r="BA91" s="305"/>
      <c r="BB91" s="305"/>
      <c r="BC91" s="305"/>
      <c r="BD91" s="305"/>
      <c r="BE91" s="305"/>
      <c r="BF91" s="305"/>
      <c r="BG91" s="305"/>
      <c r="BH91" s="305"/>
      <c r="BI91" s="305"/>
      <c r="BJ91" s="306"/>
      <c r="BK91" s="473" t="s">
        <v>209</v>
      </c>
      <c r="BL91" s="305"/>
      <c r="BM91" s="305"/>
      <c r="BN91" s="305"/>
      <c r="BO91" s="305"/>
      <c r="BP91" s="305"/>
      <c r="BQ91" s="305"/>
      <c r="BR91" s="305"/>
      <c r="BS91" s="305"/>
      <c r="BT91" s="305"/>
      <c r="BU91" s="305"/>
      <c r="BV91" s="305"/>
      <c r="BW91" s="305"/>
      <c r="BX91" s="305"/>
      <c r="BY91" s="305"/>
      <c r="BZ91" s="305"/>
      <c r="CA91" s="305"/>
      <c r="CB91" s="305"/>
      <c r="CC91" s="305"/>
      <c r="CD91" s="305"/>
      <c r="CE91" s="305"/>
      <c r="CF91" s="305"/>
      <c r="CG91" s="305"/>
      <c r="CH91" s="305"/>
      <c r="CI91" s="305"/>
      <c r="CJ91" s="305"/>
      <c r="CK91" s="305"/>
      <c r="CL91" s="306"/>
      <c r="CM91" s="475" t="s">
        <v>210</v>
      </c>
      <c r="CN91" s="476"/>
      <c r="CO91" s="476"/>
      <c r="CP91" s="476"/>
      <c r="CQ91" s="476"/>
      <c r="CR91" s="476"/>
      <c r="CS91" s="476"/>
      <c r="CT91" s="476"/>
      <c r="CU91" s="476"/>
      <c r="CV91" s="476"/>
      <c r="CW91" s="476"/>
      <c r="CX91" s="476"/>
      <c r="CY91" s="476"/>
      <c r="CZ91" s="476"/>
      <c r="DA91" s="476"/>
      <c r="DB91" s="476"/>
      <c r="DC91" s="476"/>
      <c r="DD91" s="476"/>
      <c r="DE91" s="476"/>
      <c r="DF91" s="476"/>
      <c r="DG91" s="476"/>
      <c r="DH91" s="476"/>
      <c r="DI91" s="476"/>
      <c r="DJ91" s="476"/>
      <c r="DK91" s="476"/>
      <c r="DL91" s="476"/>
      <c r="DM91" s="476"/>
      <c r="DN91" s="476"/>
      <c r="DO91" s="476"/>
      <c r="DP91" s="476"/>
      <c r="DQ91" s="476"/>
      <c r="DR91" s="476"/>
      <c r="DS91" s="476"/>
      <c r="DT91" s="476"/>
      <c r="DU91" s="476"/>
      <c r="DV91" s="476"/>
      <c r="DW91" s="476"/>
      <c r="DX91" s="476"/>
      <c r="DY91" s="476"/>
      <c r="DZ91" s="476"/>
      <c r="EA91" s="477"/>
      <c r="EB91" s="478" t="s">
        <v>211</v>
      </c>
      <c r="EC91" s="479"/>
      <c r="ED91" s="479"/>
      <c r="EE91" s="479"/>
      <c r="EF91" s="479"/>
      <c r="EG91" s="479"/>
      <c r="EH91" s="479"/>
      <c r="EI91" s="479"/>
      <c r="EJ91" s="479"/>
      <c r="EK91" s="479"/>
      <c r="EL91" s="479"/>
      <c r="EM91" s="479"/>
      <c r="EN91" s="479"/>
      <c r="EO91" s="479"/>
      <c r="EP91" s="479"/>
      <c r="EQ91" s="479"/>
      <c r="ER91" s="479"/>
      <c r="ES91" s="479"/>
      <c r="ET91" s="479"/>
      <c r="EU91" s="479"/>
      <c r="EV91" s="479"/>
      <c r="EW91" s="479"/>
      <c r="EX91" s="479"/>
      <c r="EY91" s="479"/>
      <c r="EZ91" s="479"/>
      <c r="FA91" s="479"/>
      <c r="FB91" s="479"/>
      <c r="FC91" s="479"/>
      <c r="FD91" s="480"/>
      <c r="FE91" s="473" t="s">
        <v>212</v>
      </c>
      <c r="FF91" s="305"/>
      <c r="FG91" s="305"/>
      <c r="FH91" s="305"/>
      <c r="FI91" s="305"/>
      <c r="FJ91" s="305"/>
      <c r="FK91" s="305"/>
      <c r="FL91" s="305"/>
      <c r="FM91" s="305"/>
      <c r="FN91" s="305"/>
      <c r="FO91" s="305"/>
      <c r="FP91" s="305"/>
      <c r="FQ91" s="305"/>
      <c r="FR91" s="305"/>
      <c r="FS91" s="306"/>
      <c r="FT91" s="473" t="s">
        <v>213</v>
      </c>
      <c r="FU91" s="305"/>
      <c r="FV91" s="305"/>
      <c r="FW91" s="305"/>
      <c r="FX91" s="305"/>
      <c r="FY91" s="305"/>
      <c r="FZ91" s="305"/>
      <c r="GA91" s="305"/>
      <c r="GB91" s="305"/>
      <c r="GC91" s="305"/>
      <c r="GD91" s="305"/>
      <c r="GE91" s="305"/>
      <c r="GF91" s="305"/>
      <c r="GG91" s="305"/>
      <c r="GH91" s="481"/>
      <c r="GI91" s="42"/>
    </row>
    <row r="92" spans="1:191" x14ac:dyDescent="0.3">
      <c r="A92" s="470"/>
      <c r="B92" s="471"/>
      <c r="C92" s="471"/>
      <c r="D92" s="471"/>
      <c r="E92" s="471"/>
      <c r="F92" s="471"/>
      <c r="G92" s="471"/>
      <c r="H92" s="471"/>
      <c r="I92" s="471"/>
      <c r="J92" s="472"/>
      <c r="K92" s="474"/>
      <c r="L92" s="311"/>
      <c r="M92" s="311"/>
      <c r="N92" s="311"/>
      <c r="O92" s="311"/>
      <c r="P92" s="311"/>
      <c r="Q92" s="311"/>
      <c r="R92" s="311"/>
      <c r="S92" s="311"/>
      <c r="T92" s="311"/>
      <c r="U92" s="311"/>
      <c r="V92" s="311"/>
      <c r="W92" s="311"/>
      <c r="X92" s="311"/>
      <c r="Y92" s="311"/>
      <c r="Z92" s="311"/>
      <c r="AA92" s="311"/>
      <c r="AB92" s="311"/>
      <c r="AC92" s="311"/>
      <c r="AD92" s="311"/>
      <c r="AE92" s="311"/>
      <c r="AF92" s="311"/>
      <c r="AG92" s="311"/>
      <c r="AH92" s="311"/>
      <c r="AI92" s="311"/>
      <c r="AJ92" s="312"/>
      <c r="AK92" s="474"/>
      <c r="AL92" s="311"/>
      <c r="AM92" s="311"/>
      <c r="AN92" s="311"/>
      <c r="AO92" s="311"/>
      <c r="AP92" s="311"/>
      <c r="AQ92" s="311"/>
      <c r="AR92" s="311"/>
      <c r="AS92" s="311"/>
      <c r="AT92" s="311"/>
      <c r="AU92" s="311"/>
      <c r="AV92" s="311"/>
      <c r="AW92" s="311"/>
      <c r="AX92" s="311"/>
      <c r="AY92" s="311"/>
      <c r="AZ92" s="311"/>
      <c r="BA92" s="311"/>
      <c r="BB92" s="311"/>
      <c r="BC92" s="311"/>
      <c r="BD92" s="311"/>
      <c r="BE92" s="311"/>
      <c r="BF92" s="311"/>
      <c r="BG92" s="311"/>
      <c r="BH92" s="311"/>
      <c r="BI92" s="311"/>
      <c r="BJ92" s="312"/>
      <c r="BK92" s="474"/>
      <c r="BL92" s="311"/>
      <c r="BM92" s="311"/>
      <c r="BN92" s="311"/>
      <c r="BO92" s="311"/>
      <c r="BP92" s="311"/>
      <c r="BQ92" s="311"/>
      <c r="BR92" s="311"/>
      <c r="BS92" s="311"/>
      <c r="BT92" s="311"/>
      <c r="BU92" s="311"/>
      <c r="BV92" s="311"/>
      <c r="BW92" s="311"/>
      <c r="BX92" s="311"/>
      <c r="BY92" s="311"/>
      <c r="BZ92" s="311"/>
      <c r="CA92" s="311"/>
      <c r="CB92" s="311"/>
      <c r="CC92" s="311"/>
      <c r="CD92" s="311"/>
      <c r="CE92" s="311"/>
      <c r="CF92" s="311"/>
      <c r="CG92" s="311"/>
      <c r="CH92" s="311"/>
      <c r="CI92" s="311"/>
      <c r="CJ92" s="311"/>
      <c r="CK92" s="311"/>
      <c r="CL92" s="312"/>
      <c r="CM92" s="478" t="s">
        <v>214</v>
      </c>
      <c r="CN92" s="479"/>
      <c r="CO92" s="479"/>
      <c r="CP92" s="479"/>
      <c r="CQ92" s="479"/>
      <c r="CR92" s="479"/>
      <c r="CS92" s="479"/>
      <c r="CT92" s="479"/>
      <c r="CU92" s="479"/>
      <c r="CV92" s="479"/>
      <c r="CW92" s="479"/>
      <c r="CX92" s="479"/>
      <c r="CY92" s="479"/>
      <c r="CZ92" s="479"/>
      <c r="DA92" s="479"/>
      <c r="DB92" s="479"/>
      <c r="DC92" s="479"/>
      <c r="DD92" s="479"/>
      <c r="DE92" s="479"/>
      <c r="DF92" s="479"/>
      <c r="DG92" s="479"/>
      <c r="DH92" s="479"/>
      <c r="DI92" s="479"/>
      <c r="DJ92" s="479"/>
      <c r="DK92" s="479"/>
      <c r="DL92" s="479"/>
      <c r="DM92" s="479"/>
      <c r="DN92" s="479"/>
      <c r="DO92" s="479"/>
      <c r="DP92" s="479"/>
      <c r="DQ92" s="479"/>
      <c r="DR92" s="479"/>
      <c r="DS92" s="479"/>
      <c r="DT92" s="480"/>
      <c r="DU92" s="475" t="s">
        <v>215</v>
      </c>
      <c r="DV92" s="476"/>
      <c r="DW92" s="476"/>
      <c r="DX92" s="476"/>
      <c r="DY92" s="476"/>
      <c r="DZ92" s="476"/>
      <c r="EA92" s="477"/>
      <c r="EB92" s="475" t="s">
        <v>216</v>
      </c>
      <c r="EC92" s="476"/>
      <c r="ED92" s="476"/>
      <c r="EE92" s="476"/>
      <c r="EF92" s="476"/>
      <c r="EG92" s="476"/>
      <c r="EH92" s="476"/>
      <c r="EI92" s="476"/>
      <c r="EJ92" s="476"/>
      <c r="EK92" s="476"/>
      <c r="EL92" s="476"/>
      <c r="EM92" s="476"/>
      <c r="EN92" s="476"/>
      <c r="EO92" s="476"/>
      <c r="EP92" s="477"/>
      <c r="EQ92" s="475" t="s">
        <v>217</v>
      </c>
      <c r="ER92" s="476"/>
      <c r="ES92" s="476"/>
      <c r="ET92" s="476"/>
      <c r="EU92" s="476"/>
      <c r="EV92" s="476"/>
      <c r="EW92" s="476"/>
      <c r="EX92" s="476"/>
      <c r="EY92" s="476"/>
      <c r="EZ92" s="476"/>
      <c r="FA92" s="476"/>
      <c r="FB92" s="476"/>
      <c r="FC92" s="476"/>
      <c r="FD92" s="476"/>
      <c r="FE92" s="474"/>
      <c r="FF92" s="311"/>
      <c r="FG92" s="311"/>
      <c r="FH92" s="311"/>
      <c r="FI92" s="311"/>
      <c r="FJ92" s="311"/>
      <c r="FK92" s="311"/>
      <c r="FL92" s="311"/>
      <c r="FM92" s="311"/>
      <c r="FN92" s="311"/>
      <c r="FO92" s="311"/>
      <c r="FP92" s="311"/>
      <c r="FQ92" s="311"/>
      <c r="FR92" s="311"/>
      <c r="FS92" s="312"/>
      <c r="FT92" s="474"/>
      <c r="FU92" s="311"/>
      <c r="FV92" s="311"/>
      <c r="FW92" s="311"/>
      <c r="FX92" s="311"/>
      <c r="FY92" s="311"/>
      <c r="FZ92" s="311"/>
      <c r="GA92" s="311"/>
      <c r="GB92" s="311"/>
      <c r="GC92" s="311"/>
      <c r="GD92" s="311"/>
      <c r="GE92" s="311"/>
      <c r="GF92" s="311"/>
      <c r="GG92" s="311"/>
      <c r="GH92" s="482"/>
      <c r="GI92" s="42"/>
    </row>
    <row r="93" spans="1:191" ht="7.95" customHeight="1" thickBot="1" x14ac:dyDescent="0.35">
      <c r="A93" s="413">
        <v>10</v>
      </c>
      <c r="B93" s="416"/>
      <c r="C93" s="416"/>
      <c r="D93" s="416"/>
      <c r="E93" s="416"/>
      <c r="F93" s="416"/>
      <c r="G93" s="416"/>
      <c r="H93" s="416"/>
      <c r="I93" s="416"/>
      <c r="J93" s="501"/>
      <c r="K93" s="483">
        <v>11</v>
      </c>
      <c r="L93" s="416"/>
      <c r="M93" s="416"/>
      <c r="N93" s="416"/>
      <c r="O93" s="416"/>
      <c r="P93" s="416"/>
      <c r="Q93" s="416"/>
      <c r="R93" s="416"/>
      <c r="S93" s="416"/>
      <c r="T93" s="416"/>
      <c r="U93" s="416"/>
      <c r="V93" s="416"/>
      <c r="W93" s="416"/>
      <c r="X93" s="416"/>
      <c r="Y93" s="416"/>
      <c r="Z93" s="416"/>
      <c r="AA93" s="416"/>
      <c r="AB93" s="416"/>
      <c r="AC93" s="416"/>
      <c r="AD93" s="416"/>
      <c r="AE93" s="416"/>
      <c r="AF93" s="416"/>
      <c r="AG93" s="416"/>
      <c r="AH93" s="416"/>
      <c r="AI93" s="416"/>
      <c r="AJ93" s="501"/>
      <c r="AK93" s="483">
        <v>12</v>
      </c>
      <c r="AL93" s="416"/>
      <c r="AM93" s="416"/>
      <c r="AN93" s="416"/>
      <c r="AO93" s="416"/>
      <c r="AP93" s="416"/>
      <c r="AQ93" s="416"/>
      <c r="AR93" s="416"/>
      <c r="AS93" s="416"/>
      <c r="AT93" s="416"/>
      <c r="AU93" s="416"/>
      <c r="AV93" s="416"/>
      <c r="AW93" s="416"/>
      <c r="AX93" s="416"/>
      <c r="AY93" s="416"/>
      <c r="AZ93" s="416"/>
      <c r="BA93" s="416"/>
      <c r="BB93" s="416"/>
      <c r="BC93" s="416"/>
      <c r="BD93" s="416"/>
      <c r="BE93" s="416"/>
      <c r="BF93" s="416"/>
      <c r="BG93" s="416"/>
      <c r="BH93" s="416"/>
      <c r="BI93" s="416"/>
      <c r="BJ93" s="501"/>
      <c r="BK93" s="483">
        <v>6</v>
      </c>
      <c r="BL93" s="416"/>
      <c r="BM93" s="416"/>
      <c r="BN93" s="416"/>
      <c r="BO93" s="416"/>
      <c r="BP93" s="416"/>
      <c r="BQ93" s="416"/>
      <c r="BR93" s="416"/>
      <c r="BS93" s="416"/>
      <c r="BT93" s="416"/>
      <c r="BU93" s="416"/>
      <c r="BV93" s="416"/>
      <c r="BW93" s="416"/>
      <c r="BX93" s="416"/>
      <c r="BY93" s="416"/>
      <c r="BZ93" s="416"/>
      <c r="CA93" s="416"/>
      <c r="CB93" s="416"/>
      <c r="CC93" s="416"/>
      <c r="CD93" s="416"/>
      <c r="CE93" s="416"/>
      <c r="CF93" s="416"/>
      <c r="CG93" s="416"/>
      <c r="CH93" s="416"/>
      <c r="CI93" s="416"/>
      <c r="CJ93" s="416"/>
      <c r="CK93" s="416"/>
      <c r="CL93" s="501"/>
      <c r="CM93" s="483">
        <v>14</v>
      </c>
      <c r="CN93" s="416"/>
      <c r="CO93" s="416"/>
      <c r="CP93" s="416"/>
      <c r="CQ93" s="416"/>
      <c r="CR93" s="416"/>
      <c r="CS93" s="416"/>
      <c r="CT93" s="416"/>
      <c r="CU93" s="416"/>
      <c r="CV93" s="416"/>
      <c r="CW93" s="416"/>
      <c r="CX93" s="416"/>
      <c r="CY93" s="416"/>
      <c r="CZ93" s="416"/>
      <c r="DA93" s="416"/>
      <c r="DB93" s="416"/>
      <c r="DC93" s="416"/>
      <c r="DD93" s="416"/>
      <c r="DE93" s="416"/>
      <c r="DF93" s="416"/>
      <c r="DG93" s="416"/>
      <c r="DH93" s="416"/>
      <c r="DI93" s="416"/>
      <c r="DJ93" s="416"/>
      <c r="DK93" s="416"/>
      <c r="DL93" s="416"/>
      <c r="DM93" s="416"/>
      <c r="DN93" s="416"/>
      <c r="DO93" s="416"/>
      <c r="DP93" s="416"/>
      <c r="DQ93" s="416"/>
      <c r="DR93" s="416"/>
      <c r="DS93" s="416"/>
      <c r="DT93" s="501"/>
      <c r="DU93" s="483">
        <v>15</v>
      </c>
      <c r="DV93" s="416"/>
      <c r="DW93" s="416"/>
      <c r="DX93" s="416"/>
      <c r="DY93" s="416"/>
      <c r="DZ93" s="416"/>
      <c r="EA93" s="501"/>
      <c r="EB93" s="483">
        <v>16</v>
      </c>
      <c r="EC93" s="416"/>
      <c r="ED93" s="416"/>
      <c r="EE93" s="416"/>
      <c r="EF93" s="416"/>
      <c r="EG93" s="416"/>
      <c r="EH93" s="416"/>
      <c r="EI93" s="416"/>
      <c r="EJ93" s="416"/>
      <c r="EK93" s="416"/>
      <c r="EL93" s="416"/>
      <c r="EM93" s="416"/>
      <c r="EN93" s="416"/>
      <c r="EO93" s="416"/>
      <c r="EP93" s="501"/>
      <c r="EQ93" s="483">
        <v>17</v>
      </c>
      <c r="ER93" s="416"/>
      <c r="ES93" s="416"/>
      <c r="ET93" s="416"/>
      <c r="EU93" s="416"/>
      <c r="EV93" s="416"/>
      <c r="EW93" s="416"/>
      <c r="EX93" s="416"/>
      <c r="EY93" s="416"/>
      <c r="EZ93" s="416"/>
      <c r="FA93" s="416"/>
      <c r="FB93" s="416"/>
      <c r="FC93" s="416"/>
      <c r="FD93" s="501"/>
      <c r="FE93" s="483">
        <v>18</v>
      </c>
      <c r="FF93" s="416"/>
      <c r="FG93" s="416"/>
      <c r="FH93" s="416"/>
      <c r="FI93" s="416"/>
      <c r="FJ93" s="416"/>
      <c r="FK93" s="416"/>
      <c r="FL93" s="416"/>
      <c r="FM93" s="416"/>
      <c r="FN93" s="416"/>
      <c r="FO93" s="416"/>
      <c r="FP93" s="416"/>
      <c r="FQ93" s="416"/>
      <c r="FR93" s="416"/>
      <c r="FS93" s="501"/>
      <c r="FT93" s="483">
        <v>19</v>
      </c>
      <c r="FU93" s="416"/>
      <c r="FV93" s="416"/>
      <c r="FW93" s="416"/>
      <c r="FX93" s="416"/>
      <c r="FY93" s="416"/>
      <c r="FZ93" s="416"/>
      <c r="GA93" s="416"/>
      <c r="GB93" s="416"/>
      <c r="GC93" s="416"/>
      <c r="GD93" s="416"/>
      <c r="GE93" s="416"/>
      <c r="GF93" s="416"/>
      <c r="GG93" s="416"/>
      <c r="GH93" s="417"/>
      <c r="GI93" s="42"/>
    </row>
    <row r="94" spans="1:191" ht="13.2" customHeight="1" thickTop="1" x14ac:dyDescent="0.3">
      <c r="A94" s="484" t="s">
        <v>218</v>
      </c>
      <c r="B94" s="485"/>
      <c r="C94" s="485"/>
      <c r="D94" s="485"/>
      <c r="E94" s="485"/>
      <c r="F94" s="485"/>
      <c r="G94" s="485"/>
      <c r="H94" s="485"/>
      <c r="I94" s="485"/>
      <c r="J94" s="486"/>
      <c r="K94" s="487"/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9"/>
      <c r="AK94" s="487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8"/>
      <c r="AY94" s="488"/>
      <c r="AZ94" s="488"/>
      <c r="BA94" s="488"/>
      <c r="BB94" s="488"/>
      <c r="BC94" s="488"/>
      <c r="BD94" s="488"/>
      <c r="BE94" s="488"/>
      <c r="BF94" s="488"/>
      <c r="BG94" s="488"/>
      <c r="BH94" s="488"/>
      <c r="BI94" s="488"/>
      <c r="BJ94" s="489"/>
      <c r="BK94" s="487"/>
      <c r="BL94" s="488"/>
      <c r="BM94" s="488"/>
      <c r="BN94" s="488"/>
      <c r="BO94" s="488"/>
      <c r="BP94" s="488"/>
      <c r="BQ94" s="488"/>
      <c r="BR94" s="488"/>
      <c r="BS94" s="488"/>
      <c r="BT94" s="488"/>
      <c r="BU94" s="488"/>
      <c r="BV94" s="488"/>
      <c r="BW94" s="488"/>
      <c r="BX94" s="488"/>
      <c r="BY94" s="488"/>
      <c r="BZ94" s="488"/>
      <c r="CA94" s="488"/>
      <c r="CB94" s="488"/>
      <c r="CC94" s="488"/>
      <c r="CD94" s="488"/>
      <c r="CE94" s="488"/>
      <c r="CF94" s="488"/>
      <c r="CG94" s="488"/>
      <c r="CH94" s="488"/>
      <c r="CI94" s="488"/>
      <c r="CJ94" s="488"/>
      <c r="CK94" s="488"/>
      <c r="CL94" s="489"/>
      <c r="CM94" s="487"/>
      <c r="CN94" s="488"/>
      <c r="CO94" s="488"/>
      <c r="CP94" s="488"/>
      <c r="CQ94" s="488"/>
      <c r="CR94" s="488"/>
      <c r="CS94" s="488"/>
      <c r="CT94" s="488"/>
      <c r="CU94" s="488"/>
      <c r="CV94" s="488"/>
      <c r="CW94" s="488"/>
      <c r="CX94" s="488"/>
      <c r="CY94" s="488"/>
      <c r="CZ94" s="488"/>
      <c r="DA94" s="488"/>
      <c r="DB94" s="488"/>
      <c r="DC94" s="488"/>
      <c r="DD94" s="488"/>
      <c r="DE94" s="488"/>
      <c r="DF94" s="488"/>
      <c r="DG94" s="488"/>
      <c r="DH94" s="488"/>
      <c r="DI94" s="488"/>
      <c r="DJ94" s="488"/>
      <c r="DK94" s="488"/>
      <c r="DL94" s="488"/>
      <c r="DM94" s="488"/>
      <c r="DN94" s="488"/>
      <c r="DO94" s="488"/>
      <c r="DP94" s="488"/>
      <c r="DQ94" s="488"/>
      <c r="DR94" s="488"/>
      <c r="DS94" s="488"/>
      <c r="DT94" s="490"/>
      <c r="DU94" s="491"/>
      <c r="DV94" s="492"/>
      <c r="DW94" s="492"/>
      <c r="DX94" s="492"/>
      <c r="DY94" s="492"/>
      <c r="DZ94" s="492"/>
      <c r="EA94" s="493"/>
      <c r="EB94" s="494"/>
      <c r="EC94" s="492"/>
      <c r="ED94" s="492"/>
      <c r="EE94" s="492"/>
      <c r="EF94" s="492"/>
      <c r="EG94" s="492"/>
      <c r="EH94" s="492"/>
      <c r="EI94" s="492"/>
      <c r="EJ94" s="492"/>
      <c r="EK94" s="492"/>
      <c r="EL94" s="492"/>
      <c r="EM94" s="492"/>
      <c r="EN94" s="492"/>
      <c r="EO94" s="492"/>
      <c r="EP94" s="493"/>
      <c r="EQ94" s="494"/>
      <c r="ER94" s="492"/>
      <c r="ES94" s="492"/>
      <c r="ET94" s="492"/>
      <c r="EU94" s="492"/>
      <c r="EV94" s="492"/>
      <c r="EW94" s="492"/>
      <c r="EX94" s="492"/>
      <c r="EY94" s="492"/>
      <c r="EZ94" s="492"/>
      <c r="FA94" s="492"/>
      <c r="FB94" s="492"/>
      <c r="FC94" s="492"/>
      <c r="FD94" s="493"/>
      <c r="FE94" s="495"/>
      <c r="FF94" s="496"/>
      <c r="FG94" s="496"/>
      <c r="FH94" s="496"/>
      <c r="FI94" s="496"/>
      <c r="FJ94" s="496"/>
      <c r="FK94" s="496"/>
      <c r="FL94" s="496"/>
      <c r="FM94" s="496"/>
      <c r="FN94" s="496"/>
      <c r="FO94" s="496"/>
      <c r="FP94" s="496"/>
      <c r="FQ94" s="496"/>
      <c r="FR94" s="496"/>
      <c r="FS94" s="497"/>
      <c r="FT94" s="498"/>
      <c r="FU94" s="499"/>
      <c r="FV94" s="499"/>
      <c r="FW94" s="499"/>
      <c r="FX94" s="499"/>
      <c r="FY94" s="499"/>
      <c r="FZ94" s="499"/>
      <c r="GA94" s="499"/>
      <c r="GB94" s="499"/>
      <c r="GC94" s="499"/>
      <c r="GD94" s="499"/>
      <c r="GE94" s="499"/>
      <c r="GF94" s="499"/>
      <c r="GG94" s="499"/>
      <c r="GH94" s="500"/>
      <c r="GI94" s="42"/>
    </row>
    <row r="95" spans="1:191" ht="13.2" customHeight="1" thickBot="1" x14ac:dyDescent="0.35">
      <c r="A95" s="502" t="s">
        <v>219</v>
      </c>
      <c r="B95" s="503"/>
      <c r="C95" s="503"/>
      <c r="D95" s="503"/>
      <c r="E95" s="503"/>
      <c r="F95" s="503"/>
      <c r="G95" s="503"/>
      <c r="H95" s="503"/>
      <c r="I95" s="503"/>
      <c r="J95" s="504"/>
      <c r="K95" s="505"/>
      <c r="L95" s="506"/>
      <c r="M95" s="506"/>
      <c r="N95" s="506"/>
      <c r="O95" s="506"/>
      <c r="P95" s="506"/>
      <c r="Q95" s="506"/>
      <c r="R95" s="506"/>
      <c r="S95" s="506"/>
      <c r="T95" s="506"/>
      <c r="U95" s="506"/>
      <c r="V95" s="506"/>
      <c r="W95" s="506"/>
      <c r="X95" s="506"/>
      <c r="Y95" s="506"/>
      <c r="Z95" s="506"/>
      <c r="AA95" s="506"/>
      <c r="AB95" s="506"/>
      <c r="AC95" s="506"/>
      <c r="AD95" s="506"/>
      <c r="AE95" s="506"/>
      <c r="AF95" s="506"/>
      <c r="AG95" s="506"/>
      <c r="AH95" s="506"/>
      <c r="AI95" s="506"/>
      <c r="AJ95" s="507"/>
      <c r="AK95" s="508"/>
      <c r="AL95" s="509"/>
      <c r="AM95" s="509"/>
      <c r="AN95" s="509"/>
      <c r="AO95" s="509"/>
      <c r="AP95" s="509"/>
      <c r="AQ95" s="509"/>
      <c r="AR95" s="509"/>
      <c r="AS95" s="509"/>
      <c r="AT95" s="509"/>
      <c r="AU95" s="509"/>
      <c r="AV95" s="509"/>
      <c r="AW95" s="509"/>
      <c r="AX95" s="509"/>
      <c r="AY95" s="509"/>
      <c r="AZ95" s="509"/>
      <c r="BA95" s="509"/>
      <c r="BB95" s="509"/>
      <c r="BC95" s="509"/>
      <c r="BD95" s="509"/>
      <c r="BE95" s="509"/>
      <c r="BF95" s="509"/>
      <c r="BG95" s="509"/>
      <c r="BH95" s="509"/>
      <c r="BI95" s="509"/>
      <c r="BJ95" s="510"/>
      <c r="BK95" s="508"/>
      <c r="BL95" s="509"/>
      <c r="BM95" s="509"/>
      <c r="BN95" s="509"/>
      <c r="BO95" s="509"/>
      <c r="BP95" s="509"/>
      <c r="BQ95" s="509"/>
      <c r="BR95" s="509"/>
      <c r="BS95" s="509"/>
      <c r="BT95" s="509"/>
      <c r="BU95" s="509"/>
      <c r="BV95" s="509"/>
      <c r="BW95" s="509"/>
      <c r="BX95" s="509"/>
      <c r="BY95" s="509"/>
      <c r="BZ95" s="509"/>
      <c r="CA95" s="509"/>
      <c r="CB95" s="509"/>
      <c r="CC95" s="509"/>
      <c r="CD95" s="509"/>
      <c r="CE95" s="509"/>
      <c r="CF95" s="509"/>
      <c r="CG95" s="509"/>
      <c r="CH95" s="509"/>
      <c r="CI95" s="509"/>
      <c r="CJ95" s="509"/>
      <c r="CK95" s="509"/>
      <c r="CL95" s="510"/>
      <c r="CM95" s="508"/>
      <c r="CN95" s="509"/>
      <c r="CO95" s="509"/>
      <c r="CP95" s="509"/>
      <c r="CQ95" s="509"/>
      <c r="CR95" s="509"/>
      <c r="CS95" s="509"/>
      <c r="CT95" s="509"/>
      <c r="CU95" s="509"/>
      <c r="CV95" s="509"/>
      <c r="CW95" s="509"/>
      <c r="CX95" s="509"/>
      <c r="CY95" s="509"/>
      <c r="CZ95" s="509"/>
      <c r="DA95" s="509"/>
      <c r="DB95" s="509"/>
      <c r="DC95" s="509"/>
      <c r="DD95" s="509"/>
      <c r="DE95" s="509"/>
      <c r="DF95" s="509"/>
      <c r="DG95" s="509"/>
      <c r="DH95" s="509"/>
      <c r="DI95" s="509"/>
      <c r="DJ95" s="509"/>
      <c r="DK95" s="509"/>
      <c r="DL95" s="509"/>
      <c r="DM95" s="509"/>
      <c r="DN95" s="509"/>
      <c r="DO95" s="509"/>
      <c r="DP95" s="509"/>
      <c r="DQ95" s="509"/>
      <c r="DR95" s="509"/>
      <c r="DS95" s="509"/>
      <c r="DT95" s="511"/>
      <c r="DU95" s="512"/>
      <c r="DV95" s="513"/>
      <c r="DW95" s="513"/>
      <c r="DX95" s="513"/>
      <c r="DY95" s="513"/>
      <c r="DZ95" s="513"/>
      <c r="EA95" s="514"/>
      <c r="EB95" s="515"/>
      <c r="EC95" s="513"/>
      <c r="ED95" s="513"/>
      <c r="EE95" s="513"/>
      <c r="EF95" s="513"/>
      <c r="EG95" s="513"/>
      <c r="EH95" s="513"/>
      <c r="EI95" s="513"/>
      <c r="EJ95" s="513"/>
      <c r="EK95" s="513"/>
      <c r="EL95" s="513"/>
      <c r="EM95" s="513"/>
      <c r="EN95" s="513"/>
      <c r="EO95" s="513"/>
      <c r="EP95" s="514"/>
      <c r="EQ95" s="515"/>
      <c r="ER95" s="513"/>
      <c r="ES95" s="513"/>
      <c r="ET95" s="513"/>
      <c r="EU95" s="513"/>
      <c r="EV95" s="513"/>
      <c r="EW95" s="513"/>
      <c r="EX95" s="513"/>
      <c r="EY95" s="513"/>
      <c r="EZ95" s="513"/>
      <c r="FA95" s="513"/>
      <c r="FB95" s="513"/>
      <c r="FC95" s="513"/>
      <c r="FD95" s="514"/>
      <c r="FE95" s="516"/>
      <c r="FF95" s="517"/>
      <c r="FG95" s="517"/>
      <c r="FH95" s="517"/>
      <c r="FI95" s="517"/>
      <c r="FJ95" s="517"/>
      <c r="FK95" s="517"/>
      <c r="FL95" s="517"/>
      <c r="FM95" s="517"/>
      <c r="FN95" s="517"/>
      <c r="FO95" s="517"/>
      <c r="FP95" s="517"/>
      <c r="FQ95" s="517"/>
      <c r="FR95" s="517"/>
      <c r="FS95" s="518"/>
      <c r="FT95" s="519"/>
      <c r="FU95" s="520"/>
      <c r="FV95" s="520"/>
      <c r="FW95" s="520"/>
      <c r="FX95" s="520"/>
      <c r="FY95" s="520"/>
      <c r="FZ95" s="520"/>
      <c r="GA95" s="520"/>
      <c r="GB95" s="520"/>
      <c r="GC95" s="520"/>
      <c r="GD95" s="520"/>
      <c r="GE95" s="520"/>
      <c r="GF95" s="520"/>
      <c r="GG95" s="520"/>
      <c r="GH95" s="521"/>
      <c r="GI95" s="42"/>
    </row>
    <row r="96" spans="1:191" ht="5.4" customHeight="1" thickTop="1" thickBot="1" x14ac:dyDescent="0.35">
      <c r="A96" s="78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  <c r="CY96" s="78"/>
      <c r="CZ96" s="78"/>
      <c r="DA96" s="78"/>
      <c r="DB96" s="78"/>
      <c r="DC96" s="78"/>
      <c r="DD96" s="78"/>
      <c r="DE96" s="78"/>
      <c r="DF96" s="78"/>
      <c r="DG96" s="78"/>
      <c r="DH96" s="78"/>
      <c r="DI96" s="78"/>
      <c r="DJ96" s="78"/>
      <c r="DK96" s="78"/>
      <c r="DL96" s="78"/>
      <c r="DM96" s="78"/>
      <c r="DN96" s="78"/>
      <c r="DO96" s="78"/>
      <c r="DP96" s="78"/>
      <c r="DQ96" s="78"/>
      <c r="DR96" s="78"/>
      <c r="DS96" s="78"/>
      <c r="DT96" s="78"/>
      <c r="DU96" s="78"/>
      <c r="DV96" s="78"/>
      <c r="DW96" s="78"/>
      <c r="DX96" s="78"/>
      <c r="DY96" s="78"/>
      <c r="DZ96" s="78"/>
      <c r="EA96" s="78"/>
      <c r="EB96" s="78"/>
      <c r="EC96" s="78"/>
      <c r="ED96" s="78"/>
      <c r="EE96" s="78"/>
      <c r="EF96" s="78"/>
      <c r="EG96" s="78"/>
      <c r="EH96" s="78"/>
      <c r="EI96" s="78"/>
      <c r="EJ96" s="78"/>
      <c r="EK96" s="78"/>
      <c r="EL96" s="78"/>
      <c r="EM96" s="78"/>
      <c r="EN96" s="78"/>
      <c r="EO96" s="78"/>
      <c r="EP96" s="78"/>
      <c r="EQ96" s="78"/>
      <c r="ER96" s="78"/>
      <c r="ES96" s="78"/>
      <c r="ET96" s="78"/>
      <c r="EU96" s="78"/>
      <c r="EV96" s="78"/>
      <c r="EW96" s="78"/>
      <c r="EX96" s="78"/>
      <c r="EY96" s="78"/>
      <c r="EZ96" s="78"/>
      <c r="FA96" s="78"/>
      <c r="FB96" s="78"/>
      <c r="FC96" s="78"/>
      <c r="FD96" s="78"/>
      <c r="FE96" s="78"/>
      <c r="FF96" s="78"/>
      <c r="FG96" s="78"/>
      <c r="FH96" s="78"/>
      <c r="FI96" s="78"/>
      <c r="FJ96" s="78"/>
      <c r="FK96" s="78"/>
      <c r="FL96" s="78"/>
      <c r="FM96" s="78"/>
      <c r="FN96" s="78"/>
      <c r="FO96" s="78"/>
      <c r="FP96" s="78"/>
      <c r="FQ96" s="78"/>
      <c r="FR96" s="78"/>
      <c r="FS96" s="78"/>
      <c r="FT96" s="78"/>
      <c r="FU96" s="78"/>
      <c r="FV96" s="78"/>
      <c r="FW96" s="78"/>
      <c r="FX96" s="78"/>
      <c r="FY96" s="78"/>
      <c r="FZ96" s="78"/>
      <c r="GA96" s="78"/>
      <c r="GB96" s="78"/>
      <c r="GC96" s="78"/>
      <c r="GD96" s="78"/>
      <c r="GE96" s="78"/>
      <c r="GF96" s="78"/>
      <c r="GG96" s="78"/>
      <c r="GH96" s="78"/>
      <c r="GI96" s="42"/>
    </row>
    <row r="97" spans="1:193" ht="15" thickTop="1" x14ac:dyDescent="0.3">
      <c r="A97" s="522" t="s">
        <v>220</v>
      </c>
      <c r="B97" s="523"/>
      <c r="C97" s="523"/>
      <c r="D97" s="523"/>
      <c r="E97" s="523"/>
      <c r="F97" s="523"/>
      <c r="G97" s="523"/>
      <c r="H97" s="523"/>
      <c r="I97" s="523"/>
      <c r="J97" s="523"/>
      <c r="K97" s="523"/>
      <c r="L97" s="523"/>
      <c r="M97" s="523"/>
      <c r="N97" s="523"/>
      <c r="O97" s="523"/>
      <c r="P97" s="523"/>
      <c r="Q97" s="523"/>
      <c r="R97" s="523"/>
      <c r="S97" s="523"/>
      <c r="T97" s="523"/>
      <c r="U97" s="523"/>
      <c r="V97" s="523"/>
      <c r="W97" s="523"/>
      <c r="X97" s="523"/>
      <c r="Y97" s="523"/>
      <c r="Z97" s="523"/>
      <c r="AA97" s="523"/>
      <c r="AB97" s="523"/>
      <c r="AC97" s="523"/>
      <c r="AD97" s="523"/>
      <c r="AE97" s="523"/>
      <c r="AF97" s="523"/>
      <c r="AG97" s="523"/>
      <c r="AH97" s="523"/>
      <c r="AI97" s="523"/>
      <c r="AJ97" s="523"/>
      <c r="AK97" s="523"/>
      <c r="AL97" s="523"/>
      <c r="AM97" s="523"/>
      <c r="AN97" s="523"/>
      <c r="AO97" s="523"/>
      <c r="AP97" s="523"/>
      <c r="AQ97" s="523"/>
      <c r="AR97" s="523"/>
      <c r="AS97" s="523"/>
      <c r="AT97" s="523"/>
      <c r="AU97" s="523"/>
      <c r="AV97" s="523"/>
      <c r="AW97" s="523"/>
      <c r="AX97" s="523"/>
      <c r="AY97" s="523"/>
      <c r="AZ97" s="523"/>
      <c r="BA97" s="523"/>
      <c r="BB97" s="523"/>
      <c r="BC97" s="523"/>
      <c r="BD97" s="523"/>
      <c r="BE97" s="523"/>
      <c r="BF97" s="523"/>
      <c r="BG97" s="523"/>
      <c r="BH97" s="523"/>
      <c r="BI97" s="523"/>
      <c r="BJ97" s="523"/>
      <c r="BK97" s="523"/>
      <c r="BL97" s="523"/>
      <c r="BM97" s="523"/>
      <c r="BN97" s="523"/>
      <c r="BO97" s="523"/>
      <c r="BP97" s="523"/>
      <c r="BQ97" s="523"/>
      <c r="BR97" s="523"/>
      <c r="BS97" s="523"/>
      <c r="BT97" s="523"/>
      <c r="BU97" s="523"/>
      <c r="BV97" s="523"/>
      <c r="BW97" s="523"/>
      <c r="BX97" s="523"/>
      <c r="BY97" s="523"/>
      <c r="BZ97" s="523"/>
      <c r="CA97" s="523"/>
      <c r="CB97" s="523"/>
      <c r="CC97" s="523"/>
      <c r="CD97" s="523"/>
      <c r="CE97" s="523"/>
      <c r="CF97" s="523"/>
      <c r="CG97" s="523"/>
      <c r="CH97" s="523"/>
      <c r="CI97" s="523"/>
      <c r="CJ97" s="523"/>
      <c r="CK97" s="523"/>
      <c r="CL97" s="523"/>
      <c r="CM97" s="523"/>
      <c r="CN97" s="523"/>
      <c r="CO97" s="523"/>
      <c r="CP97" s="523"/>
      <c r="CQ97" s="523"/>
      <c r="CR97" s="523"/>
      <c r="CS97" s="523"/>
      <c r="CT97" s="523"/>
      <c r="CU97" s="523"/>
      <c r="CV97" s="523"/>
      <c r="CW97" s="523"/>
      <c r="CX97" s="523"/>
      <c r="CY97" s="523"/>
      <c r="CZ97" s="523"/>
      <c r="DA97" s="523"/>
      <c r="DB97" s="523"/>
      <c r="DC97" s="523"/>
      <c r="DD97" s="523"/>
      <c r="DE97" s="523"/>
      <c r="DF97" s="523"/>
      <c r="DG97" s="523"/>
      <c r="DH97" s="523"/>
      <c r="DI97" s="523"/>
      <c r="DJ97" s="523"/>
      <c r="DK97" s="523"/>
      <c r="DL97" s="523"/>
      <c r="DM97" s="523"/>
      <c r="DN97" s="523"/>
      <c r="DO97" s="523"/>
      <c r="DP97" s="523"/>
      <c r="DQ97" s="523"/>
      <c r="DR97" s="523"/>
      <c r="DS97" s="523"/>
      <c r="DT97" s="523"/>
      <c r="DU97" s="523"/>
      <c r="DV97" s="523"/>
      <c r="DW97" s="523"/>
      <c r="DX97" s="523"/>
      <c r="DY97" s="523"/>
      <c r="DZ97" s="523"/>
      <c r="EA97" s="523"/>
      <c r="EB97" s="523"/>
      <c r="EC97" s="523"/>
      <c r="ED97" s="523"/>
      <c r="EE97" s="523"/>
      <c r="EF97" s="523"/>
      <c r="EG97" s="523"/>
      <c r="EH97" s="523"/>
      <c r="EI97" s="523"/>
      <c r="EJ97" s="523"/>
      <c r="EK97" s="523"/>
      <c r="EL97" s="523"/>
      <c r="EM97" s="523"/>
      <c r="EN97" s="523"/>
      <c r="EO97" s="524"/>
      <c r="EP97" s="78"/>
      <c r="EQ97" s="78"/>
      <c r="ER97" s="78"/>
      <c r="ES97" s="78"/>
      <c r="ET97" s="78"/>
      <c r="EU97" s="78"/>
      <c r="EV97" s="78"/>
      <c r="EW97" s="78"/>
      <c r="EX97" s="78"/>
      <c r="EY97" s="78"/>
      <c r="EZ97" s="78"/>
      <c r="FA97" s="78"/>
      <c r="FB97" s="78"/>
      <c r="FC97" s="78"/>
      <c r="FD97" s="78"/>
      <c r="FE97" s="78"/>
      <c r="FF97" s="78"/>
      <c r="FG97" s="78"/>
      <c r="FH97" s="78"/>
      <c r="FI97" s="78"/>
      <c r="FJ97" s="78"/>
      <c r="FK97" s="78"/>
      <c r="FL97" s="78"/>
      <c r="FM97" s="78"/>
      <c r="FN97" s="78"/>
      <c r="FO97" s="78"/>
      <c r="FP97" s="78"/>
      <c r="FQ97" s="78"/>
      <c r="FR97" s="78"/>
      <c r="FS97" s="78"/>
      <c r="FT97" s="78"/>
      <c r="FU97" s="78"/>
      <c r="FV97" s="78"/>
      <c r="FW97" s="78"/>
      <c r="FX97" s="78"/>
      <c r="FY97" s="78"/>
      <c r="FZ97" s="78"/>
      <c r="GA97" s="78"/>
      <c r="GB97" s="78"/>
      <c r="GC97" s="78"/>
      <c r="GD97" s="78"/>
      <c r="GE97" s="78"/>
      <c r="GF97" s="78"/>
      <c r="GG97" s="78"/>
      <c r="GH97" s="78"/>
      <c r="GI97" s="42"/>
    </row>
    <row r="98" spans="1:193" ht="9.6" customHeight="1" x14ac:dyDescent="0.3">
      <c r="A98" s="525" t="s">
        <v>221</v>
      </c>
      <c r="B98" s="476"/>
      <c r="C98" s="476"/>
      <c r="D98" s="476"/>
      <c r="E98" s="476"/>
      <c r="F98" s="476"/>
      <c r="G98" s="476"/>
      <c r="H98" s="476"/>
      <c r="I98" s="476"/>
      <c r="J98" s="476"/>
      <c r="K98" s="476"/>
      <c r="L98" s="476"/>
      <c r="M98" s="476"/>
      <c r="N98" s="476"/>
      <c r="O98" s="476"/>
      <c r="P98" s="476"/>
      <c r="Q98" s="476"/>
      <c r="R98" s="476"/>
      <c r="S98" s="476"/>
      <c r="T98" s="476"/>
      <c r="U98" s="476"/>
      <c r="V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  <c r="AG98" s="476"/>
      <c r="AH98" s="476"/>
      <c r="AI98" s="476"/>
      <c r="AJ98" s="476"/>
      <c r="AK98" s="476"/>
      <c r="AL98" s="476"/>
      <c r="AM98" s="476"/>
      <c r="AN98" s="477"/>
      <c r="AO98" s="526" t="s">
        <v>215</v>
      </c>
      <c r="AP98" s="527"/>
      <c r="AQ98" s="527"/>
      <c r="AR98" s="527"/>
      <c r="AS98" s="527"/>
      <c r="AT98" s="527"/>
      <c r="AU98" s="527"/>
      <c r="AV98" s="527"/>
      <c r="AW98" s="528"/>
      <c r="AX98" s="475" t="s">
        <v>222</v>
      </c>
      <c r="AY98" s="476"/>
      <c r="AZ98" s="476"/>
      <c r="BA98" s="476"/>
      <c r="BB98" s="476"/>
      <c r="BC98" s="476"/>
      <c r="BD98" s="476"/>
      <c r="BE98" s="476"/>
      <c r="BF98" s="476"/>
      <c r="BG98" s="476"/>
      <c r="BH98" s="476"/>
      <c r="BI98" s="476"/>
      <c r="BJ98" s="476"/>
      <c r="BK98" s="476"/>
      <c r="BL98" s="476"/>
      <c r="BM98" s="476"/>
      <c r="BN98" s="476"/>
      <c r="BO98" s="476"/>
      <c r="BP98" s="476"/>
      <c r="BQ98" s="476"/>
      <c r="BR98" s="476"/>
      <c r="BS98" s="476"/>
      <c r="BT98" s="476"/>
      <c r="BU98" s="476"/>
      <c r="BV98" s="477"/>
      <c r="BW98" s="473" t="s">
        <v>223</v>
      </c>
      <c r="BX98" s="305"/>
      <c r="BY98" s="305"/>
      <c r="BZ98" s="305"/>
      <c r="CA98" s="305"/>
      <c r="CB98" s="305"/>
      <c r="CC98" s="305"/>
      <c r="CD98" s="305"/>
      <c r="CE98" s="305"/>
      <c r="CF98" s="305"/>
      <c r="CG98" s="305"/>
      <c r="CH98" s="305"/>
      <c r="CI98" s="305"/>
      <c r="CJ98" s="305"/>
      <c r="CK98" s="305"/>
      <c r="CL98" s="305"/>
      <c r="CM98" s="305"/>
      <c r="CN98" s="305"/>
      <c r="CO98" s="305"/>
      <c r="CP98" s="306"/>
      <c r="CQ98" s="475" t="s">
        <v>224</v>
      </c>
      <c r="CR98" s="476"/>
      <c r="CS98" s="476"/>
      <c r="CT98" s="476"/>
      <c r="CU98" s="476"/>
      <c r="CV98" s="476"/>
      <c r="CW98" s="476"/>
      <c r="CX98" s="476"/>
      <c r="CY98" s="476"/>
      <c r="CZ98" s="476"/>
      <c r="DA98" s="476"/>
      <c r="DB98" s="476"/>
      <c r="DC98" s="476"/>
      <c r="DD98" s="476"/>
      <c r="DE98" s="476"/>
      <c r="DF98" s="476"/>
      <c r="DG98" s="476"/>
      <c r="DH98" s="476"/>
      <c r="DI98" s="476"/>
      <c r="DJ98" s="476"/>
      <c r="DK98" s="476"/>
      <c r="DL98" s="476"/>
      <c r="DM98" s="476"/>
      <c r="DN98" s="476"/>
      <c r="DO98" s="476"/>
      <c r="DP98" s="476"/>
      <c r="DQ98" s="477"/>
      <c r="DR98" s="475" t="s">
        <v>225</v>
      </c>
      <c r="DS98" s="476"/>
      <c r="DT98" s="476"/>
      <c r="DU98" s="476"/>
      <c r="DV98" s="476"/>
      <c r="DW98" s="476"/>
      <c r="DX98" s="476"/>
      <c r="DY98" s="476"/>
      <c r="DZ98" s="476"/>
      <c r="EA98" s="476"/>
      <c r="EB98" s="476"/>
      <c r="EC98" s="476"/>
      <c r="ED98" s="476"/>
      <c r="EE98" s="476"/>
      <c r="EF98" s="476"/>
      <c r="EG98" s="476"/>
      <c r="EH98" s="476"/>
      <c r="EI98" s="476"/>
      <c r="EJ98" s="476"/>
      <c r="EK98" s="476"/>
      <c r="EL98" s="476"/>
      <c r="EM98" s="476"/>
      <c r="EN98" s="476"/>
      <c r="EO98" s="530"/>
      <c r="EP98" s="78"/>
      <c r="EQ98" s="78"/>
      <c r="ER98" s="78"/>
      <c r="ES98" s="78" t="s">
        <v>226</v>
      </c>
      <c r="ET98" s="78"/>
      <c r="EU98" s="78"/>
      <c r="EV98" s="78"/>
      <c r="EW98" s="78"/>
      <c r="EX98" s="78"/>
      <c r="EY98" s="78"/>
      <c r="EZ98" s="78"/>
      <c r="FA98" s="78"/>
      <c r="FB98" s="78"/>
      <c r="FC98" s="78"/>
      <c r="FD98" s="78"/>
      <c r="FE98" s="78"/>
      <c r="FF98" s="452"/>
      <c r="FG98" s="452"/>
      <c r="FH98" s="452"/>
      <c r="FI98" s="452"/>
      <c r="FJ98" s="452"/>
      <c r="FK98" s="452"/>
      <c r="FL98" s="452"/>
      <c r="FM98" s="452"/>
      <c r="FN98" s="452"/>
      <c r="FO98" s="452"/>
      <c r="FP98" s="452"/>
      <c r="FQ98" s="452"/>
      <c r="FR98" s="452"/>
      <c r="FS98" s="452"/>
      <c r="FT98" s="452"/>
      <c r="FU98" s="452"/>
      <c r="FV98" s="452"/>
      <c r="FW98" s="452"/>
      <c r="FX98" s="452"/>
      <c r="FY98" s="452"/>
      <c r="FZ98" s="452"/>
      <c r="GA98" s="452"/>
      <c r="GB98" s="452"/>
      <c r="GC98" s="452"/>
      <c r="GD98" s="452"/>
      <c r="GE98" s="452"/>
      <c r="GF98" s="452"/>
      <c r="GG98" s="452"/>
      <c r="GH98" s="452"/>
      <c r="GI98" s="42"/>
    </row>
    <row r="99" spans="1:193" ht="8.4" customHeight="1" x14ac:dyDescent="0.3">
      <c r="A99" s="531" t="s">
        <v>227</v>
      </c>
      <c r="B99" s="532"/>
      <c r="C99" s="532"/>
      <c r="D99" s="532"/>
      <c r="E99" s="532"/>
      <c r="F99" s="532"/>
      <c r="G99" s="532"/>
      <c r="H99" s="533"/>
      <c r="I99" s="540" t="s">
        <v>228</v>
      </c>
      <c r="J99" s="532"/>
      <c r="K99" s="532"/>
      <c r="L99" s="532"/>
      <c r="M99" s="532"/>
      <c r="N99" s="532"/>
      <c r="O99" s="532"/>
      <c r="P99" s="533"/>
      <c r="Q99" s="540" t="s">
        <v>229</v>
      </c>
      <c r="R99" s="532"/>
      <c r="S99" s="532"/>
      <c r="T99" s="532"/>
      <c r="U99" s="532"/>
      <c r="V99" s="532"/>
      <c r="W99" s="532"/>
      <c r="X99" s="533"/>
      <c r="Y99" s="540" t="s">
        <v>230</v>
      </c>
      <c r="Z99" s="532"/>
      <c r="AA99" s="532"/>
      <c r="AB99" s="532"/>
      <c r="AC99" s="532"/>
      <c r="AD99" s="532"/>
      <c r="AE99" s="532"/>
      <c r="AF99" s="533"/>
      <c r="AG99" s="540" t="s">
        <v>231</v>
      </c>
      <c r="AH99" s="532"/>
      <c r="AI99" s="532"/>
      <c r="AJ99" s="532"/>
      <c r="AK99" s="532"/>
      <c r="AL99" s="532"/>
      <c r="AM99" s="532"/>
      <c r="AN99" s="533"/>
      <c r="AO99" s="543" t="s">
        <v>232</v>
      </c>
      <c r="AP99" s="544"/>
      <c r="AQ99" s="544"/>
      <c r="AR99" s="544"/>
      <c r="AS99" s="544"/>
      <c r="AT99" s="544"/>
      <c r="AU99" s="544"/>
      <c r="AV99" s="544"/>
      <c r="AW99" s="545"/>
      <c r="AX99" s="540" t="s">
        <v>233</v>
      </c>
      <c r="AY99" s="532"/>
      <c r="AZ99" s="532"/>
      <c r="BA99" s="532"/>
      <c r="BB99" s="532"/>
      <c r="BC99" s="532"/>
      <c r="BD99" s="532"/>
      <c r="BE99" s="532"/>
      <c r="BF99" s="532"/>
      <c r="BG99" s="532"/>
      <c r="BH99" s="533"/>
      <c r="BI99" s="546" t="s">
        <v>234</v>
      </c>
      <c r="BJ99" s="547"/>
      <c r="BK99" s="547"/>
      <c r="BL99" s="547"/>
      <c r="BM99" s="547"/>
      <c r="BN99" s="547"/>
      <c r="BO99" s="547"/>
      <c r="BP99" s="547"/>
      <c r="BQ99" s="547"/>
      <c r="BR99" s="547"/>
      <c r="BS99" s="547"/>
      <c r="BT99" s="547"/>
      <c r="BU99" s="547"/>
      <c r="BV99" s="548"/>
      <c r="BW99" s="529"/>
      <c r="BX99" s="308"/>
      <c r="BY99" s="308"/>
      <c r="BZ99" s="308"/>
      <c r="CA99" s="308"/>
      <c r="CB99" s="308"/>
      <c r="CC99" s="308"/>
      <c r="CD99" s="308"/>
      <c r="CE99" s="308"/>
      <c r="CF99" s="308"/>
      <c r="CG99" s="308"/>
      <c r="CH99" s="308"/>
      <c r="CI99" s="308"/>
      <c r="CJ99" s="308"/>
      <c r="CK99" s="308"/>
      <c r="CL99" s="308"/>
      <c r="CM99" s="308"/>
      <c r="CN99" s="308"/>
      <c r="CO99" s="308"/>
      <c r="CP99" s="309"/>
      <c r="CQ99" s="546" t="s">
        <v>235</v>
      </c>
      <c r="CR99" s="547"/>
      <c r="CS99" s="547"/>
      <c r="CT99" s="547"/>
      <c r="CU99" s="547"/>
      <c r="CV99" s="547"/>
      <c r="CW99" s="547"/>
      <c r="CX99" s="547"/>
      <c r="CY99" s="547"/>
      <c r="CZ99" s="547"/>
      <c r="DA99" s="547"/>
      <c r="DB99" s="547"/>
      <c r="DC99" s="548"/>
      <c r="DD99" s="546" t="s">
        <v>236</v>
      </c>
      <c r="DE99" s="547"/>
      <c r="DF99" s="547"/>
      <c r="DG99" s="547"/>
      <c r="DH99" s="547"/>
      <c r="DI99" s="547"/>
      <c r="DJ99" s="547"/>
      <c r="DK99" s="547"/>
      <c r="DL99" s="547"/>
      <c r="DM99" s="547"/>
      <c r="DN99" s="547"/>
      <c r="DO99" s="547"/>
      <c r="DP99" s="547"/>
      <c r="DQ99" s="548"/>
      <c r="DR99" s="546" t="s">
        <v>237</v>
      </c>
      <c r="DS99" s="547"/>
      <c r="DT99" s="547"/>
      <c r="DU99" s="547"/>
      <c r="DV99" s="547"/>
      <c r="DW99" s="547"/>
      <c r="DX99" s="547"/>
      <c r="DY99" s="547"/>
      <c r="DZ99" s="547"/>
      <c r="EA99" s="547"/>
      <c r="EB99" s="547"/>
      <c r="EC99" s="547"/>
      <c r="ED99" s="547"/>
      <c r="EE99" s="548"/>
      <c r="EF99" s="546" t="s">
        <v>238</v>
      </c>
      <c r="EG99" s="547"/>
      <c r="EH99" s="547"/>
      <c r="EI99" s="547"/>
      <c r="EJ99" s="547"/>
      <c r="EK99" s="547"/>
      <c r="EL99" s="547"/>
      <c r="EM99" s="547"/>
      <c r="EN99" s="547"/>
      <c r="EO99" s="555"/>
      <c r="EP99" s="78"/>
      <c r="EQ99" s="78"/>
      <c r="ER99" s="367"/>
      <c r="ES99" s="367"/>
      <c r="ET99" s="367"/>
      <c r="EU99" s="367"/>
      <c r="EV99" s="367"/>
      <c r="EW99" s="367"/>
      <c r="EX99" s="367"/>
      <c r="EY99" s="367"/>
      <c r="EZ99" s="367"/>
      <c r="FA99" s="367"/>
      <c r="FB99" s="367"/>
      <c r="FC99" s="367"/>
      <c r="FD99" s="367"/>
      <c r="FE99" s="367"/>
      <c r="FF99" s="367"/>
      <c r="FG99" s="367"/>
      <c r="FH99" s="367"/>
      <c r="FI99" s="367"/>
      <c r="FJ99" s="367"/>
      <c r="FK99" s="367"/>
      <c r="FL99" s="367"/>
      <c r="FM99" s="367"/>
      <c r="FN99" s="367"/>
      <c r="FO99" s="367"/>
      <c r="FP99" s="367"/>
      <c r="FQ99" s="367"/>
      <c r="FR99" s="367"/>
      <c r="FS99" s="367"/>
      <c r="FT99" s="367"/>
      <c r="FU99" s="367"/>
      <c r="FV99" s="367"/>
      <c r="FW99" s="367"/>
      <c r="FX99" s="367"/>
      <c r="FY99" s="367"/>
      <c r="FZ99" s="367"/>
      <c r="GA99" s="367"/>
      <c r="GB99" s="367"/>
      <c r="GC99" s="367"/>
      <c r="GD99" s="367"/>
      <c r="GE99" s="367"/>
      <c r="GF99" s="367"/>
      <c r="GG99" s="367"/>
      <c r="GH99" s="367"/>
      <c r="GI99" s="42"/>
    </row>
    <row r="100" spans="1:193" ht="8.4" customHeight="1" x14ac:dyDescent="0.3">
      <c r="A100" s="534"/>
      <c r="B100" s="535"/>
      <c r="C100" s="535"/>
      <c r="D100" s="535"/>
      <c r="E100" s="535"/>
      <c r="F100" s="535"/>
      <c r="G100" s="535"/>
      <c r="H100" s="536"/>
      <c r="I100" s="541"/>
      <c r="J100" s="535"/>
      <c r="K100" s="535"/>
      <c r="L100" s="535"/>
      <c r="M100" s="535"/>
      <c r="N100" s="535"/>
      <c r="O100" s="535"/>
      <c r="P100" s="536"/>
      <c r="Q100" s="541"/>
      <c r="R100" s="535"/>
      <c r="S100" s="535"/>
      <c r="T100" s="535"/>
      <c r="U100" s="535"/>
      <c r="V100" s="535"/>
      <c r="W100" s="535"/>
      <c r="X100" s="536"/>
      <c r="Y100" s="541"/>
      <c r="Z100" s="535"/>
      <c r="AA100" s="535"/>
      <c r="AB100" s="535"/>
      <c r="AC100" s="535"/>
      <c r="AD100" s="535"/>
      <c r="AE100" s="535"/>
      <c r="AF100" s="536"/>
      <c r="AG100" s="541"/>
      <c r="AH100" s="535"/>
      <c r="AI100" s="535"/>
      <c r="AJ100" s="535"/>
      <c r="AK100" s="535"/>
      <c r="AL100" s="535"/>
      <c r="AM100" s="535"/>
      <c r="AN100" s="536"/>
      <c r="AO100" s="543" t="s">
        <v>239</v>
      </c>
      <c r="AP100" s="544"/>
      <c r="AQ100" s="544"/>
      <c r="AR100" s="544"/>
      <c r="AS100" s="544"/>
      <c r="AT100" s="544"/>
      <c r="AU100" s="544"/>
      <c r="AV100" s="544"/>
      <c r="AW100" s="545"/>
      <c r="AX100" s="541"/>
      <c r="AY100" s="535"/>
      <c r="AZ100" s="535"/>
      <c r="BA100" s="535"/>
      <c r="BB100" s="535"/>
      <c r="BC100" s="535"/>
      <c r="BD100" s="535"/>
      <c r="BE100" s="535"/>
      <c r="BF100" s="535"/>
      <c r="BG100" s="535"/>
      <c r="BH100" s="536"/>
      <c r="BI100" s="549"/>
      <c r="BJ100" s="550"/>
      <c r="BK100" s="550"/>
      <c r="BL100" s="550"/>
      <c r="BM100" s="550"/>
      <c r="BN100" s="550"/>
      <c r="BO100" s="550"/>
      <c r="BP100" s="550"/>
      <c r="BQ100" s="550"/>
      <c r="BR100" s="550"/>
      <c r="BS100" s="550"/>
      <c r="BT100" s="550"/>
      <c r="BU100" s="550"/>
      <c r="BV100" s="551"/>
      <c r="BW100" s="529"/>
      <c r="BX100" s="308"/>
      <c r="BY100" s="308"/>
      <c r="BZ100" s="308"/>
      <c r="CA100" s="308"/>
      <c r="CB100" s="308"/>
      <c r="CC100" s="308"/>
      <c r="CD100" s="308"/>
      <c r="CE100" s="308"/>
      <c r="CF100" s="308"/>
      <c r="CG100" s="308"/>
      <c r="CH100" s="308"/>
      <c r="CI100" s="308"/>
      <c r="CJ100" s="308"/>
      <c r="CK100" s="308"/>
      <c r="CL100" s="308"/>
      <c r="CM100" s="308"/>
      <c r="CN100" s="308"/>
      <c r="CO100" s="308"/>
      <c r="CP100" s="309"/>
      <c r="CQ100" s="549"/>
      <c r="CR100" s="550"/>
      <c r="CS100" s="550"/>
      <c r="CT100" s="550"/>
      <c r="CU100" s="550"/>
      <c r="CV100" s="550"/>
      <c r="CW100" s="550"/>
      <c r="CX100" s="550"/>
      <c r="CY100" s="550"/>
      <c r="CZ100" s="550"/>
      <c r="DA100" s="550"/>
      <c r="DB100" s="550"/>
      <c r="DC100" s="551"/>
      <c r="DD100" s="549"/>
      <c r="DE100" s="550"/>
      <c r="DF100" s="550"/>
      <c r="DG100" s="550"/>
      <c r="DH100" s="550"/>
      <c r="DI100" s="550"/>
      <c r="DJ100" s="550"/>
      <c r="DK100" s="550"/>
      <c r="DL100" s="550"/>
      <c r="DM100" s="550"/>
      <c r="DN100" s="550"/>
      <c r="DO100" s="550"/>
      <c r="DP100" s="550"/>
      <c r="DQ100" s="551"/>
      <c r="DR100" s="549"/>
      <c r="DS100" s="550"/>
      <c r="DT100" s="550"/>
      <c r="DU100" s="550"/>
      <c r="DV100" s="550"/>
      <c r="DW100" s="550"/>
      <c r="DX100" s="550"/>
      <c r="DY100" s="550"/>
      <c r="DZ100" s="550"/>
      <c r="EA100" s="550"/>
      <c r="EB100" s="550"/>
      <c r="EC100" s="550"/>
      <c r="ED100" s="550"/>
      <c r="EE100" s="551"/>
      <c r="EF100" s="549"/>
      <c r="EG100" s="550"/>
      <c r="EH100" s="550"/>
      <c r="EI100" s="550"/>
      <c r="EJ100" s="550"/>
      <c r="EK100" s="550"/>
      <c r="EL100" s="550"/>
      <c r="EM100" s="550"/>
      <c r="EN100" s="550"/>
      <c r="EO100" s="556"/>
      <c r="EP100" s="78"/>
      <c r="EQ100" s="78"/>
      <c r="ER100" s="457"/>
      <c r="ES100" s="457"/>
      <c r="ET100" s="457"/>
      <c r="EU100" s="457"/>
      <c r="EV100" s="457"/>
      <c r="EW100" s="457"/>
      <c r="EX100" s="457"/>
      <c r="EY100" s="457"/>
      <c r="EZ100" s="457"/>
      <c r="FA100" s="457"/>
      <c r="FB100" s="457"/>
      <c r="FC100" s="457"/>
      <c r="FD100" s="457"/>
      <c r="FE100" s="457"/>
      <c r="FF100" s="457"/>
      <c r="FG100" s="457"/>
      <c r="FH100" s="457"/>
      <c r="FI100" s="457"/>
      <c r="FJ100" s="457"/>
      <c r="FK100" s="457"/>
      <c r="FL100" s="457"/>
      <c r="FM100" s="457"/>
      <c r="FN100" s="457"/>
      <c r="FO100" s="457"/>
      <c r="FP100" s="457"/>
      <c r="FQ100" s="457"/>
      <c r="FR100" s="457"/>
      <c r="FS100" s="457"/>
      <c r="FT100" s="457"/>
      <c r="FU100" s="457"/>
      <c r="FV100" s="457"/>
      <c r="FW100" s="457"/>
      <c r="FX100" s="457"/>
      <c r="FY100" s="457"/>
      <c r="FZ100" s="457"/>
      <c r="GA100" s="457"/>
      <c r="GB100" s="457"/>
      <c r="GC100" s="457"/>
      <c r="GD100" s="457"/>
      <c r="GE100" s="457"/>
      <c r="GF100" s="457"/>
      <c r="GG100" s="457"/>
      <c r="GH100" s="457"/>
      <c r="GI100" s="42"/>
    </row>
    <row r="101" spans="1:193" ht="8.4" customHeight="1" x14ac:dyDescent="0.3">
      <c r="A101" s="537"/>
      <c r="B101" s="538"/>
      <c r="C101" s="538"/>
      <c r="D101" s="538"/>
      <c r="E101" s="538"/>
      <c r="F101" s="538"/>
      <c r="G101" s="538"/>
      <c r="H101" s="539"/>
      <c r="I101" s="542"/>
      <c r="J101" s="538"/>
      <c r="K101" s="538"/>
      <c r="L101" s="538"/>
      <c r="M101" s="538"/>
      <c r="N101" s="538"/>
      <c r="O101" s="538"/>
      <c r="P101" s="539"/>
      <c r="Q101" s="542"/>
      <c r="R101" s="538"/>
      <c r="S101" s="538"/>
      <c r="T101" s="538"/>
      <c r="U101" s="538"/>
      <c r="V101" s="538"/>
      <c r="W101" s="538"/>
      <c r="X101" s="539"/>
      <c r="Y101" s="542"/>
      <c r="Z101" s="538"/>
      <c r="AA101" s="538"/>
      <c r="AB101" s="538"/>
      <c r="AC101" s="538"/>
      <c r="AD101" s="538"/>
      <c r="AE101" s="538"/>
      <c r="AF101" s="539"/>
      <c r="AG101" s="542"/>
      <c r="AH101" s="538"/>
      <c r="AI101" s="538"/>
      <c r="AJ101" s="538"/>
      <c r="AK101" s="538"/>
      <c r="AL101" s="538"/>
      <c r="AM101" s="538"/>
      <c r="AN101" s="539"/>
      <c r="AO101" s="558" t="s">
        <v>240</v>
      </c>
      <c r="AP101" s="559"/>
      <c r="AQ101" s="559"/>
      <c r="AR101" s="559"/>
      <c r="AS101" s="559"/>
      <c r="AT101" s="559"/>
      <c r="AU101" s="559"/>
      <c r="AV101" s="559"/>
      <c r="AW101" s="560"/>
      <c r="AX101" s="542"/>
      <c r="AY101" s="538"/>
      <c r="AZ101" s="538"/>
      <c r="BA101" s="538"/>
      <c r="BB101" s="538"/>
      <c r="BC101" s="538"/>
      <c r="BD101" s="538"/>
      <c r="BE101" s="538"/>
      <c r="BF101" s="538"/>
      <c r="BG101" s="538"/>
      <c r="BH101" s="539"/>
      <c r="BI101" s="552"/>
      <c r="BJ101" s="553"/>
      <c r="BK101" s="553"/>
      <c r="BL101" s="553"/>
      <c r="BM101" s="553"/>
      <c r="BN101" s="553"/>
      <c r="BO101" s="553"/>
      <c r="BP101" s="553"/>
      <c r="BQ101" s="553"/>
      <c r="BR101" s="553"/>
      <c r="BS101" s="553"/>
      <c r="BT101" s="553"/>
      <c r="BU101" s="553"/>
      <c r="BV101" s="554"/>
      <c r="BW101" s="474"/>
      <c r="BX101" s="311"/>
      <c r="BY101" s="311"/>
      <c r="BZ101" s="311"/>
      <c r="CA101" s="311"/>
      <c r="CB101" s="311"/>
      <c r="CC101" s="311"/>
      <c r="CD101" s="311"/>
      <c r="CE101" s="311"/>
      <c r="CF101" s="311"/>
      <c r="CG101" s="311"/>
      <c r="CH101" s="311"/>
      <c r="CI101" s="311"/>
      <c r="CJ101" s="311"/>
      <c r="CK101" s="311"/>
      <c r="CL101" s="311"/>
      <c r="CM101" s="311"/>
      <c r="CN101" s="311"/>
      <c r="CO101" s="311"/>
      <c r="CP101" s="312"/>
      <c r="CQ101" s="552"/>
      <c r="CR101" s="553"/>
      <c r="CS101" s="553"/>
      <c r="CT101" s="553"/>
      <c r="CU101" s="553"/>
      <c r="CV101" s="553"/>
      <c r="CW101" s="553"/>
      <c r="CX101" s="553"/>
      <c r="CY101" s="553"/>
      <c r="CZ101" s="553"/>
      <c r="DA101" s="553"/>
      <c r="DB101" s="553"/>
      <c r="DC101" s="554"/>
      <c r="DD101" s="552"/>
      <c r="DE101" s="553"/>
      <c r="DF101" s="553"/>
      <c r="DG101" s="553"/>
      <c r="DH101" s="553"/>
      <c r="DI101" s="553"/>
      <c r="DJ101" s="553"/>
      <c r="DK101" s="553"/>
      <c r="DL101" s="553"/>
      <c r="DM101" s="553"/>
      <c r="DN101" s="553"/>
      <c r="DO101" s="553"/>
      <c r="DP101" s="553"/>
      <c r="DQ101" s="554"/>
      <c r="DR101" s="552"/>
      <c r="DS101" s="553"/>
      <c r="DT101" s="553"/>
      <c r="DU101" s="553"/>
      <c r="DV101" s="553"/>
      <c r="DW101" s="553"/>
      <c r="DX101" s="553"/>
      <c r="DY101" s="553"/>
      <c r="DZ101" s="553"/>
      <c r="EA101" s="553"/>
      <c r="EB101" s="553"/>
      <c r="EC101" s="553"/>
      <c r="ED101" s="553"/>
      <c r="EE101" s="554"/>
      <c r="EF101" s="552"/>
      <c r="EG101" s="553"/>
      <c r="EH101" s="553"/>
      <c r="EI101" s="553"/>
      <c r="EJ101" s="553"/>
      <c r="EK101" s="553"/>
      <c r="EL101" s="553"/>
      <c r="EM101" s="553"/>
      <c r="EN101" s="553"/>
      <c r="EO101" s="557"/>
      <c r="EP101" s="78"/>
      <c r="EQ101" s="78"/>
      <c r="ER101" s="459"/>
      <c r="ES101" s="459"/>
      <c r="ET101" s="459"/>
      <c r="EU101" s="459"/>
      <c r="EV101" s="459"/>
      <c r="EW101" s="459"/>
      <c r="EX101" s="459"/>
      <c r="EY101" s="459"/>
      <c r="EZ101" s="459"/>
      <c r="FA101" s="459"/>
      <c r="FB101" s="459"/>
      <c r="FC101" s="459"/>
      <c r="FD101" s="459"/>
      <c r="FE101" s="459"/>
      <c r="FF101" s="459"/>
      <c r="FG101" s="459"/>
      <c r="FH101" s="459"/>
      <c r="FI101" s="459"/>
      <c r="FJ101" s="459"/>
      <c r="FK101" s="459"/>
      <c r="FL101" s="459"/>
      <c r="FM101" s="459"/>
      <c r="FN101" s="459"/>
      <c r="FO101" s="459"/>
      <c r="FP101" s="459"/>
      <c r="FQ101" s="459"/>
      <c r="FR101" s="459"/>
      <c r="FS101" s="459"/>
      <c r="FT101" s="459"/>
      <c r="FU101" s="459"/>
      <c r="FV101" s="459"/>
      <c r="FW101" s="459"/>
      <c r="FX101" s="459"/>
      <c r="FY101" s="459"/>
      <c r="FZ101" s="459"/>
      <c r="GA101" s="459"/>
      <c r="GB101" s="459"/>
      <c r="GC101" s="459"/>
      <c r="GD101" s="459"/>
      <c r="GE101" s="459"/>
      <c r="GF101" s="459"/>
      <c r="GG101" s="459"/>
      <c r="GH101" s="459"/>
      <c r="GI101" s="42"/>
    </row>
    <row r="102" spans="1:193" ht="9.6" customHeight="1" thickBot="1" x14ac:dyDescent="0.35">
      <c r="A102" s="413">
        <v>20</v>
      </c>
      <c r="B102" s="416"/>
      <c r="C102" s="416"/>
      <c r="D102" s="416"/>
      <c r="E102" s="416"/>
      <c r="F102" s="416"/>
      <c r="G102" s="416"/>
      <c r="H102" s="501"/>
      <c r="I102" s="483">
        <v>21</v>
      </c>
      <c r="J102" s="416"/>
      <c r="K102" s="416"/>
      <c r="L102" s="416"/>
      <c r="M102" s="416"/>
      <c r="N102" s="416"/>
      <c r="O102" s="416"/>
      <c r="P102" s="501"/>
      <c r="Q102" s="483">
        <v>22</v>
      </c>
      <c r="R102" s="416"/>
      <c r="S102" s="416"/>
      <c r="T102" s="416"/>
      <c r="U102" s="416"/>
      <c r="V102" s="416"/>
      <c r="W102" s="416"/>
      <c r="X102" s="501"/>
      <c r="Y102" s="483">
        <v>23</v>
      </c>
      <c r="Z102" s="416"/>
      <c r="AA102" s="416"/>
      <c r="AB102" s="416"/>
      <c r="AC102" s="416"/>
      <c r="AD102" s="416"/>
      <c r="AE102" s="416"/>
      <c r="AF102" s="501"/>
      <c r="AG102" s="483">
        <v>24</v>
      </c>
      <c r="AH102" s="416"/>
      <c r="AI102" s="416"/>
      <c r="AJ102" s="416"/>
      <c r="AK102" s="416"/>
      <c r="AL102" s="416"/>
      <c r="AM102" s="416"/>
      <c r="AN102" s="501"/>
      <c r="AO102" s="483">
        <v>25</v>
      </c>
      <c r="AP102" s="416"/>
      <c r="AQ102" s="416"/>
      <c r="AR102" s="416"/>
      <c r="AS102" s="416"/>
      <c r="AT102" s="416"/>
      <c r="AU102" s="416"/>
      <c r="AV102" s="416"/>
      <c r="AW102" s="501"/>
      <c r="AX102" s="483">
        <v>26</v>
      </c>
      <c r="AY102" s="416"/>
      <c r="AZ102" s="416"/>
      <c r="BA102" s="416"/>
      <c r="BB102" s="416"/>
      <c r="BC102" s="416"/>
      <c r="BD102" s="416"/>
      <c r="BE102" s="416"/>
      <c r="BF102" s="416"/>
      <c r="BG102" s="416"/>
      <c r="BH102" s="501"/>
      <c r="BI102" s="483">
        <v>27</v>
      </c>
      <c r="BJ102" s="416"/>
      <c r="BK102" s="416"/>
      <c r="BL102" s="416"/>
      <c r="BM102" s="416"/>
      <c r="BN102" s="416"/>
      <c r="BO102" s="416"/>
      <c r="BP102" s="416"/>
      <c r="BQ102" s="416"/>
      <c r="BR102" s="416"/>
      <c r="BS102" s="416"/>
      <c r="BT102" s="416"/>
      <c r="BU102" s="416"/>
      <c r="BV102" s="501"/>
      <c r="BW102" s="483">
        <v>28</v>
      </c>
      <c r="BX102" s="416"/>
      <c r="BY102" s="416"/>
      <c r="BZ102" s="416"/>
      <c r="CA102" s="416"/>
      <c r="CB102" s="416"/>
      <c r="CC102" s="416"/>
      <c r="CD102" s="416"/>
      <c r="CE102" s="416"/>
      <c r="CF102" s="416"/>
      <c r="CG102" s="416"/>
      <c r="CH102" s="416"/>
      <c r="CI102" s="416"/>
      <c r="CJ102" s="416"/>
      <c r="CK102" s="416"/>
      <c r="CL102" s="416"/>
      <c r="CM102" s="416"/>
      <c r="CN102" s="416"/>
      <c r="CO102" s="416"/>
      <c r="CP102" s="501"/>
      <c r="CQ102" s="483">
        <v>29</v>
      </c>
      <c r="CR102" s="416"/>
      <c r="CS102" s="416"/>
      <c r="CT102" s="416"/>
      <c r="CU102" s="416"/>
      <c r="CV102" s="416"/>
      <c r="CW102" s="416"/>
      <c r="CX102" s="416"/>
      <c r="CY102" s="416"/>
      <c r="CZ102" s="416"/>
      <c r="DA102" s="416"/>
      <c r="DB102" s="416"/>
      <c r="DC102" s="501"/>
      <c r="DD102" s="483">
        <v>30</v>
      </c>
      <c r="DE102" s="416"/>
      <c r="DF102" s="416"/>
      <c r="DG102" s="416"/>
      <c r="DH102" s="416"/>
      <c r="DI102" s="416"/>
      <c r="DJ102" s="416"/>
      <c r="DK102" s="416"/>
      <c r="DL102" s="416"/>
      <c r="DM102" s="416"/>
      <c r="DN102" s="416"/>
      <c r="DO102" s="416"/>
      <c r="DP102" s="416"/>
      <c r="DQ102" s="501"/>
      <c r="DR102" s="483">
        <v>31</v>
      </c>
      <c r="DS102" s="416"/>
      <c r="DT102" s="416"/>
      <c r="DU102" s="416"/>
      <c r="DV102" s="416"/>
      <c r="DW102" s="416"/>
      <c r="DX102" s="416"/>
      <c r="DY102" s="416"/>
      <c r="DZ102" s="416"/>
      <c r="EA102" s="416"/>
      <c r="EB102" s="416"/>
      <c r="EC102" s="416"/>
      <c r="ED102" s="416"/>
      <c r="EE102" s="501"/>
      <c r="EF102" s="483">
        <v>32</v>
      </c>
      <c r="EG102" s="416"/>
      <c r="EH102" s="416"/>
      <c r="EI102" s="416"/>
      <c r="EJ102" s="416"/>
      <c r="EK102" s="416"/>
      <c r="EL102" s="416"/>
      <c r="EM102" s="416"/>
      <c r="EN102" s="416"/>
      <c r="EO102" s="417"/>
      <c r="EP102" s="78"/>
      <c r="EQ102" s="78"/>
      <c r="ER102" s="457"/>
      <c r="ES102" s="457"/>
      <c r="ET102" s="457"/>
      <c r="EU102" s="457"/>
      <c r="EV102" s="457"/>
      <c r="EW102" s="457"/>
      <c r="EX102" s="457"/>
      <c r="EY102" s="457"/>
      <c r="EZ102" s="457"/>
      <c r="FA102" s="457"/>
      <c r="FB102" s="457"/>
      <c r="FC102" s="457"/>
      <c r="FD102" s="457"/>
      <c r="FE102" s="457"/>
      <c r="FF102" s="457"/>
      <c r="FG102" s="457"/>
      <c r="FH102" s="457"/>
      <c r="FI102" s="457"/>
      <c r="FJ102" s="457"/>
      <c r="FK102" s="457"/>
      <c r="FL102" s="457"/>
      <c r="FM102" s="457"/>
      <c r="FN102" s="457"/>
      <c r="FO102" s="457"/>
      <c r="FP102" s="457"/>
      <c r="FQ102" s="457"/>
      <c r="FR102" s="457"/>
      <c r="FS102" s="457"/>
      <c r="FT102" s="457"/>
      <c r="FU102" s="457"/>
      <c r="FV102" s="457"/>
      <c r="FW102" s="457"/>
      <c r="FX102" s="457"/>
      <c r="FY102" s="457"/>
      <c r="FZ102" s="457"/>
      <c r="GA102" s="457"/>
      <c r="GB102" s="457"/>
      <c r="GC102" s="457"/>
      <c r="GD102" s="457"/>
      <c r="GE102" s="457"/>
      <c r="GF102" s="457"/>
      <c r="GG102" s="457"/>
      <c r="GH102" s="457"/>
      <c r="GI102" s="42"/>
    </row>
    <row r="103" spans="1:193" ht="11.4" customHeight="1" thickBot="1" x14ac:dyDescent="0.35">
      <c r="A103" s="561"/>
      <c r="B103" s="562"/>
      <c r="C103" s="562"/>
      <c r="D103" s="562"/>
      <c r="E103" s="562"/>
      <c r="F103" s="562"/>
      <c r="G103" s="562"/>
      <c r="H103" s="563"/>
      <c r="I103" s="564"/>
      <c r="J103" s="562"/>
      <c r="K103" s="562"/>
      <c r="L103" s="562"/>
      <c r="M103" s="562"/>
      <c r="N103" s="562"/>
      <c r="O103" s="562"/>
      <c r="P103" s="563"/>
      <c r="Q103" s="564"/>
      <c r="R103" s="562"/>
      <c r="S103" s="562"/>
      <c r="T103" s="562"/>
      <c r="U103" s="562"/>
      <c r="V103" s="562"/>
      <c r="W103" s="562"/>
      <c r="X103" s="563"/>
      <c r="Y103" s="564"/>
      <c r="Z103" s="562"/>
      <c r="AA103" s="562"/>
      <c r="AB103" s="562"/>
      <c r="AC103" s="562"/>
      <c r="AD103" s="562"/>
      <c r="AE103" s="562"/>
      <c r="AF103" s="563"/>
      <c r="AG103" s="564"/>
      <c r="AH103" s="562"/>
      <c r="AI103" s="562"/>
      <c r="AJ103" s="562"/>
      <c r="AK103" s="562"/>
      <c r="AL103" s="562"/>
      <c r="AM103" s="562"/>
      <c r="AN103" s="563"/>
      <c r="AO103" s="565"/>
      <c r="AP103" s="566"/>
      <c r="AQ103" s="566"/>
      <c r="AR103" s="566"/>
      <c r="AS103" s="566"/>
      <c r="AT103" s="566"/>
      <c r="AU103" s="566"/>
      <c r="AV103" s="566"/>
      <c r="AW103" s="567"/>
      <c r="AX103" s="564"/>
      <c r="AY103" s="562"/>
      <c r="AZ103" s="562"/>
      <c r="BA103" s="562"/>
      <c r="BB103" s="562"/>
      <c r="BC103" s="562"/>
      <c r="BD103" s="562"/>
      <c r="BE103" s="562"/>
      <c r="BF103" s="562"/>
      <c r="BG103" s="562"/>
      <c r="BH103" s="563"/>
      <c r="BI103" s="564"/>
      <c r="BJ103" s="562"/>
      <c r="BK103" s="562"/>
      <c r="BL103" s="562"/>
      <c r="BM103" s="562"/>
      <c r="BN103" s="562"/>
      <c r="BO103" s="562"/>
      <c r="BP103" s="562"/>
      <c r="BQ103" s="562"/>
      <c r="BR103" s="562"/>
      <c r="BS103" s="562"/>
      <c r="BT103" s="562"/>
      <c r="BU103" s="562"/>
      <c r="BV103" s="563"/>
      <c r="BW103" s="564"/>
      <c r="BX103" s="562"/>
      <c r="BY103" s="562"/>
      <c r="BZ103" s="562"/>
      <c r="CA103" s="562"/>
      <c r="CB103" s="562"/>
      <c r="CC103" s="562"/>
      <c r="CD103" s="562"/>
      <c r="CE103" s="562"/>
      <c r="CF103" s="562"/>
      <c r="CG103" s="562"/>
      <c r="CH103" s="562"/>
      <c r="CI103" s="562"/>
      <c r="CJ103" s="562"/>
      <c r="CK103" s="562"/>
      <c r="CL103" s="562"/>
      <c r="CM103" s="562"/>
      <c r="CN103" s="562"/>
      <c r="CO103" s="562"/>
      <c r="CP103" s="563"/>
      <c r="CQ103" s="564"/>
      <c r="CR103" s="562"/>
      <c r="CS103" s="562"/>
      <c r="CT103" s="562"/>
      <c r="CU103" s="562"/>
      <c r="CV103" s="562"/>
      <c r="CW103" s="562"/>
      <c r="CX103" s="562"/>
      <c r="CY103" s="562"/>
      <c r="CZ103" s="562"/>
      <c r="DA103" s="562"/>
      <c r="DB103" s="562"/>
      <c r="DC103" s="563"/>
      <c r="DD103" s="564"/>
      <c r="DE103" s="562"/>
      <c r="DF103" s="562"/>
      <c r="DG103" s="562"/>
      <c r="DH103" s="562"/>
      <c r="DI103" s="562"/>
      <c r="DJ103" s="562"/>
      <c r="DK103" s="562"/>
      <c r="DL103" s="562"/>
      <c r="DM103" s="562"/>
      <c r="DN103" s="562"/>
      <c r="DO103" s="562"/>
      <c r="DP103" s="562"/>
      <c r="DQ103" s="563"/>
      <c r="DR103" s="564"/>
      <c r="DS103" s="562"/>
      <c r="DT103" s="562"/>
      <c r="DU103" s="562"/>
      <c r="DV103" s="562"/>
      <c r="DW103" s="562"/>
      <c r="DX103" s="562"/>
      <c r="DY103" s="562"/>
      <c r="DZ103" s="562"/>
      <c r="EA103" s="562"/>
      <c r="EB103" s="562"/>
      <c r="EC103" s="562"/>
      <c r="ED103" s="562"/>
      <c r="EE103" s="563"/>
      <c r="EF103" s="564"/>
      <c r="EG103" s="562"/>
      <c r="EH103" s="562"/>
      <c r="EI103" s="562"/>
      <c r="EJ103" s="562"/>
      <c r="EK103" s="562"/>
      <c r="EL103" s="562"/>
      <c r="EM103" s="562"/>
      <c r="EN103" s="562"/>
      <c r="EO103" s="568"/>
      <c r="EP103" s="78"/>
      <c r="EQ103" s="78"/>
      <c r="ER103" s="569"/>
      <c r="ES103" s="569"/>
      <c r="ET103" s="569"/>
      <c r="EU103" s="569"/>
      <c r="EV103" s="569"/>
      <c r="EW103" s="569"/>
      <c r="EX103" s="569"/>
      <c r="EY103" s="569"/>
      <c r="EZ103" s="569"/>
      <c r="FA103" s="569"/>
      <c r="FB103" s="569"/>
      <c r="FC103" s="569"/>
      <c r="FD103" s="569"/>
      <c r="FE103" s="569"/>
      <c r="FF103" s="569"/>
      <c r="FG103" s="569"/>
      <c r="FH103" s="569"/>
      <c r="FI103" s="569"/>
      <c r="FJ103" s="569"/>
      <c r="FK103" s="569"/>
      <c r="FL103" s="569"/>
      <c r="FM103" s="569"/>
      <c r="FN103" s="569"/>
      <c r="FO103" s="569"/>
      <c r="FP103" s="569"/>
      <c r="FQ103" s="569"/>
      <c r="FR103" s="569"/>
      <c r="FS103" s="569"/>
      <c r="FT103" s="569"/>
      <c r="FU103" s="569"/>
      <c r="FV103" s="569"/>
      <c r="FW103" s="569"/>
      <c r="FX103" s="569"/>
      <c r="FY103" s="569"/>
      <c r="FZ103" s="569"/>
      <c r="GA103" s="569"/>
      <c r="GB103" s="569"/>
      <c r="GC103" s="569"/>
      <c r="GD103" s="569"/>
      <c r="GE103" s="569"/>
      <c r="GF103" s="569"/>
      <c r="GG103" s="569"/>
      <c r="GH103" s="569"/>
      <c r="GI103" s="42"/>
    </row>
    <row r="104" spans="1:193" ht="1.95" customHeight="1" thickBot="1" x14ac:dyDescent="0.35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  <c r="CW104" s="78"/>
      <c r="CX104" s="78"/>
      <c r="CY104" s="78"/>
      <c r="CZ104" s="78"/>
      <c r="DA104" s="78"/>
      <c r="DB104" s="78"/>
      <c r="DC104" s="78"/>
      <c r="DD104" s="78"/>
      <c r="DE104" s="78"/>
      <c r="DF104" s="78"/>
      <c r="DG104" s="78"/>
      <c r="DH104" s="78"/>
      <c r="DI104" s="78"/>
      <c r="DJ104" s="78"/>
      <c r="DK104" s="78"/>
      <c r="DL104" s="78"/>
      <c r="DM104" s="78"/>
      <c r="DN104" s="78"/>
      <c r="DO104" s="78"/>
      <c r="DP104" s="78"/>
      <c r="DQ104" s="78"/>
      <c r="DR104" s="78"/>
      <c r="DS104" s="78"/>
      <c r="DT104" s="78"/>
      <c r="DU104" s="78"/>
      <c r="DV104" s="78"/>
      <c r="DW104" s="78"/>
      <c r="DX104" s="78"/>
      <c r="DY104" s="78"/>
      <c r="DZ104" s="78"/>
      <c r="EA104" s="78"/>
      <c r="EB104" s="78"/>
      <c r="EC104" s="78"/>
      <c r="ED104" s="78"/>
      <c r="EE104" s="78"/>
      <c r="EF104" s="78"/>
      <c r="EG104" s="78"/>
      <c r="EH104" s="78"/>
      <c r="EI104" s="78"/>
      <c r="EJ104" s="78"/>
      <c r="EK104" s="78"/>
      <c r="EL104" s="78"/>
      <c r="EM104" s="78"/>
      <c r="EN104" s="78"/>
      <c r="EO104" s="78"/>
      <c r="EP104" s="78"/>
      <c r="EQ104" s="78"/>
      <c r="ER104" s="362"/>
      <c r="ES104" s="362"/>
      <c r="ET104" s="362"/>
      <c r="EU104" s="362"/>
      <c r="EV104" s="362"/>
      <c r="EW104" s="362"/>
      <c r="EX104" s="362"/>
      <c r="EY104" s="362"/>
      <c r="EZ104" s="362"/>
      <c r="FA104" s="362"/>
      <c r="FB104" s="362"/>
      <c r="FC104" s="362"/>
      <c r="FD104" s="362"/>
      <c r="FE104" s="362"/>
      <c r="FF104" s="362"/>
      <c r="FG104" s="362"/>
      <c r="FH104" s="362"/>
      <c r="FI104" s="362"/>
      <c r="FJ104" s="362"/>
      <c r="FK104" s="362"/>
      <c r="FL104" s="362"/>
      <c r="FM104" s="362"/>
      <c r="FN104" s="362"/>
      <c r="FO104" s="362"/>
      <c r="FP104" s="362"/>
      <c r="FQ104" s="362"/>
      <c r="FR104" s="362"/>
      <c r="FS104" s="362"/>
      <c r="FT104" s="362"/>
      <c r="FU104" s="362"/>
      <c r="FV104" s="362"/>
      <c r="FW104" s="362"/>
      <c r="FX104" s="362"/>
      <c r="FY104" s="362"/>
      <c r="FZ104" s="362"/>
      <c r="GA104" s="362"/>
      <c r="GB104" s="362"/>
      <c r="GC104" s="362"/>
      <c r="GD104" s="362"/>
      <c r="GE104" s="362"/>
      <c r="GF104" s="362"/>
      <c r="GG104" s="362"/>
      <c r="GH104" s="362"/>
      <c r="GI104" s="42"/>
    </row>
    <row r="105" spans="1:193" ht="9" customHeight="1" thickTop="1" x14ac:dyDescent="0.3">
      <c r="A105" s="570" t="s">
        <v>241</v>
      </c>
      <c r="B105" s="571"/>
      <c r="C105" s="571"/>
      <c r="D105" s="571"/>
      <c r="E105" s="571"/>
      <c r="F105" s="571"/>
      <c r="G105" s="571"/>
      <c r="H105" s="571"/>
      <c r="I105" s="571"/>
      <c r="J105" s="571"/>
      <c r="K105" s="571"/>
      <c r="L105" s="571"/>
      <c r="M105" s="571"/>
      <c r="N105" s="571"/>
      <c r="O105" s="571"/>
      <c r="P105" s="571"/>
      <c r="Q105" s="572"/>
      <c r="R105" s="574" t="s">
        <v>242</v>
      </c>
      <c r="S105" s="574"/>
      <c r="T105" s="574"/>
      <c r="U105" s="574"/>
      <c r="V105" s="574"/>
      <c r="W105" s="574"/>
      <c r="X105" s="574"/>
      <c r="Y105" s="574"/>
      <c r="Z105" s="574" t="s">
        <v>243</v>
      </c>
      <c r="AA105" s="574"/>
      <c r="AB105" s="574"/>
      <c r="AC105" s="574"/>
      <c r="AD105" s="574"/>
      <c r="AE105" s="574"/>
      <c r="AF105" s="574"/>
      <c r="AG105" s="574"/>
      <c r="AH105" s="574"/>
      <c r="AI105" s="574" t="s">
        <v>244</v>
      </c>
      <c r="AJ105" s="574"/>
      <c r="AK105" s="574"/>
      <c r="AL105" s="574"/>
      <c r="AM105" s="574"/>
      <c r="AN105" s="574"/>
      <c r="AO105" s="574"/>
      <c r="AP105" s="574"/>
      <c r="AQ105" s="574"/>
      <c r="AR105" s="574"/>
      <c r="AS105" s="574"/>
      <c r="AT105" s="574"/>
      <c r="AU105" s="574"/>
      <c r="AV105" s="574"/>
      <c r="AW105" s="574" t="s">
        <v>245</v>
      </c>
      <c r="AX105" s="574"/>
      <c r="AY105" s="574"/>
      <c r="AZ105" s="574"/>
      <c r="BA105" s="574"/>
      <c r="BB105" s="574"/>
      <c r="BC105" s="574"/>
      <c r="BD105" s="574"/>
      <c r="BE105" s="574"/>
      <c r="BF105" s="574"/>
      <c r="BG105" s="574"/>
      <c r="BH105" s="574"/>
      <c r="BI105" s="574"/>
      <c r="BJ105" s="574"/>
      <c r="BK105" s="574" t="s">
        <v>246</v>
      </c>
      <c r="BL105" s="574"/>
      <c r="BM105" s="574"/>
      <c r="BN105" s="574"/>
      <c r="BO105" s="574"/>
      <c r="BP105" s="574"/>
      <c r="BQ105" s="574"/>
      <c r="BR105" s="574"/>
      <c r="BS105" s="574"/>
      <c r="BT105" s="574"/>
      <c r="BU105" s="574"/>
      <c r="BV105" s="577" t="s">
        <v>247</v>
      </c>
      <c r="BW105" s="578"/>
      <c r="BX105" s="578"/>
      <c r="BY105" s="578"/>
      <c r="BZ105" s="578"/>
      <c r="CA105" s="578"/>
      <c r="CB105" s="578"/>
      <c r="CC105" s="578"/>
      <c r="CD105" s="578"/>
      <c r="CE105" s="578"/>
      <c r="CF105" s="578"/>
      <c r="CG105" s="578"/>
      <c r="CH105" s="578"/>
      <c r="CI105" s="578"/>
      <c r="CJ105" s="578"/>
      <c r="CK105" s="578"/>
      <c r="CL105" s="578"/>
      <c r="CM105" s="578"/>
      <c r="CN105" s="578"/>
      <c r="CO105" s="578"/>
      <c r="CP105" s="579"/>
      <c r="CQ105" s="574" t="s">
        <v>248</v>
      </c>
      <c r="CR105" s="574"/>
      <c r="CS105" s="574"/>
      <c r="CT105" s="574"/>
      <c r="CU105" s="574"/>
      <c r="CV105" s="574"/>
      <c r="CW105" s="574"/>
      <c r="CX105" s="574"/>
      <c r="CY105" s="574"/>
      <c r="CZ105" s="574" t="s">
        <v>249</v>
      </c>
      <c r="DA105" s="574"/>
      <c r="DB105" s="574"/>
      <c r="DC105" s="574"/>
      <c r="DD105" s="574"/>
      <c r="DE105" s="574"/>
      <c r="DF105" s="574"/>
      <c r="DG105" s="574"/>
      <c r="DH105" s="574"/>
      <c r="DI105" s="574"/>
      <c r="DJ105" s="574"/>
      <c r="DK105" s="574" t="s">
        <v>250</v>
      </c>
      <c r="DL105" s="574"/>
      <c r="DM105" s="574"/>
      <c r="DN105" s="574"/>
      <c r="DO105" s="574"/>
      <c r="DP105" s="574"/>
      <c r="DQ105" s="574"/>
      <c r="DR105" s="574"/>
      <c r="DS105" s="574"/>
      <c r="DT105" s="574" t="s">
        <v>251</v>
      </c>
      <c r="DU105" s="574"/>
      <c r="DV105" s="574"/>
      <c r="DW105" s="574"/>
      <c r="DX105" s="574"/>
      <c r="DY105" s="574"/>
      <c r="DZ105" s="574"/>
      <c r="EA105" s="574"/>
      <c r="EB105" s="574"/>
      <c r="EC105" s="78"/>
      <c r="ED105" s="78"/>
      <c r="EE105" s="457"/>
      <c r="EF105" s="457"/>
      <c r="EG105" s="457"/>
      <c r="EH105" s="457"/>
      <c r="EI105" s="457"/>
      <c r="EJ105" s="457"/>
      <c r="EK105" s="457"/>
      <c r="EL105" s="457"/>
      <c r="EM105" s="457"/>
      <c r="EN105" s="457"/>
      <c r="EO105" s="457"/>
      <c r="EP105" s="457"/>
      <c r="EQ105" s="457"/>
      <c r="ER105" s="457"/>
      <c r="ES105" s="457"/>
      <c r="ET105" s="457"/>
      <c r="EU105" s="457"/>
      <c r="EV105" s="457"/>
      <c r="EW105" s="457"/>
      <c r="EX105" s="457"/>
      <c r="EY105" s="457"/>
      <c r="EZ105" s="457"/>
      <c r="FA105" s="457"/>
      <c r="FB105" s="457"/>
      <c r="FC105" s="457"/>
      <c r="FD105" s="457"/>
      <c r="FE105" s="457"/>
      <c r="FF105" s="457"/>
      <c r="FG105" s="457"/>
      <c r="FH105" s="457"/>
      <c r="FI105" s="457"/>
      <c r="FJ105" s="457"/>
      <c r="FK105" s="457"/>
      <c r="FL105" s="457"/>
      <c r="FM105" s="457"/>
      <c r="FN105" s="457"/>
      <c r="FO105" s="457"/>
      <c r="FP105" s="457"/>
      <c r="FQ105" s="457"/>
      <c r="FR105" s="457"/>
      <c r="FS105" s="457"/>
      <c r="FT105" s="457"/>
      <c r="FU105" s="457"/>
      <c r="FV105" s="457"/>
      <c r="FW105" s="457"/>
      <c r="FX105" s="457"/>
      <c r="FY105" s="457"/>
      <c r="FZ105" s="457"/>
      <c r="GA105" s="457"/>
      <c r="GB105" s="457"/>
      <c r="GC105" s="457"/>
      <c r="GD105" s="457"/>
      <c r="GE105" s="457"/>
      <c r="GF105" s="457"/>
      <c r="GG105" s="457"/>
      <c r="GH105" s="457"/>
      <c r="GI105" s="42"/>
    </row>
    <row r="106" spans="1:193" ht="9" customHeight="1" x14ac:dyDescent="0.3">
      <c r="A106" s="307"/>
      <c r="B106" s="308"/>
      <c r="C106" s="308"/>
      <c r="D106" s="308"/>
      <c r="E106" s="308"/>
      <c r="F106" s="308"/>
      <c r="G106" s="308"/>
      <c r="H106" s="308"/>
      <c r="I106" s="308"/>
      <c r="J106" s="308"/>
      <c r="K106" s="308"/>
      <c r="L106" s="308"/>
      <c r="M106" s="308"/>
      <c r="N106" s="308"/>
      <c r="O106" s="308"/>
      <c r="P106" s="308"/>
      <c r="Q106" s="573"/>
      <c r="R106" s="575"/>
      <c r="S106" s="575"/>
      <c r="T106" s="575"/>
      <c r="U106" s="575"/>
      <c r="V106" s="575"/>
      <c r="W106" s="575"/>
      <c r="X106" s="575"/>
      <c r="Y106" s="575"/>
      <c r="Z106" s="575"/>
      <c r="AA106" s="575"/>
      <c r="AB106" s="575"/>
      <c r="AC106" s="575"/>
      <c r="AD106" s="575"/>
      <c r="AE106" s="575"/>
      <c r="AF106" s="575"/>
      <c r="AG106" s="575"/>
      <c r="AH106" s="575"/>
      <c r="AI106" s="575"/>
      <c r="AJ106" s="575"/>
      <c r="AK106" s="575"/>
      <c r="AL106" s="575"/>
      <c r="AM106" s="575"/>
      <c r="AN106" s="575"/>
      <c r="AO106" s="575"/>
      <c r="AP106" s="575"/>
      <c r="AQ106" s="575"/>
      <c r="AR106" s="575"/>
      <c r="AS106" s="575"/>
      <c r="AT106" s="575"/>
      <c r="AU106" s="575"/>
      <c r="AV106" s="575"/>
      <c r="AW106" s="575"/>
      <c r="AX106" s="575"/>
      <c r="AY106" s="575"/>
      <c r="AZ106" s="575"/>
      <c r="BA106" s="575"/>
      <c r="BB106" s="575"/>
      <c r="BC106" s="575"/>
      <c r="BD106" s="575"/>
      <c r="BE106" s="575"/>
      <c r="BF106" s="575"/>
      <c r="BG106" s="575"/>
      <c r="BH106" s="575"/>
      <c r="BI106" s="575"/>
      <c r="BJ106" s="575"/>
      <c r="BK106" s="575"/>
      <c r="BL106" s="575"/>
      <c r="BM106" s="575"/>
      <c r="BN106" s="575"/>
      <c r="BO106" s="575"/>
      <c r="BP106" s="575"/>
      <c r="BQ106" s="575"/>
      <c r="BR106" s="575"/>
      <c r="BS106" s="575"/>
      <c r="BT106" s="575"/>
      <c r="BU106" s="575"/>
      <c r="BV106" s="580"/>
      <c r="BW106" s="553"/>
      <c r="BX106" s="553"/>
      <c r="BY106" s="553"/>
      <c r="BZ106" s="553"/>
      <c r="CA106" s="553"/>
      <c r="CB106" s="553"/>
      <c r="CC106" s="553"/>
      <c r="CD106" s="553"/>
      <c r="CE106" s="553"/>
      <c r="CF106" s="553"/>
      <c r="CG106" s="553"/>
      <c r="CH106" s="553"/>
      <c r="CI106" s="553"/>
      <c r="CJ106" s="553"/>
      <c r="CK106" s="553"/>
      <c r="CL106" s="553"/>
      <c r="CM106" s="553"/>
      <c r="CN106" s="553"/>
      <c r="CO106" s="553"/>
      <c r="CP106" s="557"/>
      <c r="CQ106" s="575"/>
      <c r="CR106" s="575"/>
      <c r="CS106" s="575"/>
      <c r="CT106" s="575"/>
      <c r="CU106" s="575"/>
      <c r="CV106" s="575"/>
      <c r="CW106" s="575"/>
      <c r="CX106" s="575"/>
      <c r="CY106" s="575"/>
      <c r="CZ106" s="575"/>
      <c r="DA106" s="575"/>
      <c r="DB106" s="575"/>
      <c r="DC106" s="575"/>
      <c r="DD106" s="575"/>
      <c r="DE106" s="575"/>
      <c r="DF106" s="575"/>
      <c r="DG106" s="575"/>
      <c r="DH106" s="575"/>
      <c r="DI106" s="575"/>
      <c r="DJ106" s="575"/>
      <c r="DK106" s="575"/>
      <c r="DL106" s="575"/>
      <c r="DM106" s="575"/>
      <c r="DN106" s="575"/>
      <c r="DO106" s="575"/>
      <c r="DP106" s="575"/>
      <c r="DQ106" s="575"/>
      <c r="DR106" s="575"/>
      <c r="DS106" s="575"/>
      <c r="DT106" s="575"/>
      <c r="DU106" s="575"/>
      <c r="DV106" s="575"/>
      <c r="DW106" s="575"/>
      <c r="DX106" s="575"/>
      <c r="DY106" s="575"/>
      <c r="DZ106" s="575"/>
      <c r="EA106" s="575"/>
      <c r="EB106" s="575"/>
      <c r="EC106" s="78"/>
      <c r="ED106" s="78"/>
      <c r="EE106" s="457"/>
      <c r="EF106" s="457"/>
      <c r="EG106" s="457"/>
      <c r="EH106" s="457"/>
      <c r="EI106" s="457"/>
      <c r="EJ106" s="457"/>
      <c r="EK106" s="457"/>
      <c r="EL106" s="457"/>
      <c r="EM106" s="457"/>
      <c r="EN106" s="457"/>
      <c r="EO106" s="457"/>
      <c r="EP106" s="457"/>
      <c r="EQ106" s="457"/>
      <c r="ER106" s="457"/>
      <c r="ES106" s="457"/>
      <c r="ET106" s="457"/>
      <c r="EU106" s="457"/>
      <c r="EV106" s="457"/>
      <c r="EW106" s="457"/>
      <c r="EX106" s="457"/>
      <c r="EY106" s="457"/>
      <c r="EZ106" s="457"/>
      <c r="FA106" s="457"/>
      <c r="FB106" s="457"/>
      <c r="FC106" s="457"/>
      <c r="FD106" s="457"/>
      <c r="FE106" s="457"/>
      <c r="FF106" s="457"/>
      <c r="FG106" s="457"/>
      <c r="FH106" s="457"/>
      <c r="FI106" s="457"/>
      <c r="FJ106" s="457"/>
      <c r="FK106" s="457"/>
      <c r="FL106" s="457"/>
      <c r="FM106" s="457"/>
      <c r="FN106" s="457"/>
      <c r="FO106" s="457"/>
      <c r="FP106" s="457"/>
      <c r="FQ106" s="457"/>
      <c r="FR106" s="457"/>
      <c r="FS106" s="457"/>
      <c r="FT106" s="457"/>
      <c r="FU106" s="457"/>
      <c r="FV106" s="457"/>
      <c r="FW106" s="457"/>
      <c r="FX106" s="457"/>
      <c r="FY106" s="457"/>
      <c r="FZ106" s="457"/>
      <c r="GA106" s="457"/>
      <c r="GB106" s="457"/>
      <c r="GC106" s="457"/>
      <c r="GD106" s="457"/>
      <c r="GE106" s="457"/>
      <c r="GF106" s="457"/>
      <c r="GG106" s="457"/>
      <c r="GH106" s="457"/>
      <c r="GI106" s="42"/>
    </row>
    <row r="107" spans="1:193" ht="9" customHeight="1" x14ac:dyDescent="0.3">
      <c r="A107" s="307"/>
      <c r="B107" s="308"/>
      <c r="C107" s="308"/>
      <c r="D107" s="308"/>
      <c r="E107" s="308"/>
      <c r="F107" s="308"/>
      <c r="G107" s="308"/>
      <c r="H107" s="308"/>
      <c r="I107" s="308"/>
      <c r="J107" s="308"/>
      <c r="K107" s="308"/>
      <c r="L107" s="308"/>
      <c r="M107" s="308"/>
      <c r="N107" s="308"/>
      <c r="O107" s="308"/>
      <c r="P107" s="308"/>
      <c r="Q107" s="573"/>
      <c r="R107" s="576"/>
      <c r="S107" s="576"/>
      <c r="T107" s="576"/>
      <c r="U107" s="576"/>
      <c r="V107" s="576"/>
      <c r="W107" s="576"/>
      <c r="X107" s="576"/>
      <c r="Y107" s="576"/>
      <c r="Z107" s="576"/>
      <c r="AA107" s="576"/>
      <c r="AB107" s="576"/>
      <c r="AC107" s="576"/>
      <c r="AD107" s="576"/>
      <c r="AE107" s="576"/>
      <c r="AF107" s="576"/>
      <c r="AG107" s="576"/>
      <c r="AH107" s="576"/>
      <c r="AI107" s="576"/>
      <c r="AJ107" s="576"/>
      <c r="AK107" s="576"/>
      <c r="AL107" s="576"/>
      <c r="AM107" s="576"/>
      <c r="AN107" s="576"/>
      <c r="AO107" s="576"/>
      <c r="AP107" s="576"/>
      <c r="AQ107" s="576"/>
      <c r="AR107" s="576"/>
      <c r="AS107" s="576"/>
      <c r="AT107" s="576"/>
      <c r="AU107" s="576"/>
      <c r="AV107" s="576"/>
      <c r="AW107" s="576"/>
      <c r="AX107" s="576"/>
      <c r="AY107" s="576"/>
      <c r="AZ107" s="576"/>
      <c r="BA107" s="576"/>
      <c r="BB107" s="576"/>
      <c r="BC107" s="576"/>
      <c r="BD107" s="576"/>
      <c r="BE107" s="576"/>
      <c r="BF107" s="576"/>
      <c r="BG107" s="576"/>
      <c r="BH107" s="576"/>
      <c r="BI107" s="576"/>
      <c r="BJ107" s="576"/>
      <c r="BK107" s="576"/>
      <c r="BL107" s="576"/>
      <c r="BM107" s="576"/>
      <c r="BN107" s="576"/>
      <c r="BO107" s="576"/>
      <c r="BP107" s="576"/>
      <c r="BQ107" s="576"/>
      <c r="BR107" s="576"/>
      <c r="BS107" s="576"/>
      <c r="BT107" s="576"/>
      <c r="BU107" s="576"/>
      <c r="BV107" s="586" t="s">
        <v>252</v>
      </c>
      <c r="BW107" s="587"/>
      <c r="BX107" s="587"/>
      <c r="BY107" s="587"/>
      <c r="BZ107" s="587"/>
      <c r="CA107" s="587"/>
      <c r="CB107" s="587"/>
      <c r="CC107" s="587"/>
      <c r="CD107" s="587"/>
      <c r="CE107" s="587"/>
      <c r="CF107" s="588"/>
      <c r="CG107" s="587" t="s">
        <v>253</v>
      </c>
      <c r="CH107" s="587"/>
      <c r="CI107" s="587"/>
      <c r="CJ107" s="587"/>
      <c r="CK107" s="587"/>
      <c r="CL107" s="587"/>
      <c r="CM107" s="587"/>
      <c r="CN107" s="587"/>
      <c r="CO107" s="587"/>
      <c r="CP107" s="587"/>
      <c r="CQ107" s="576"/>
      <c r="CR107" s="576"/>
      <c r="CS107" s="576"/>
      <c r="CT107" s="576"/>
      <c r="CU107" s="576"/>
      <c r="CV107" s="576"/>
      <c r="CW107" s="576"/>
      <c r="CX107" s="576"/>
      <c r="CY107" s="576"/>
      <c r="CZ107" s="576"/>
      <c r="DA107" s="576"/>
      <c r="DB107" s="576"/>
      <c r="DC107" s="576"/>
      <c r="DD107" s="576"/>
      <c r="DE107" s="576"/>
      <c r="DF107" s="576"/>
      <c r="DG107" s="576"/>
      <c r="DH107" s="576"/>
      <c r="DI107" s="576"/>
      <c r="DJ107" s="576"/>
      <c r="DK107" s="576"/>
      <c r="DL107" s="576"/>
      <c r="DM107" s="576"/>
      <c r="DN107" s="576"/>
      <c r="DO107" s="576"/>
      <c r="DP107" s="576"/>
      <c r="DQ107" s="576"/>
      <c r="DR107" s="576"/>
      <c r="DS107" s="576"/>
      <c r="DT107" s="576"/>
      <c r="DU107" s="576"/>
      <c r="DV107" s="576"/>
      <c r="DW107" s="576"/>
      <c r="DX107" s="576"/>
      <c r="DY107" s="576"/>
      <c r="DZ107" s="576"/>
      <c r="EA107" s="576"/>
      <c r="EB107" s="576"/>
      <c r="EC107" s="78"/>
      <c r="ED107" s="78"/>
      <c r="EE107" s="581"/>
      <c r="EF107" s="581"/>
      <c r="EG107" s="581"/>
      <c r="EH107" s="581"/>
      <c r="EI107" s="581"/>
      <c r="EJ107" s="581"/>
      <c r="EK107" s="581"/>
      <c r="EL107" s="581"/>
      <c r="EM107" s="581"/>
      <c r="EN107" s="581"/>
      <c r="EO107" s="581"/>
      <c r="EP107" s="581"/>
      <c r="EQ107" s="581"/>
      <c r="ER107" s="581"/>
      <c r="ES107" s="581"/>
      <c r="ET107" s="581"/>
      <c r="EU107" s="581"/>
      <c r="EV107" s="581"/>
      <c r="EW107" s="581"/>
      <c r="EX107" s="581"/>
      <c r="EY107" s="581"/>
      <c r="EZ107" s="581"/>
      <c r="FA107" s="581"/>
      <c r="FB107" s="581"/>
      <c r="FC107" s="581"/>
      <c r="FD107" s="581"/>
      <c r="FE107" s="581"/>
      <c r="FF107" s="581"/>
      <c r="FG107" s="581"/>
      <c r="FH107" s="581"/>
      <c r="FI107" s="581"/>
      <c r="FJ107" s="581"/>
      <c r="FK107" s="581"/>
      <c r="FL107" s="581"/>
      <c r="FM107" s="581"/>
      <c r="FN107" s="581"/>
      <c r="FO107" s="581"/>
      <c r="FP107" s="581"/>
      <c r="FQ107" s="581"/>
      <c r="FR107" s="581"/>
      <c r="FS107" s="581"/>
      <c r="FT107" s="581"/>
      <c r="FU107" s="581"/>
      <c r="FV107" s="581"/>
      <c r="FW107" s="581"/>
      <c r="FX107" s="581"/>
      <c r="FY107" s="581"/>
      <c r="FZ107" s="581"/>
      <c r="GA107" s="581"/>
      <c r="GB107" s="581"/>
      <c r="GC107" s="581"/>
      <c r="GD107" s="581"/>
      <c r="GE107" s="581"/>
      <c r="GF107" s="581"/>
      <c r="GG107" s="581"/>
      <c r="GH107" s="581"/>
      <c r="GI107" s="42"/>
    </row>
    <row r="108" spans="1:193" ht="9" customHeight="1" thickBot="1" x14ac:dyDescent="0.35">
      <c r="A108" s="310"/>
      <c r="B108" s="311"/>
      <c r="C108" s="311"/>
      <c r="D108" s="311"/>
      <c r="E108" s="311"/>
      <c r="F108" s="311"/>
      <c r="G108" s="311"/>
      <c r="H108" s="311"/>
      <c r="I108" s="311"/>
      <c r="J108" s="311"/>
      <c r="K108" s="311"/>
      <c r="L108" s="311"/>
      <c r="M108" s="311"/>
      <c r="N108" s="311"/>
      <c r="O108" s="311"/>
      <c r="P108" s="311"/>
      <c r="Q108" s="482"/>
      <c r="R108" s="582">
        <v>33</v>
      </c>
      <c r="S108" s="582"/>
      <c r="T108" s="582"/>
      <c r="U108" s="582"/>
      <c r="V108" s="582"/>
      <c r="W108" s="582"/>
      <c r="X108" s="582"/>
      <c r="Y108" s="582"/>
      <c r="Z108" s="582">
        <v>34</v>
      </c>
      <c r="AA108" s="582"/>
      <c r="AB108" s="582"/>
      <c r="AC108" s="582"/>
      <c r="AD108" s="582"/>
      <c r="AE108" s="582"/>
      <c r="AF108" s="582"/>
      <c r="AG108" s="582"/>
      <c r="AH108" s="582"/>
      <c r="AI108" s="582">
        <v>35</v>
      </c>
      <c r="AJ108" s="582"/>
      <c r="AK108" s="582"/>
      <c r="AL108" s="582"/>
      <c r="AM108" s="582"/>
      <c r="AN108" s="582"/>
      <c r="AO108" s="582"/>
      <c r="AP108" s="582"/>
      <c r="AQ108" s="582"/>
      <c r="AR108" s="582"/>
      <c r="AS108" s="582"/>
      <c r="AT108" s="582"/>
      <c r="AU108" s="582"/>
      <c r="AV108" s="582"/>
      <c r="AW108" s="582">
        <v>36</v>
      </c>
      <c r="AX108" s="582"/>
      <c r="AY108" s="582"/>
      <c r="AZ108" s="582"/>
      <c r="BA108" s="582"/>
      <c r="BB108" s="582"/>
      <c r="BC108" s="582"/>
      <c r="BD108" s="582"/>
      <c r="BE108" s="582"/>
      <c r="BF108" s="582"/>
      <c r="BG108" s="582"/>
      <c r="BH108" s="582"/>
      <c r="BI108" s="582"/>
      <c r="BJ108" s="582"/>
      <c r="BK108" s="582">
        <v>37</v>
      </c>
      <c r="BL108" s="582"/>
      <c r="BM108" s="582"/>
      <c r="BN108" s="582"/>
      <c r="BO108" s="582"/>
      <c r="BP108" s="582"/>
      <c r="BQ108" s="582"/>
      <c r="BR108" s="582"/>
      <c r="BS108" s="582"/>
      <c r="BT108" s="582"/>
      <c r="BU108" s="582"/>
      <c r="BV108" s="583">
        <v>38</v>
      </c>
      <c r="BW108" s="584"/>
      <c r="BX108" s="584"/>
      <c r="BY108" s="584"/>
      <c r="BZ108" s="584"/>
      <c r="CA108" s="584"/>
      <c r="CB108" s="584"/>
      <c r="CC108" s="584"/>
      <c r="CD108" s="584"/>
      <c r="CE108" s="584"/>
      <c r="CF108" s="585"/>
      <c r="CG108" s="584">
        <v>39</v>
      </c>
      <c r="CH108" s="584"/>
      <c r="CI108" s="584"/>
      <c r="CJ108" s="584"/>
      <c r="CK108" s="584"/>
      <c r="CL108" s="584"/>
      <c r="CM108" s="584"/>
      <c r="CN108" s="584"/>
      <c r="CO108" s="584"/>
      <c r="CP108" s="584"/>
      <c r="CQ108" s="582">
        <v>40</v>
      </c>
      <c r="CR108" s="582"/>
      <c r="CS108" s="582"/>
      <c r="CT108" s="582"/>
      <c r="CU108" s="582"/>
      <c r="CV108" s="582"/>
      <c r="CW108" s="582"/>
      <c r="CX108" s="582"/>
      <c r="CY108" s="582"/>
      <c r="CZ108" s="582">
        <v>41</v>
      </c>
      <c r="DA108" s="582"/>
      <c r="DB108" s="582"/>
      <c r="DC108" s="582"/>
      <c r="DD108" s="582"/>
      <c r="DE108" s="582"/>
      <c r="DF108" s="582"/>
      <c r="DG108" s="582"/>
      <c r="DH108" s="582"/>
      <c r="DI108" s="582"/>
      <c r="DJ108" s="582"/>
      <c r="DK108" s="582">
        <v>42</v>
      </c>
      <c r="DL108" s="582"/>
      <c r="DM108" s="582"/>
      <c r="DN108" s="582"/>
      <c r="DO108" s="582"/>
      <c r="DP108" s="582"/>
      <c r="DQ108" s="582"/>
      <c r="DR108" s="582"/>
      <c r="DS108" s="582"/>
      <c r="DT108" s="582">
        <v>43</v>
      </c>
      <c r="DU108" s="582"/>
      <c r="DV108" s="582"/>
      <c r="DW108" s="582"/>
      <c r="DX108" s="582"/>
      <c r="DY108" s="582"/>
      <c r="DZ108" s="582"/>
      <c r="EA108" s="582"/>
      <c r="EB108" s="582"/>
      <c r="EC108" s="78"/>
      <c r="ED108" s="78"/>
      <c r="EE108" s="581"/>
      <c r="EF108" s="581"/>
      <c r="EG108" s="581"/>
      <c r="EH108" s="581"/>
      <c r="EI108" s="581"/>
      <c r="EJ108" s="581"/>
      <c r="EK108" s="581"/>
      <c r="EL108" s="581"/>
      <c r="EM108" s="581"/>
      <c r="EN108" s="581"/>
      <c r="EO108" s="581"/>
      <c r="EP108" s="581"/>
      <c r="EQ108" s="581"/>
      <c r="ER108" s="581"/>
      <c r="ES108" s="581"/>
      <c r="ET108" s="581"/>
      <c r="EU108" s="581"/>
      <c r="EV108" s="581"/>
      <c r="EW108" s="581"/>
      <c r="EX108" s="581"/>
      <c r="EY108" s="581"/>
      <c r="EZ108" s="581"/>
      <c r="FA108" s="581"/>
      <c r="FB108" s="581"/>
      <c r="FC108" s="581"/>
      <c r="FD108" s="581"/>
      <c r="FE108" s="581"/>
      <c r="FF108" s="581"/>
      <c r="FG108" s="581"/>
      <c r="FH108" s="581"/>
      <c r="FI108" s="581"/>
      <c r="FJ108" s="581"/>
      <c r="FK108" s="581"/>
      <c r="FL108" s="581"/>
      <c r="FM108" s="581"/>
      <c r="FN108" s="581"/>
      <c r="FO108" s="581"/>
      <c r="FP108" s="581"/>
      <c r="FQ108" s="581"/>
      <c r="FR108" s="581"/>
      <c r="FS108" s="581"/>
      <c r="FT108" s="581"/>
      <c r="FU108" s="581"/>
      <c r="FV108" s="581"/>
      <c r="FW108" s="581"/>
      <c r="FX108" s="581"/>
      <c r="FY108" s="581"/>
      <c r="FZ108" s="581"/>
      <c r="GA108" s="581"/>
      <c r="GB108" s="581"/>
      <c r="GC108" s="581"/>
      <c r="GD108" s="581"/>
      <c r="GE108" s="581"/>
      <c r="GF108" s="581"/>
      <c r="GG108" s="581"/>
      <c r="GH108" s="581"/>
      <c r="GI108" s="42"/>
    </row>
    <row r="109" spans="1:193" ht="12.6" customHeight="1" x14ac:dyDescent="0.3">
      <c r="A109" s="525" t="s">
        <v>254</v>
      </c>
      <c r="B109" s="476"/>
      <c r="C109" s="476"/>
      <c r="D109" s="476"/>
      <c r="E109" s="476"/>
      <c r="F109" s="476"/>
      <c r="G109" s="476"/>
      <c r="H109" s="476"/>
      <c r="I109" s="476"/>
      <c r="J109" s="476"/>
      <c r="K109" s="476"/>
      <c r="L109" s="476"/>
      <c r="M109" s="476"/>
      <c r="N109" s="476"/>
      <c r="O109" s="476"/>
      <c r="P109" s="476"/>
      <c r="Q109" s="600"/>
      <c r="R109" s="601"/>
      <c r="S109" s="589"/>
      <c r="T109" s="589"/>
      <c r="U109" s="589"/>
      <c r="V109" s="589"/>
      <c r="W109" s="589"/>
      <c r="X109" s="589"/>
      <c r="Y109" s="589"/>
      <c r="Z109" s="589"/>
      <c r="AA109" s="589"/>
      <c r="AB109" s="589"/>
      <c r="AC109" s="589"/>
      <c r="AD109" s="589"/>
      <c r="AE109" s="589"/>
      <c r="AF109" s="589"/>
      <c r="AG109" s="589"/>
      <c r="AH109" s="589"/>
      <c r="AI109" s="589"/>
      <c r="AJ109" s="589"/>
      <c r="AK109" s="589"/>
      <c r="AL109" s="589"/>
      <c r="AM109" s="589"/>
      <c r="AN109" s="589"/>
      <c r="AO109" s="589"/>
      <c r="AP109" s="589"/>
      <c r="AQ109" s="589"/>
      <c r="AR109" s="589"/>
      <c r="AS109" s="589"/>
      <c r="AT109" s="589"/>
      <c r="AU109" s="589"/>
      <c r="AV109" s="589"/>
      <c r="AW109" s="589"/>
      <c r="AX109" s="589"/>
      <c r="AY109" s="589"/>
      <c r="AZ109" s="589"/>
      <c r="BA109" s="589"/>
      <c r="BB109" s="589"/>
      <c r="BC109" s="589"/>
      <c r="BD109" s="589"/>
      <c r="BE109" s="589"/>
      <c r="BF109" s="589"/>
      <c r="BG109" s="589"/>
      <c r="BH109" s="589"/>
      <c r="BI109" s="589"/>
      <c r="BJ109" s="589"/>
      <c r="BK109" s="589"/>
      <c r="BL109" s="589"/>
      <c r="BM109" s="589"/>
      <c r="BN109" s="589"/>
      <c r="BO109" s="589"/>
      <c r="BP109" s="589"/>
      <c r="BQ109" s="589"/>
      <c r="BR109" s="589"/>
      <c r="BS109" s="589"/>
      <c r="BT109" s="589"/>
      <c r="BU109" s="589"/>
      <c r="BV109" s="597"/>
      <c r="BW109" s="496"/>
      <c r="BX109" s="496"/>
      <c r="BY109" s="496"/>
      <c r="BZ109" s="496"/>
      <c r="CA109" s="496"/>
      <c r="CB109" s="496"/>
      <c r="CC109" s="496"/>
      <c r="CD109" s="496"/>
      <c r="CE109" s="496"/>
      <c r="CF109" s="598"/>
      <c r="CG109" s="496"/>
      <c r="CH109" s="496"/>
      <c r="CI109" s="496"/>
      <c r="CJ109" s="496"/>
      <c r="CK109" s="496"/>
      <c r="CL109" s="496"/>
      <c r="CM109" s="496"/>
      <c r="CN109" s="496"/>
      <c r="CO109" s="496"/>
      <c r="CP109" s="496"/>
      <c r="CQ109" s="589"/>
      <c r="CR109" s="589"/>
      <c r="CS109" s="589"/>
      <c r="CT109" s="589"/>
      <c r="CU109" s="589"/>
      <c r="CV109" s="589"/>
      <c r="CW109" s="589"/>
      <c r="CX109" s="589"/>
      <c r="CY109" s="589"/>
      <c r="CZ109" s="589"/>
      <c r="DA109" s="589"/>
      <c r="DB109" s="589"/>
      <c r="DC109" s="589"/>
      <c r="DD109" s="589"/>
      <c r="DE109" s="589"/>
      <c r="DF109" s="589"/>
      <c r="DG109" s="589"/>
      <c r="DH109" s="589"/>
      <c r="DI109" s="589"/>
      <c r="DJ109" s="589"/>
      <c r="DK109" s="589"/>
      <c r="DL109" s="589"/>
      <c r="DM109" s="589"/>
      <c r="DN109" s="589"/>
      <c r="DO109" s="589"/>
      <c r="DP109" s="589"/>
      <c r="DQ109" s="589"/>
      <c r="DR109" s="589"/>
      <c r="DS109" s="589"/>
      <c r="DT109" s="589"/>
      <c r="DU109" s="589"/>
      <c r="DV109" s="589"/>
      <c r="DW109" s="589"/>
      <c r="DX109" s="589"/>
      <c r="DY109" s="589"/>
      <c r="DZ109" s="589"/>
      <c r="EA109" s="589"/>
      <c r="EB109" s="599"/>
      <c r="EC109" s="78"/>
      <c r="ED109" s="78"/>
      <c r="EE109" s="115" t="s">
        <v>255</v>
      </c>
      <c r="EF109" s="78"/>
      <c r="EG109" s="116"/>
      <c r="EH109" s="116"/>
      <c r="EI109" s="116"/>
      <c r="EJ109" s="116"/>
      <c r="EK109" s="116"/>
      <c r="EL109" s="116"/>
      <c r="EM109" s="116"/>
      <c r="EN109" s="116"/>
      <c r="EO109" s="116"/>
      <c r="EP109" s="116"/>
      <c r="EQ109" s="116"/>
      <c r="ER109" s="116"/>
      <c r="ES109" s="116"/>
      <c r="ET109" s="592"/>
      <c r="EU109" s="592"/>
      <c r="EV109" s="592"/>
      <c r="EW109" s="592"/>
      <c r="EX109" s="592"/>
      <c r="EY109" s="592"/>
      <c r="EZ109" s="592"/>
      <c r="FA109" s="592"/>
      <c r="FB109" s="592"/>
      <c r="FC109" s="592"/>
      <c r="FD109" s="592"/>
      <c r="FE109" s="592"/>
      <c r="FF109" s="96"/>
      <c r="FG109" s="96"/>
      <c r="FH109" s="592"/>
      <c r="FI109" s="592"/>
      <c r="FJ109" s="592"/>
      <c r="FK109" s="592"/>
      <c r="FL109" s="592"/>
      <c r="FM109" s="592"/>
      <c r="FN109" s="592"/>
      <c r="FO109" s="592"/>
      <c r="FP109" s="592"/>
      <c r="FQ109" s="592"/>
      <c r="FR109" s="592"/>
      <c r="FS109" s="592"/>
      <c r="FT109" s="592"/>
      <c r="FU109" s="592"/>
      <c r="FV109" s="592"/>
      <c r="FW109" s="592"/>
      <c r="FX109" s="592"/>
      <c r="FY109" s="592"/>
      <c r="FZ109" s="592"/>
      <c r="GA109" s="592"/>
      <c r="GB109" s="592"/>
      <c r="GC109" s="592"/>
      <c r="GD109" s="592"/>
      <c r="GE109" s="592"/>
      <c r="GF109" s="592"/>
      <c r="GG109" s="592"/>
      <c r="GH109" s="592"/>
      <c r="GI109" s="42"/>
    </row>
    <row r="110" spans="1:193" ht="12.6" customHeight="1" x14ac:dyDescent="0.3">
      <c r="A110" s="593" t="s">
        <v>256</v>
      </c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5"/>
      <c r="S110" s="590"/>
      <c r="T110" s="590"/>
      <c r="U110" s="590"/>
      <c r="V110" s="590"/>
      <c r="W110" s="590"/>
      <c r="X110" s="590"/>
      <c r="Y110" s="590"/>
      <c r="Z110" s="590"/>
      <c r="AA110" s="590"/>
      <c r="AB110" s="590"/>
      <c r="AC110" s="590"/>
      <c r="AD110" s="590"/>
      <c r="AE110" s="590"/>
      <c r="AF110" s="590"/>
      <c r="AG110" s="590"/>
      <c r="AH110" s="590"/>
      <c r="AI110" s="590"/>
      <c r="AJ110" s="590"/>
      <c r="AK110" s="590"/>
      <c r="AL110" s="590"/>
      <c r="AM110" s="590"/>
      <c r="AN110" s="590"/>
      <c r="AO110" s="590"/>
      <c r="AP110" s="590"/>
      <c r="AQ110" s="590"/>
      <c r="AR110" s="590"/>
      <c r="AS110" s="590"/>
      <c r="AT110" s="590"/>
      <c r="AU110" s="590"/>
      <c r="AV110" s="590"/>
      <c r="AW110" s="590"/>
      <c r="AX110" s="590"/>
      <c r="AY110" s="590"/>
      <c r="AZ110" s="590"/>
      <c r="BA110" s="590"/>
      <c r="BB110" s="590"/>
      <c r="BC110" s="590"/>
      <c r="BD110" s="590"/>
      <c r="BE110" s="590"/>
      <c r="BF110" s="590"/>
      <c r="BG110" s="590"/>
      <c r="BH110" s="590"/>
      <c r="BI110" s="590"/>
      <c r="BJ110" s="590"/>
      <c r="BK110" s="590"/>
      <c r="BL110" s="590"/>
      <c r="BM110" s="590"/>
      <c r="BN110" s="590"/>
      <c r="BO110" s="590"/>
      <c r="BP110" s="590"/>
      <c r="BQ110" s="590"/>
      <c r="BR110" s="590"/>
      <c r="BS110" s="590"/>
      <c r="BT110" s="590"/>
      <c r="BU110" s="590"/>
      <c r="BV110" s="593"/>
      <c r="BW110" s="594"/>
      <c r="BX110" s="594"/>
      <c r="BY110" s="594"/>
      <c r="BZ110" s="594"/>
      <c r="CA110" s="594"/>
      <c r="CB110" s="594"/>
      <c r="CC110" s="594"/>
      <c r="CD110" s="594"/>
      <c r="CE110" s="594"/>
      <c r="CF110" s="596"/>
      <c r="CG110" s="594"/>
      <c r="CH110" s="594"/>
      <c r="CI110" s="594"/>
      <c r="CJ110" s="594"/>
      <c r="CK110" s="594"/>
      <c r="CL110" s="594"/>
      <c r="CM110" s="594"/>
      <c r="CN110" s="594"/>
      <c r="CO110" s="594"/>
      <c r="CP110" s="594"/>
      <c r="CQ110" s="590"/>
      <c r="CR110" s="590"/>
      <c r="CS110" s="590"/>
      <c r="CT110" s="590"/>
      <c r="CU110" s="590"/>
      <c r="CV110" s="590"/>
      <c r="CW110" s="590"/>
      <c r="CX110" s="590"/>
      <c r="CY110" s="590"/>
      <c r="CZ110" s="590"/>
      <c r="DA110" s="590"/>
      <c r="DB110" s="590"/>
      <c r="DC110" s="590"/>
      <c r="DD110" s="590"/>
      <c r="DE110" s="590"/>
      <c r="DF110" s="590"/>
      <c r="DG110" s="590"/>
      <c r="DH110" s="590"/>
      <c r="DI110" s="590"/>
      <c r="DJ110" s="590"/>
      <c r="DK110" s="590"/>
      <c r="DL110" s="590"/>
      <c r="DM110" s="590"/>
      <c r="DN110" s="590"/>
      <c r="DO110" s="590"/>
      <c r="DP110" s="590"/>
      <c r="DQ110" s="590"/>
      <c r="DR110" s="590"/>
      <c r="DS110" s="590"/>
      <c r="DT110" s="590"/>
      <c r="DU110" s="590"/>
      <c r="DV110" s="590"/>
      <c r="DW110" s="590"/>
      <c r="DX110" s="590"/>
      <c r="DY110" s="590"/>
      <c r="DZ110" s="590"/>
      <c r="EA110" s="590"/>
      <c r="EB110" s="591"/>
      <c r="EC110" s="78"/>
      <c r="ED110" s="78"/>
      <c r="EE110" s="78"/>
      <c r="EF110" s="78"/>
      <c r="EG110" s="78"/>
      <c r="EH110" s="78"/>
      <c r="EI110" s="78"/>
      <c r="EJ110" s="78"/>
      <c r="EK110" s="78"/>
      <c r="EL110" s="78"/>
      <c r="EM110" s="78"/>
      <c r="EN110" s="78"/>
      <c r="EO110" s="78"/>
      <c r="EP110" s="78"/>
      <c r="EQ110" s="78"/>
      <c r="ER110" s="78"/>
      <c r="ES110" s="78"/>
      <c r="ET110" s="461" t="s">
        <v>122</v>
      </c>
      <c r="EU110" s="461"/>
      <c r="EV110" s="461"/>
      <c r="EW110" s="461"/>
      <c r="EX110" s="461"/>
      <c r="EY110" s="461"/>
      <c r="EZ110" s="461"/>
      <c r="FA110" s="461"/>
      <c r="FB110" s="461"/>
      <c r="FC110" s="461"/>
      <c r="FD110" s="461"/>
      <c r="FE110" s="461"/>
      <c r="FF110" s="107"/>
      <c r="FG110" s="107"/>
      <c r="FH110" s="461" t="s">
        <v>126</v>
      </c>
      <c r="FI110" s="461"/>
      <c r="FJ110" s="461"/>
      <c r="FK110" s="461"/>
      <c r="FL110" s="461"/>
      <c r="FM110" s="461"/>
      <c r="FN110" s="461"/>
      <c r="FO110" s="461"/>
      <c r="FP110" s="461"/>
      <c r="FQ110" s="461"/>
      <c r="FR110" s="461"/>
      <c r="FS110" s="461"/>
      <c r="FT110" s="461"/>
      <c r="FU110" s="461"/>
      <c r="FV110" s="461"/>
      <c r="FW110" s="461"/>
      <c r="FX110" s="461"/>
      <c r="FY110" s="461"/>
      <c r="FZ110" s="461"/>
      <c r="GA110" s="461"/>
      <c r="GB110" s="461"/>
      <c r="GC110" s="461"/>
      <c r="GD110" s="461"/>
      <c r="GE110" s="461"/>
      <c r="GF110" s="461"/>
      <c r="GG110" s="461"/>
      <c r="GH110" s="461"/>
      <c r="GI110" s="42"/>
    </row>
    <row r="111" spans="1:193" ht="12.6" customHeight="1" thickBot="1" x14ac:dyDescent="0.35">
      <c r="A111" s="525" t="s">
        <v>257</v>
      </c>
      <c r="B111" s="476"/>
      <c r="C111" s="476"/>
      <c r="D111" s="476"/>
      <c r="E111" s="476"/>
      <c r="F111" s="476"/>
      <c r="G111" s="476"/>
      <c r="H111" s="476"/>
      <c r="I111" s="476"/>
      <c r="J111" s="476"/>
      <c r="K111" s="476"/>
      <c r="L111" s="476"/>
      <c r="M111" s="476"/>
      <c r="N111" s="476"/>
      <c r="O111" s="476"/>
      <c r="P111" s="476"/>
      <c r="Q111" s="600"/>
      <c r="R111" s="606"/>
      <c r="S111" s="604"/>
      <c r="T111" s="604"/>
      <c r="U111" s="604"/>
      <c r="V111" s="604"/>
      <c r="W111" s="604"/>
      <c r="X111" s="604"/>
      <c r="Y111" s="604"/>
      <c r="Z111" s="604"/>
      <c r="AA111" s="604"/>
      <c r="AB111" s="604"/>
      <c r="AC111" s="604"/>
      <c r="AD111" s="604"/>
      <c r="AE111" s="604"/>
      <c r="AF111" s="604"/>
      <c r="AG111" s="604"/>
      <c r="AH111" s="604"/>
      <c r="AI111" s="604"/>
      <c r="AJ111" s="604"/>
      <c r="AK111" s="604"/>
      <c r="AL111" s="604"/>
      <c r="AM111" s="604"/>
      <c r="AN111" s="604"/>
      <c r="AO111" s="604"/>
      <c r="AP111" s="604"/>
      <c r="AQ111" s="604"/>
      <c r="AR111" s="604"/>
      <c r="AS111" s="604"/>
      <c r="AT111" s="604"/>
      <c r="AU111" s="604"/>
      <c r="AV111" s="604"/>
      <c r="AW111" s="604"/>
      <c r="AX111" s="604"/>
      <c r="AY111" s="604"/>
      <c r="AZ111" s="604"/>
      <c r="BA111" s="604"/>
      <c r="BB111" s="604"/>
      <c r="BC111" s="604"/>
      <c r="BD111" s="604"/>
      <c r="BE111" s="604"/>
      <c r="BF111" s="604"/>
      <c r="BG111" s="604"/>
      <c r="BH111" s="604"/>
      <c r="BI111" s="604"/>
      <c r="BJ111" s="604"/>
      <c r="BK111" s="604"/>
      <c r="BL111" s="604"/>
      <c r="BM111" s="604"/>
      <c r="BN111" s="604"/>
      <c r="BO111" s="604"/>
      <c r="BP111" s="604"/>
      <c r="BQ111" s="604"/>
      <c r="BR111" s="604"/>
      <c r="BS111" s="604"/>
      <c r="BT111" s="604"/>
      <c r="BU111" s="604"/>
      <c r="BV111" s="602"/>
      <c r="BW111" s="517"/>
      <c r="BX111" s="517"/>
      <c r="BY111" s="517"/>
      <c r="BZ111" s="517"/>
      <c r="CA111" s="517"/>
      <c r="CB111" s="517"/>
      <c r="CC111" s="517"/>
      <c r="CD111" s="517"/>
      <c r="CE111" s="517"/>
      <c r="CF111" s="603"/>
      <c r="CG111" s="517"/>
      <c r="CH111" s="517"/>
      <c r="CI111" s="517"/>
      <c r="CJ111" s="517"/>
      <c r="CK111" s="517"/>
      <c r="CL111" s="517"/>
      <c r="CM111" s="517"/>
      <c r="CN111" s="517"/>
      <c r="CO111" s="517"/>
      <c r="CP111" s="517"/>
      <c r="CQ111" s="604"/>
      <c r="CR111" s="604"/>
      <c r="CS111" s="604"/>
      <c r="CT111" s="604"/>
      <c r="CU111" s="604"/>
      <c r="CV111" s="604"/>
      <c r="CW111" s="604"/>
      <c r="CX111" s="604"/>
      <c r="CY111" s="604"/>
      <c r="CZ111" s="604"/>
      <c r="DA111" s="604"/>
      <c r="DB111" s="604"/>
      <c r="DC111" s="604"/>
      <c r="DD111" s="604"/>
      <c r="DE111" s="604"/>
      <c r="DF111" s="604"/>
      <c r="DG111" s="604"/>
      <c r="DH111" s="604"/>
      <c r="DI111" s="604"/>
      <c r="DJ111" s="604"/>
      <c r="DK111" s="604"/>
      <c r="DL111" s="604"/>
      <c r="DM111" s="604"/>
      <c r="DN111" s="604"/>
      <c r="DO111" s="604"/>
      <c r="DP111" s="604"/>
      <c r="DQ111" s="604"/>
      <c r="DR111" s="604"/>
      <c r="DS111" s="604"/>
      <c r="DT111" s="604"/>
      <c r="DU111" s="604"/>
      <c r="DV111" s="604"/>
      <c r="DW111" s="604"/>
      <c r="DX111" s="604"/>
      <c r="DY111" s="604"/>
      <c r="DZ111" s="604"/>
      <c r="EA111" s="604"/>
      <c r="EB111" s="605"/>
      <c r="EC111" s="78"/>
      <c r="ED111" s="78"/>
      <c r="EE111" s="78"/>
      <c r="EF111" s="78"/>
      <c r="EG111" s="78"/>
      <c r="EH111" s="78"/>
      <c r="EI111" s="78"/>
      <c r="EJ111" s="78"/>
      <c r="EK111" s="78"/>
      <c r="EL111" s="78"/>
      <c r="EM111" s="78"/>
      <c r="EN111" s="78"/>
      <c r="EO111" s="78"/>
      <c r="EP111" s="78"/>
      <c r="EQ111" s="78"/>
      <c r="ER111" s="78"/>
      <c r="ES111" s="78"/>
      <c r="ET111" s="78"/>
      <c r="EU111" s="78"/>
      <c r="EV111" s="78"/>
      <c r="EW111" s="78"/>
      <c r="EX111" s="78"/>
      <c r="EY111" s="78"/>
      <c r="EZ111" s="78"/>
      <c r="FA111" s="78"/>
      <c r="FB111" s="78"/>
      <c r="FC111" s="78"/>
      <c r="FD111" s="78"/>
      <c r="FE111" s="78"/>
      <c r="FF111" s="78"/>
      <c r="FG111" s="78"/>
      <c r="FH111" s="78"/>
      <c r="FI111" s="78"/>
      <c r="FJ111" s="78"/>
      <c r="FK111" s="78"/>
      <c r="FL111" s="78"/>
      <c r="FM111" s="78"/>
      <c r="FN111" s="78"/>
      <c r="FO111" s="78"/>
      <c r="FP111" s="78"/>
      <c r="FQ111" s="78"/>
      <c r="FR111" s="78"/>
      <c r="FS111" s="78"/>
      <c r="FT111" s="78"/>
      <c r="FU111" s="78"/>
      <c r="FV111" s="78"/>
      <c r="FW111" s="78"/>
      <c r="FX111" s="78"/>
      <c r="FY111" s="78"/>
      <c r="FZ111" s="78"/>
      <c r="GA111" s="78"/>
      <c r="GB111" s="78"/>
      <c r="GC111" s="78"/>
      <c r="GD111" s="78"/>
      <c r="GE111" s="78"/>
      <c r="GF111" s="78"/>
      <c r="GG111" s="78"/>
      <c r="GH111" s="78"/>
      <c r="GI111" s="42"/>
    </row>
    <row r="112" spans="1:193" x14ac:dyDescent="0.3">
      <c r="GJ112" s="117" t="s">
        <v>258</v>
      </c>
      <c r="GK112" s="118" t="s">
        <v>259</v>
      </c>
    </row>
    <row r="113" spans="192:193" x14ac:dyDescent="0.3">
      <c r="GJ113" s="117" t="s">
        <v>260</v>
      </c>
      <c r="GK113" s="118" t="s">
        <v>261</v>
      </c>
    </row>
    <row r="114" spans="192:193" x14ac:dyDescent="0.3">
      <c r="GJ114" s="117" t="s">
        <v>262</v>
      </c>
      <c r="GK114" s="118" t="s">
        <v>263</v>
      </c>
    </row>
    <row r="115" spans="192:193" x14ac:dyDescent="0.3">
      <c r="GJ115" s="117" t="s">
        <v>264</v>
      </c>
      <c r="GK115" s="118" t="s">
        <v>265</v>
      </c>
    </row>
    <row r="116" spans="192:193" x14ac:dyDescent="0.3">
      <c r="GJ116" s="117" t="s">
        <v>266</v>
      </c>
      <c r="GK116" s="118" t="s">
        <v>267</v>
      </c>
    </row>
    <row r="117" spans="192:193" x14ac:dyDescent="0.3">
      <c r="GJ117" s="117" t="s">
        <v>268</v>
      </c>
      <c r="GK117" s="118" t="s">
        <v>269</v>
      </c>
    </row>
    <row r="118" spans="192:193" x14ac:dyDescent="0.3">
      <c r="GJ118" s="117" t="s">
        <v>58</v>
      </c>
      <c r="GK118" s="118" t="s">
        <v>270</v>
      </c>
    </row>
    <row r="119" spans="192:193" x14ac:dyDescent="0.3">
      <c r="GJ119" s="117" t="s">
        <v>271</v>
      </c>
      <c r="GK119" s="118" t="s">
        <v>272</v>
      </c>
    </row>
    <row r="120" spans="192:193" x14ac:dyDescent="0.3">
      <c r="GJ120" s="117" t="s">
        <v>273</v>
      </c>
      <c r="GK120" s="118" t="s">
        <v>274</v>
      </c>
    </row>
    <row r="121" spans="192:193" x14ac:dyDescent="0.3">
      <c r="GJ121" s="117">
        <v>10</v>
      </c>
      <c r="GK121" s="118" t="s">
        <v>275</v>
      </c>
    </row>
    <row r="122" spans="192:193" x14ac:dyDescent="0.3">
      <c r="GJ122" s="117">
        <v>11</v>
      </c>
      <c r="GK122" s="118" t="s">
        <v>276</v>
      </c>
    </row>
    <row r="123" spans="192:193" x14ac:dyDescent="0.3">
      <c r="GJ123" s="117">
        <v>12</v>
      </c>
      <c r="GK123" s="118" t="s">
        <v>277</v>
      </c>
    </row>
  </sheetData>
  <mergeCells count="582">
    <mergeCell ref="BV111:CF111"/>
    <mergeCell ref="CG111:CP111"/>
    <mergeCell ref="CQ111:CY111"/>
    <mergeCell ref="CZ111:DJ111"/>
    <mergeCell ref="DK111:DS111"/>
    <mergeCell ref="DT111:EB111"/>
    <mergeCell ref="A111:Q111"/>
    <mergeCell ref="R111:Y111"/>
    <mergeCell ref="Z111:AH111"/>
    <mergeCell ref="AI111:AV111"/>
    <mergeCell ref="AW111:BJ111"/>
    <mergeCell ref="BK111:BU111"/>
    <mergeCell ref="CQ110:CY110"/>
    <mergeCell ref="CZ110:DJ110"/>
    <mergeCell ref="DK110:DS110"/>
    <mergeCell ref="DT110:EB110"/>
    <mergeCell ref="ET110:FE110"/>
    <mergeCell ref="FH110:GH110"/>
    <mergeCell ref="ET109:FE109"/>
    <mergeCell ref="FH109:GH109"/>
    <mergeCell ref="A110:Q110"/>
    <mergeCell ref="R110:Y110"/>
    <mergeCell ref="Z110:AH110"/>
    <mergeCell ref="AI110:AV110"/>
    <mergeCell ref="AW110:BJ110"/>
    <mergeCell ref="BK110:BU110"/>
    <mergeCell ref="BV110:CF110"/>
    <mergeCell ref="CG110:CP110"/>
    <mergeCell ref="BV109:CF109"/>
    <mergeCell ref="CG109:CP109"/>
    <mergeCell ref="CQ109:CY109"/>
    <mergeCell ref="CZ109:DJ109"/>
    <mergeCell ref="DK109:DS109"/>
    <mergeCell ref="DT109:EB109"/>
    <mergeCell ref="A109:Q109"/>
    <mergeCell ref="R109:Y109"/>
    <mergeCell ref="Z109:AH109"/>
    <mergeCell ref="AI109:AV109"/>
    <mergeCell ref="AW109:BJ109"/>
    <mergeCell ref="BK109:BU109"/>
    <mergeCell ref="CG108:CP108"/>
    <mergeCell ref="CQ108:CY108"/>
    <mergeCell ref="CZ108:DJ108"/>
    <mergeCell ref="DK108:DS108"/>
    <mergeCell ref="DT108:EB108"/>
    <mergeCell ref="EE108:GH108"/>
    <mergeCell ref="R108:Y108"/>
    <mergeCell ref="Z108:AH108"/>
    <mergeCell ref="AI108:AV108"/>
    <mergeCell ref="AW108:BJ108"/>
    <mergeCell ref="BK108:BU108"/>
    <mergeCell ref="BV108:CF108"/>
    <mergeCell ref="CZ105:DJ107"/>
    <mergeCell ref="DK105:DS107"/>
    <mergeCell ref="DT105:EB107"/>
    <mergeCell ref="EE105:GH105"/>
    <mergeCell ref="EE106:GH106"/>
    <mergeCell ref="BV107:CF107"/>
    <mergeCell ref="CG107:CP107"/>
    <mergeCell ref="EE107:GH107"/>
    <mergeCell ref="A105:Q108"/>
    <mergeCell ref="R105:Y107"/>
    <mergeCell ref="Z105:AH107"/>
    <mergeCell ref="AI105:AV107"/>
    <mergeCell ref="AW105:BJ107"/>
    <mergeCell ref="BK105:BU107"/>
    <mergeCell ref="BV105:CP106"/>
    <mergeCell ref="CQ105:CY107"/>
    <mergeCell ref="AX103:BH103"/>
    <mergeCell ref="BI103:BV103"/>
    <mergeCell ref="BW103:CP103"/>
    <mergeCell ref="CQ103:DC103"/>
    <mergeCell ref="ER101:GH102"/>
    <mergeCell ref="AX102:BH102"/>
    <mergeCell ref="BI102:BV102"/>
    <mergeCell ref="BW102:CP102"/>
    <mergeCell ref="CQ102:DC102"/>
    <mergeCell ref="DD102:DQ102"/>
    <mergeCell ref="DR102:EE102"/>
    <mergeCell ref="EF102:EO102"/>
    <mergeCell ref="A103:H103"/>
    <mergeCell ref="I103:P103"/>
    <mergeCell ref="Q103:X103"/>
    <mergeCell ref="Y103:AF103"/>
    <mergeCell ref="AG103:AN103"/>
    <mergeCell ref="AO103:AW103"/>
    <mergeCell ref="A102:H102"/>
    <mergeCell ref="I102:P102"/>
    <mergeCell ref="Q102:X102"/>
    <mergeCell ref="Y102:AF102"/>
    <mergeCell ref="AG102:AN102"/>
    <mergeCell ref="AO102:AW102"/>
    <mergeCell ref="EF103:EO103"/>
    <mergeCell ref="ER103:GH104"/>
    <mergeCell ref="DD103:DQ103"/>
    <mergeCell ref="DR103:EE103"/>
    <mergeCell ref="FT95:GH95"/>
    <mergeCell ref="A97:EO97"/>
    <mergeCell ref="A98:AN98"/>
    <mergeCell ref="AO98:AW98"/>
    <mergeCell ref="AX98:BV98"/>
    <mergeCell ref="BW98:CP101"/>
    <mergeCell ref="CQ98:DQ98"/>
    <mergeCell ref="DR98:EO98"/>
    <mergeCell ref="FF98:GH98"/>
    <mergeCell ref="A99:H101"/>
    <mergeCell ref="I99:P101"/>
    <mergeCell ref="Q99:X101"/>
    <mergeCell ref="Y99:AF101"/>
    <mergeCell ref="AG99:AN101"/>
    <mergeCell ref="AO99:AW99"/>
    <mergeCell ref="AX99:BH101"/>
    <mergeCell ref="BI99:BV101"/>
    <mergeCell ref="CQ99:DC101"/>
    <mergeCell ref="DD99:DQ101"/>
    <mergeCell ref="DR99:EE101"/>
    <mergeCell ref="EF99:EO101"/>
    <mergeCell ref="ER99:GH100"/>
    <mergeCell ref="AO100:AW100"/>
    <mergeCell ref="AO101:AW101"/>
    <mergeCell ref="A95:J95"/>
    <mergeCell ref="K95:AJ95"/>
    <mergeCell ref="AK95:BJ95"/>
    <mergeCell ref="BK95:CL95"/>
    <mergeCell ref="CM95:DT95"/>
    <mergeCell ref="DU95:EA95"/>
    <mergeCell ref="EB95:EP95"/>
    <mergeCell ref="EQ95:FD95"/>
    <mergeCell ref="FE95:FS95"/>
    <mergeCell ref="FT93:GH93"/>
    <mergeCell ref="A94:J94"/>
    <mergeCell ref="K94:AJ94"/>
    <mergeCell ref="AK94:BJ94"/>
    <mergeCell ref="BK94:CL94"/>
    <mergeCell ref="CM94:DT94"/>
    <mergeCell ref="DU94:EA94"/>
    <mergeCell ref="EB94:EP94"/>
    <mergeCell ref="EQ94:FD94"/>
    <mergeCell ref="FE94:FS94"/>
    <mergeCell ref="FT94:GH94"/>
    <mergeCell ref="A93:J93"/>
    <mergeCell ref="K93:AJ93"/>
    <mergeCell ref="AK93:BJ93"/>
    <mergeCell ref="BK93:CL93"/>
    <mergeCell ref="CM93:DT93"/>
    <mergeCell ref="DU93:EA93"/>
    <mergeCell ref="EB93:EP93"/>
    <mergeCell ref="EQ93:FD93"/>
    <mergeCell ref="FE93:FS93"/>
    <mergeCell ref="A91:J92"/>
    <mergeCell ref="K91:AJ92"/>
    <mergeCell ref="AK91:BJ92"/>
    <mergeCell ref="BK91:CL92"/>
    <mergeCell ref="CM91:EA91"/>
    <mergeCell ref="EB91:FD91"/>
    <mergeCell ref="FE91:FS92"/>
    <mergeCell ref="FT91:GH92"/>
    <mergeCell ref="CM92:DT92"/>
    <mergeCell ref="DU92:EA92"/>
    <mergeCell ref="EB92:EP92"/>
    <mergeCell ref="EQ92:FD92"/>
    <mergeCell ref="CM87:CX89"/>
    <mergeCell ref="CZ87:DP89"/>
    <mergeCell ref="DR85:DZ88"/>
    <mergeCell ref="N86:X86"/>
    <mergeCell ref="AA86:AV86"/>
    <mergeCell ref="BY86:CK86"/>
    <mergeCell ref="CM86:CX86"/>
    <mergeCell ref="CZ86:DP86"/>
    <mergeCell ref="A90:GH90"/>
    <mergeCell ref="FE79:GH79"/>
    <mergeCell ref="A80:G81"/>
    <mergeCell ref="Q80:AS80"/>
    <mergeCell ref="CF80:DB80"/>
    <mergeCell ref="H81:S81"/>
    <mergeCell ref="U81:AE81"/>
    <mergeCell ref="AH81:AX81"/>
    <mergeCell ref="BP81:CO82"/>
    <mergeCell ref="CP81:CZ82"/>
    <mergeCell ref="DC81:DX82"/>
    <mergeCell ref="EB81:EV83"/>
    <mergeCell ref="EX81:GH83"/>
    <mergeCell ref="I82:R83"/>
    <mergeCell ref="U82:AE83"/>
    <mergeCell ref="AH82:AX83"/>
    <mergeCell ref="CP83:CZ84"/>
    <mergeCell ref="DC83:DX84"/>
    <mergeCell ref="A84:S85"/>
    <mergeCell ref="EC84:GH85"/>
    <mergeCell ref="BE85:BM88"/>
    <mergeCell ref="EC86:GH88"/>
    <mergeCell ref="N87:X89"/>
    <mergeCell ref="AA87:AV89"/>
    <mergeCell ref="BY87:CK89"/>
    <mergeCell ref="AA78:AR78"/>
    <mergeCell ref="AY78:BM78"/>
    <mergeCell ref="CS78:DA78"/>
    <mergeCell ref="DK78:DT78"/>
    <mergeCell ref="Q79:AS79"/>
    <mergeCell ref="CF79:DB79"/>
    <mergeCell ref="AA77:AR77"/>
    <mergeCell ref="AS77:AX77"/>
    <mergeCell ref="AY77:BM77"/>
    <mergeCell ref="CS77:DA77"/>
    <mergeCell ref="DB77:DJ77"/>
    <mergeCell ref="DK77:DT77"/>
    <mergeCell ref="FH75:FT75"/>
    <mergeCell ref="FU75:GH75"/>
    <mergeCell ref="AS76:AX76"/>
    <mergeCell ref="DB76:DJ76"/>
    <mergeCell ref="EJ76:ET77"/>
    <mergeCell ref="EU76:FT76"/>
    <mergeCell ref="FU76:GH77"/>
    <mergeCell ref="EJ74:ET74"/>
    <mergeCell ref="EU74:FG74"/>
    <mergeCell ref="FH74:FT74"/>
    <mergeCell ref="FU74:GH74"/>
    <mergeCell ref="A75:AH75"/>
    <mergeCell ref="AI75:BT75"/>
    <mergeCell ref="BU75:CL75"/>
    <mergeCell ref="CM75:DB75"/>
    <mergeCell ref="DC75:EI75"/>
    <mergeCell ref="EJ75:ET75"/>
    <mergeCell ref="DC73:EI73"/>
    <mergeCell ref="EJ73:ET73"/>
    <mergeCell ref="EU73:FG73"/>
    <mergeCell ref="EU75:FG75"/>
    <mergeCell ref="FH73:FT73"/>
    <mergeCell ref="FU73:GH73"/>
    <mergeCell ref="A74:AH74"/>
    <mergeCell ref="AI74:BT74"/>
    <mergeCell ref="BU74:CL74"/>
    <mergeCell ref="CM74:DB74"/>
    <mergeCell ref="DC74:EI74"/>
    <mergeCell ref="A71:AF71"/>
    <mergeCell ref="AO71:BT72"/>
    <mergeCell ref="CH71:CY71"/>
    <mergeCell ref="A73:AH73"/>
    <mergeCell ref="AI73:BT73"/>
    <mergeCell ref="BU73:CL73"/>
    <mergeCell ref="CM73:DB73"/>
    <mergeCell ref="Q69:BU69"/>
    <mergeCell ref="CH69:CY69"/>
    <mergeCell ref="FP69:GH70"/>
    <mergeCell ref="A70:AF70"/>
    <mergeCell ref="CH70:CY70"/>
    <mergeCell ref="DV70:EW70"/>
    <mergeCell ref="Q67:CB67"/>
    <mergeCell ref="CT67:FC67"/>
    <mergeCell ref="FP67:GH68"/>
    <mergeCell ref="Q68:BU68"/>
    <mergeCell ref="CH68:CY68"/>
    <mergeCell ref="DV68:EW68"/>
    <mergeCell ref="O59:FM59"/>
    <mergeCell ref="A65:S65"/>
    <mergeCell ref="T65:AG65"/>
    <mergeCell ref="AP65:BC65"/>
    <mergeCell ref="BI65:BV65"/>
    <mergeCell ref="Q66:CB66"/>
    <mergeCell ref="CT66:FC66"/>
    <mergeCell ref="X60:FM60"/>
    <mergeCell ref="FP60:GH63"/>
    <mergeCell ref="L61:BZ61"/>
    <mergeCell ref="CU61:FA61"/>
    <mergeCell ref="L62:BZ62"/>
    <mergeCell ref="A63:W64"/>
    <mergeCell ref="Y63:BZ63"/>
    <mergeCell ref="DF63:FH63"/>
    <mergeCell ref="Y64:BZ64"/>
    <mergeCell ref="FP64:GH66"/>
    <mergeCell ref="AD55:AT55"/>
    <mergeCell ref="AW55:BC55"/>
    <mergeCell ref="A56:M57"/>
    <mergeCell ref="N56:CA57"/>
    <mergeCell ref="CC56:CN57"/>
    <mergeCell ref="CO56:DK57"/>
    <mergeCell ref="ED51:ES51"/>
    <mergeCell ref="EV51:FF51"/>
    <mergeCell ref="FI51:GE51"/>
    <mergeCell ref="BX53:DD54"/>
    <mergeCell ref="A54:S54"/>
    <mergeCell ref="T54:AG54"/>
    <mergeCell ref="AP54:BC54"/>
    <mergeCell ref="BI54:BV54"/>
    <mergeCell ref="FP54:GH55"/>
    <mergeCell ref="X55:AA55"/>
    <mergeCell ref="DL56:EJ57"/>
    <mergeCell ref="EN56:FA57"/>
    <mergeCell ref="FB56:FN56"/>
    <mergeCell ref="FP56:GH57"/>
    <mergeCell ref="FB57:FN58"/>
    <mergeCell ref="N58:CA58"/>
    <mergeCell ref="CO58:DF58"/>
    <mergeCell ref="FP58:GH59"/>
    <mergeCell ref="BE50:BI50"/>
    <mergeCell ref="BM50:CD50"/>
    <mergeCell ref="CG50:CM50"/>
    <mergeCell ref="ED50:ES50"/>
    <mergeCell ref="EV50:FF50"/>
    <mergeCell ref="FI50:GE50"/>
    <mergeCell ref="AB48:AY48"/>
    <mergeCell ref="BB48:BO48"/>
    <mergeCell ref="BR48:CQ48"/>
    <mergeCell ref="CY48:GE48"/>
    <mergeCell ref="AB49:AY49"/>
    <mergeCell ref="BB49:BO49"/>
    <mergeCell ref="BR49:CQ49"/>
    <mergeCell ref="A46:W46"/>
    <mergeCell ref="Y46:AE46"/>
    <mergeCell ref="AG46:AX46"/>
    <mergeCell ref="BQ46:BZ46"/>
    <mergeCell ref="CC46:CU46"/>
    <mergeCell ref="CY46:FH47"/>
    <mergeCell ref="A43:U44"/>
    <mergeCell ref="EB44:ER44"/>
    <mergeCell ref="EU44:FF44"/>
    <mergeCell ref="FI44:GE44"/>
    <mergeCell ref="A45:W45"/>
    <mergeCell ref="Y45:AE45"/>
    <mergeCell ref="AG45:AX45"/>
    <mergeCell ref="BQ45:BZ45"/>
    <mergeCell ref="CC45:CU45"/>
    <mergeCell ref="AR42:AZ43"/>
    <mergeCell ref="BA42:BW44"/>
    <mergeCell ref="CY42:EA43"/>
    <mergeCell ref="EB42:ER43"/>
    <mergeCell ref="EU42:FF43"/>
    <mergeCell ref="FI42:GE43"/>
    <mergeCell ref="EU39:EW40"/>
    <mergeCell ref="EX39:FP40"/>
    <mergeCell ref="FS39:FZ40"/>
    <mergeCell ref="GA39:GD40"/>
    <mergeCell ref="AV40:BU40"/>
    <mergeCell ref="AB41:BV41"/>
    <mergeCell ref="BW41:CB41"/>
    <mergeCell ref="CC41:CK41"/>
    <mergeCell ref="DJ41:GE41"/>
    <mergeCell ref="AV39:BU39"/>
    <mergeCell ref="CE39:CU39"/>
    <mergeCell ref="CY39:DS40"/>
    <mergeCell ref="DT39:EI40"/>
    <mergeCell ref="EK39:EO40"/>
    <mergeCell ref="EP39:ET40"/>
    <mergeCell ref="FC36:FM37"/>
    <mergeCell ref="J37:BU37"/>
    <mergeCell ref="CM37:DP37"/>
    <mergeCell ref="EI37:EK37"/>
    <mergeCell ref="M38:BU38"/>
    <mergeCell ref="CR38:DP38"/>
    <mergeCell ref="EO38:FB38"/>
    <mergeCell ref="FC38:FM38"/>
    <mergeCell ref="CL35:DP35"/>
    <mergeCell ref="EI35:EK35"/>
    <mergeCell ref="W36:BU36"/>
    <mergeCell ref="CR36:DP36"/>
    <mergeCell ref="DS36:EH37"/>
    <mergeCell ref="EO36:FB37"/>
    <mergeCell ref="AS32:BU32"/>
    <mergeCell ref="CV32:EL32"/>
    <mergeCell ref="EO32:FB32"/>
    <mergeCell ref="FC32:FM32"/>
    <mergeCell ref="N33:BU33"/>
    <mergeCell ref="EO33:FB35"/>
    <mergeCell ref="FC33:FM35"/>
    <mergeCell ref="N34:BU34"/>
    <mergeCell ref="DS34:EH35"/>
    <mergeCell ref="Q35:BU35"/>
    <mergeCell ref="DH31:DR31"/>
    <mergeCell ref="DS31:EC31"/>
    <mergeCell ref="ED31:EN31"/>
    <mergeCell ref="EO31:FB31"/>
    <mergeCell ref="FC31:FM31"/>
    <mergeCell ref="FN31:GE31"/>
    <mergeCell ref="A31:K31"/>
    <mergeCell ref="L31:AE31"/>
    <mergeCell ref="AF31:AR31"/>
    <mergeCell ref="AS31:BD31"/>
    <mergeCell ref="BE31:BT31"/>
    <mergeCell ref="BU31:DG31"/>
    <mergeCell ref="DH30:DR30"/>
    <mergeCell ref="DS30:EC30"/>
    <mergeCell ref="ED30:EN30"/>
    <mergeCell ref="EO30:FB30"/>
    <mergeCell ref="FC30:FM30"/>
    <mergeCell ref="FN30:GE30"/>
    <mergeCell ref="A30:K30"/>
    <mergeCell ref="L30:AE30"/>
    <mergeCell ref="AF30:AR30"/>
    <mergeCell ref="AS30:BD30"/>
    <mergeCell ref="BE30:BT30"/>
    <mergeCell ref="BU30:DG30"/>
    <mergeCell ref="DH29:DR29"/>
    <mergeCell ref="DS29:EC29"/>
    <mergeCell ref="ED29:EN29"/>
    <mergeCell ref="EO29:FB29"/>
    <mergeCell ref="FC29:FM29"/>
    <mergeCell ref="FN29:GE29"/>
    <mergeCell ref="A29:K29"/>
    <mergeCell ref="L29:AE29"/>
    <mergeCell ref="AF29:AR29"/>
    <mergeCell ref="AS29:BD29"/>
    <mergeCell ref="BE29:BT29"/>
    <mergeCell ref="BU29:DG29"/>
    <mergeCell ref="DH28:DR28"/>
    <mergeCell ref="DS28:EC28"/>
    <mergeCell ref="ED28:EN28"/>
    <mergeCell ref="EO28:FB28"/>
    <mergeCell ref="FC28:FM28"/>
    <mergeCell ref="FN28:GE28"/>
    <mergeCell ref="A28:K28"/>
    <mergeCell ref="L28:AE28"/>
    <mergeCell ref="AF28:AR28"/>
    <mergeCell ref="AS28:BD28"/>
    <mergeCell ref="BE28:BT28"/>
    <mergeCell ref="BU28:DG28"/>
    <mergeCell ref="DH27:DR27"/>
    <mergeCell ref="DS27:EC27"/>
    <mergeCell ref="ED27:EN27"/>
    <mergeCell ref="EO27:FB27"/>
    <mergeCell ref="FC27:FM27"/>
    <mergeCell ref="FN27:GE27"/>
    <mergeCell ref="A27:K27"/>
    <mergeCell ref="L27:AE27"/>
    <mergeCell ref="AF27:AR27"/>
    <mergeCell ref="AS27:BD27"/>
    <mergeCell ref="BE27:BT27"/>
    <mergeCell ref="BU27:DG27"/>
    <mergeCell ref="DH26:DR26"/>
    <mergeCell ref="DS26:EC26"/>
    <mergeCell ref="ED26:EN26"/>
    <mergeCell ref="EO26:FB26"/>
    <mergeCell ref="FC26:FM26"/>
    <mergeCell ref="FN26:GE26"/>
    <mergeCell ref="A26:K26"/>
    <mergeCell ref="L26:AE26"/>
    <mergeCell ref="AF26:AR26"/>
    <mergeCell ref="AS26:BD26"/>
    <mergeCell ref="BE26:BT26"/>
    <mergeCell ref="BU26:DG26"/>
    <mergeCell ref="DH25:DR25"/>
    <mergeCell ref="DS25:EC25"/>
    <mergeCell ref="ED25:EN25"/>
    <mergeCell ref="EO25:FB25"/>
    <mergeCell ref="FC25:FM25"/>
    <mergeCell ref="FN25:GE25"/>
    <mergeCell ref="A25:K25"/>
    <mergeCell ref="L25:AE25"/>
    <mergeCell ref="AF25:AR25"/>
    <mergeCell ref="AS25:BD25"/>
    <mergeCell ref="BE25:BT25"/>
    <mergeCell ref="BU25:DG25"/>
    <mergeCell ref="DH24:DR24"/>
    <mergeCell ref="DS24:EC24"/>
    <mergeCell ref="ED24:EN24"/>
    <mergeCell ref="EO24:FB24"/>
    <mergeCell ref="FC24:FM24"/>
    <mergeCell ref="FN24:GE24"/>
    <mergeCell ref="A24:K24"/>
    <mergeCell ref="L24:AE24"/>
    <mergeCell ref="AF24:AR24"/>
    <mergeCell ref="AS24:BD24"/>
    <mergeCell ref="BE24:BT24"/>
    <mergeCell ref="BU24:DG24"/>
    <mergeCell ref="DH23:DR23"/>
    <mergeCell ref="DS23:EC23"/>
    <mergeCell ref="ED23:EN23"/>
    <mergeCell ref="EO23:FB23"/>
    <mergeCell ref="FC23:FM23"/>
    <mergeCell ref="FN23:GE23"/>
    <mergeCell ref="A23:K23"/>
    <mergeCell ref="L23:AE23"/>
    <mergeCell ref="AF23:AR23"/>
    <mergeCell ref="AS23:BD23"/>
    <mergeCell ref="BE23:BT23"/>
    <mergeCell ref="BU23:DG23"/>
    <mergeCell ref="DH22:DR22"/>
    <mergeCell ref="DS22:EC22"/>
    <mergeCell ref="ED22:EN22"/>
    <mergeCell ref="EO22:FB22"/>
    <mergeCell ref="FC22:FM22"/>
    <mergeCell ref="FN22:GE22"/>
    <mergeCell ref="A22:K22"/>
    <mergeCell ref="L22:AE22"/>
    <mergeCell ref="AF22:AR22"/>
    <mergeCell ref="AS22:BD22"/>
    <mergeCell ref="BE22:BT22"/>
    <mergeCell ref="BU22:DG22"/>
    <mergeCell ref="DH21:DR21"/>
    <mergeCell ref="DS21:EC21"/>
    <mergeCell ref="ED21:EN21"/>
    <mergeCell ref="EO21:FB21"/>
    <mergeCell ref="FC21:FM21"/>
    <mergeCell ref="FN21:GE21"/>
    <mergeCell ref="A21:K21"/>
    <mergeCell ref="L21:AE21"/>
    <mergeCell ref="AF21:AR21"/>
    <mergeCell ref="AS21:BD21"/>
    <mergeCell ref="BE21:BT21"/>
    <mergeCell ref="BU21:DG21"/>
    <mergeCell ref="DH20:DR20"/>
    <mergeCell ref="DS20:EC20"/>
    <mergeCell ref="ED20:EN20"/>
    <mergeCell ref="EO20:FB20"/>
    <mergeCell ref="FC20:FM20"/>
    <mergeCell ref="FN20:GE20"/>
    <mergeCell ref="A20:K20"/>
    <mergeCell ref="L20:AE20"/>
    <mergeCell ref="AF20:AR20"/>
    <mergeCell ref="AS20:BD20"/>
    <mergeCell ref="BE20:BT20"/>
    <mergeCell ref="BU20:DG20"/>
    <mergeCell ref="DH18:DR18"/>
    <mergeCell ref="DS18:EC18"/>
    <mergeCell ref="ED18:EN18"/>
    <mergeCell ref="EO18:FB18"/>
    <mergeCell ref="FC19:FM19"/>
    <mergeCell ref="FC18:FM18"/>
    <mergeCell ref="FN18:GE18"/>
    <mergeCell ref="A18:K18"/>
    <mergeCell ref="L18:AE18"/>
    <mergeCell ref="AF18:AR18"/>
    <mergeCell ref="AS18:BD18"/>
    <mergeCell ref="BE18:BT18"/>
    <mergeCell ref="BU18:DG18"/>
    <mergeCell ref="FN19:GE19"/>
    <mergeCell ref="A19:K19"/>
    <mergeCell ref="L19:AE19"/>
    <mergeCell ref="AF19:AR19"/>
    <mergeCell ref="AS19:BD19"/>
    <mergeCell ref="BE19:BT19"/>
    <mergeCell ref="BU19:DG19"/>
    <mergeCell ref="DH19:DR19"/>
    <mergeCell ref="DS19:EC19"/>
    <mergeCell ref="ED19:EN19"/>
    <mergeCell ref="EO19:FB19"/>
    <mergeCell ref="FC17:FM17"/>
    <mergeCell ref="FN17:GE17"/>
    <mergeCell ref="A17:K17"/>
    <mergeCell ref="L17:AE17"/>
    <mergeCell ref="AF17:AR17"/>
    <mergeCell ref="AS17:BD17"/>
    <mergeCell ref="BE17:BT17"/>
    <mergeCell ref="BU17:DG17"/>
    <mergeCell ref="DH17:DR17"/>
    <mergeCell ref="DS17:EC17"/>
    <mergeCell ref="ED17:EN17"/>
    <mergeCell ref="EO17:FB17"/>
    <mergeCell ref="ED16:EN16"/>
    <mergeCell ref="EO16:FB16"/>
    <mergeCell ref="A12:O13"/>
    <mergeCell ref="V12:EZ12"/>
    <mergeCell ref="FA12:FL13"/>
    <mergeCell ref="FM12:GE13"/>
    <mergeCell ref="P13:EZ13"/>
    <mergeCell ref="V14:EZ14"/>
    <mergeCell ref="A15:GE15"/>
    <mergeCell ref="A16:K16"/>
    <mergeCell ref="L16:AE16"/>
    <mergeCell ref="AF16:AR16"/>
    <mergeCell ref="AS16:BD16"/>
    <mergeCell ref="BE16:BT16"/>
    <mergeCell ref="BU16:DG16"/>
    <mergeCell ref="DH16:DR16"/>
    <mergeCell ref="DS16:EC16"/>
    <mergeCell ref="FC16:FM16"/>
    <mergeCell ref="FN16:GE16"/>
    <mergeCell ref="A11:O11"/>
    <mergeCell ref="P11:EZ11"/>
    <mergeCell ref="P9:EZ9"/>
    <mergeCell ref="FA9:FL9"/>
    <mergeCell ref="FM9:GE9"/>
    <mergeCell ref="V10:EZ10"/>
    <mergeCell ref="FA10:FL11"/>
    <mergeCell ref="FM10:GE11"/>
    <mergeCell ref="FM4:GE4"/>
    <mergeCell ref="FM5:GE5"/>
    <mergeCell ref="DR6:FG6"/>
    <mergeCell ref="FM6:GE6"/>
    <mergeCell ref="DR7:FG7"/>
    <mergeCell ref="FM7:FR8"/>
    <mergeCell ref="FS7:FY8"/>
    <mergeCell ref="FZ7:GE8"/>
  </mergeCells>
  <hyperlinks>
    <hyperlink ref="BD6" r:id="rId1" xr:uid="{00000000-0004-0000-0400-000000000000}"/>
  </hyperlinks>
  <pageMargins left="0.39370078740157483" right="0.19685039370078741" top="0.55118110236220474" bottom="0.15748031496062992" header="0" footer="0"/>
  <pageSetup paperSize="9" scale="72" fitToHeight="2" orientation="landscape" blackAndWhite="1" r:id="rId2"/>
  <rowBreaks count="1" manualBreakCount="1">
    <brk id="52" max="19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K123"/>
  <sheetViews>
    <sheetView view="pageBreakPreview" topLeftCell="O1" zoomScale="130" zoomScaleNormal="115" zoomScaleSheetLayoutView="130" workbookViewId="0">
      <selection activeCell="BU21" sqref="BU21:DG21"/>
    </sheetView>
  </sheetViews>
  <sheetFormatPr defaultRowHeight="14.4" x14ac:dyDescent="0.3"/>
  <cols>
    <col min="1" max="127" width="1" customWidth="1"/>
    <col min="128" max="128" width="1.109375" customWidth="1"/>
    <col min="129" max="186" width="0.6640625" customWidth="1"/>
    <col min="187" max="187" width="2" customWidth="1"/>
    <col min="188" max="190" width="0.33203125" customWidth="1"/>
    <col min="191" max="191" width="1.33203125" customWidth="1"/>
  </cols>
  <sheetData>
    <row r="1" spans="1:191" ht="12" customHeight="1" x14ac:dyDescent="0.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1" t="s">
        <v>48</v>
      </c>
      <c r="ED1" s="40"/>
      <c r="EE1" s="40"/>
      <c r="EF1" s="40"/>
      <c r="EG1" s="40"/>
      <c r="EH1" s="42"/>
      <c r="EI1" s="42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2"/>
    </row>
    <row r="2" spans="1:191" ht="12" customHeight="1" x14ac:dyDescent="0.3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1" t="s">
        <v>49</v>
      </c>
      <c r="ED2" s="40"/>
      <c r="EE2" s="40"/>
      <c r="EF2" s="40"/>
      <c r="EG2" s="40"/>
      <c r="EH2" s="42"/>
      <c r="EI2" s="42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2"/>
    </row>
    <row r="3" spans="1:191" ht="12" customHeigh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1" t="s">
        <v>50</v>
      </c>
      <c r="ED3" s="40"/>
      <c r="EE3" s="40"/>
      <c r="EF3" s="40"/>
      <c r="EG3" s="40"/>
      <c r="EH3" s="42"/>
      <c r="EI3" s="42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2"/>
    </row>
    <row r="4" spans="1:191" ht="15" thickBot="1" x14ac:dyDescent="0.35">
      <c r="A4" s="40"/>
      <c r="B4" s="40"/>
      <c r="C4" s="40"/>
      <c r="D4" s="43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224" t="s">
        <v>51</v>
      </c>
      <c r="FN4" s="225"/>
      <c r="FO4" s="225"/>
      <c r="FP4" s="225"/>
      <c r="FQ4" s="225"/>
      <c r="FR4" s="225"/>
      <c r="FS4" s="225"/>
      <c r="FT4" s="225"/>
      <c r="FU4" s="225"/>
      <c r="FV4" s="225"/>
      <c r="FW4" s="225"/>
      <c r="FX4" s="225"/>
      <c r="FY4" s="225"/>
      <c r="FZ4" s="225"/>
      <c r="GA4" s="225"/>
      <c r="GB4" s="225"/>
      <c r="GC4" s="225"/>
      <c r="GD4" s="225"/>
      <c r="GE4" s="226"/>
      <c r="GF4" s="40"/>
      <c r="GG4" s="40"/>
      <c r="GH4" s="40"/>
      <c r="GI4" s="42"/>
    </row>
    <row r="5" spans="1:191" x14ac:dyDescent="0.3">
      <c r="A5" s="40"/>
      <c r="B5" s="40"/>
      <c r="C5" s="40"/>
      <c r="D5" s="44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5" t="s">
        <v>52</v>
      </c>
      <c r="EQ5" s="40"/>
      <c r="ER5" s="40"/>
      <c r="ES5" s="42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227" t="s">
        <v>53</v>
      </c>
      <c r="FN5" s="228"/>
      <c r="FO5" s="228"/>
      <c r="FP5" s="228"/>
      <c r="FQ5" s="228"/>
      <c r="FR5" s="228"/>
      <c r="FS5" s="228"/>
      <c r="FT5" s="228"/>
      <c r="FU5" s="228"/>
      <c r="FV5" s="228"/>
      <c r="FW5" s="228"/>
      <c r="FX5" s="228"/>
      <c r="FY5" s="228"/>
      <c r="FZ5" s="228"/>
      <c r="GA5" s="228"/>
      <c r="GB5" s="228"/>
      <c r="GC5" s="228"/>
      <c r="GD5" s="228"/>
      <c r="GE5" s="229"/>
      <c r="GF5" s="40"/>
      <c r="GG5" s="40"/>
      <c r="GH5" s="40"/>
      <c r="GI5" s="42"/>
    </row>
    <row r="6" spans="1:191" ht="17.399999999999999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6" t="s">
        <v>54</v>
      </c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230" t="s">
        <v>55</v>
      </c>
      <c r="DS6" s="230"/>
      <c r="DT6" s="230"/>
      <c r="DU6" s="230"/>
      <c r="DV6" s="230"/>
      <c r="DW6" s="230"/>
      <c r="DX6" s="230"/>
      <c r="DY6" s="230"/>
      <c r="DZ6" s="230"/>
      <c r="EA6" s="230"/>
      <c r="EB6" s="230"/>
      <c r="EC6" s="230"/>
      <c r="ED6" s="230"/>
      <c r="EE6" s="230"/>
      <c r="EF6" s="230"/>
      <c r="EG6" s="230"/>
      <c r="EH6" s="230"/>
      <c r="EI6" s="230"/>
      <c r="EJ6" s="230"/>
      <c r="EK6" s="230"/>
      <c r="EL6" s="230"/>
      <c r="EM6" s="230"/>
      <c r="EN6" s="230"/>
      <c r="EO6" s="230"/>
      <c r="EP6" s="230"/>
      <c r="EQ6" s="230"/>
      <c r="ER6" s="230"/>
      <c r="ES6" s="230"/>
      <c r="ET6" s="230"/>
      <c r="EU6" s="230"/>
      <c r="EV6" s="230"/>
      <c r="EW6" s="230"/>
      <c r="EX6" s="230"/>
      <c r="EY6" s="230"/>
      <c r="EZ6" s="230"/>
      <c r="FA6" s="230"/>
      <c r="FB6" s="230"/>
      <c r="FC6" s="230"/>
      <c r="FD6" s="230"/>
      <c r="FE6" s="230"/>
      <c r="FF6" s="230"/>
      <c r="FG6" s="230"/>
      <c r="FH6" s="40"/>
      <c r="FI6" s="40" t="s">
        <v>56</v>
      </c>
      <c r="FJ6" s="40"/>
      <c r="FK6" s="40"/>
      <c r="FL6" s="40"/>
      <c r="FM6" s="231" t="s">
        <v>315</v>
      </c>
      <c r="FN6" s="232"/>
      <c r="FO6" s="232"/>
      <c r="FP6" s="232"/>
      <c r="FQ6" s="232"/>
      <c r="FR6" s="232"/>
      <c r="FS6" s="232"/>
      <c r="FT6" s="232"/>
      <c r="FU6" s="232"/>
      <c r="FV6" s="232"/>
      <c r="FW6" s="232"/>
      <c r="FX6" s="232"/>
      <c r="FY6" s="232"/>
      <c r="FZ6" s="232"/>
      <c r="GA6" s="232"/>
      <c r="GB6" s="232"/>
      <c r="GC6" s="232"/>
      <c r="GD6" s="232"/>
      <c r="GE6" s="233"/>
      <c r="GF6" s="40"/>
      <c r="GG6" s="40"/>
      <c r="GH6" s="40"/>
      <c r="GI6" s="42"/>
    </row>
    <row r="7" spans="1:191" ht="10.199999999999999" customHeight="1" x14ac:dyDescent="0.3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234" t="s">
        <v>57</v>
      </c>
      <c r="DS7" s="234"/>
      <c r="DT7" s="234"/>
      <c r="DU7" s="234"/>
      <c r="DV7" s="234"/>
      <c r="DW7" s="234"/>
      <c r="DX7" s="234"/>
      <c r="DY7" s="234"/>
      <c r="DZ7" s="234"/>
      <c r="EA7" s="234"/>
      <c r="EB7" s="234"/>
      <c r="EC7" s="234"/>
      <c r="ED7" s="234"/>
      <c r="EE7" s="234"/>
      <c r="EF7" s="234"/>
      <c r="EG7" s="234"/>
      <c r="EH7" s="234"/>
      <c r="EI7" s="234"/>
      <c r="EJ7" s="234"/>
      <c r="EK7" s="234"/>
      <c r="EL7" s="234"/>
      <c r="EM7" s="234"/>
      <c r="EN7" s="234"/>
      <c r="EO7" s="234"/>
      <c r="EP7" s="234"/>
      <c r="EQ7" s="234"/>
      <c r="ER7" s="234"/>
      <c r="ES7" s="234"/>
      <c r="ET7" s="234"/>
      <c r="EU7" s="234"/>
      <c r="EV7" s="234"/>
      <c r="EW7" s="234"/>
      <c r="EX7" s="234"/>
      <c r="EY7" s="234"/>
      <c r="EZ7" s="234"/>
      <c r="FA7" s="234"/>
      <c r="FB7" s="234"/>
      <c r="FC7" s="234"/>
      <c r="FD7" s="234"/>
      <c r="FE7" s="234"/>
      <c r="FF7" s="234"/>
      <c r="FG7" s="234"/>
      <c r="FH7" s="40"/>
      <c r="FI7" s="40"/>
      <c r="FJ7" s="40"/>
      <c r="FK7" s="40"/>
      <c r="FL7" s="40"/>
      <c r="FM7" s="235" t="s">
        <v>258</v>
      </c>
      <c r="FN7" s="236"/>
      <c r="FO7" s="236"/>
      <c r="FP7" s="236"/>
      <c r="FQ7" s="236"/>
      <c r="FR7" s="236"/>
      <c r="FS7" s="239" t="s">
        <v>271</v>
      </c>
      <c r="FT7" s="240"/>
      <c r="FU7" s="240"/>
      <c r="FV7" s="240"/>
      <c r="FW7" s="240"/>
      <c r="FX7" s="240"/>
      <c r="FY7" s="241"/>
      <c r="FZ7" s="236" t="s">
        <v>59</v>
      </c>
      <c r="GA7" s="236"/>
      <c r="GB7" s="236"/>
      <c r="GC7" s="236"/>
      <c r="GD7" s="236"/>
      <c r="GE7" s="245"/>
      <c r="GF7" s="40"/>
      <c r="GG7" s="40"/>
      <c r="GH7" s="40"/>
      <c r="GI7" s="42"/>
    </row>
    <row r="8" spans="1:191" ht="10.199999999999999" customHeigh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7"/>
      <c r="DS8" s="47"/>
      <c r="DT8" s="47"/>
      <c r="DU8" s="47"/>
      <c r="DV8" s="47"/>
      <c r="DW8" s="47"/>
      <c r="DX8" s="47"/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47"/>
      <c r="FC8" s="47"/>
      <c r="FD8" s="47"/>
      <c r="FE8" s="47"/>
      <c r="FF8" s="47"/>
      <c r="FG8" s="47"/>
      <c r="FH8" s="40"/>
      <c r="FI8" s="40"/>
      <c r="FJ8" s="40"/>
      <c r="FK8" s="48" t="s">
        <v>60</v>
      </c>
      <c r="FL8" s="40"/>
      <c r="FM8" s="237"/>
      <c r="FN8" s="238"/>
      <c r="FO8" s="238"/>
      <c r="FP8" s="238"/>
      <c r="FQ8" s="238"/>
      <c r="FR8" s="238"/>
      <c r="FS8" s="242"/>
      <c r="FT8" s="243"/>
      <c r="FU8" s="243"/>
      <c r="FV8" s="243"/>
      <c r="FW8" s="243"/>
      <c r="FX8" s="243"/>
      <c r="FY8" s="244"/>
      <c r="FZ8" s="238"/>
      <c r="GA8" s="238"/>
      <c r="GB8" s="238"/>
      <c r="GC8" s="238"/>
      <c r="GD8" s="238"/>
      <c r="GE8" s="246"/>
      <c r="GF8" s="40"/>
      <c r="GG8" s="40"/>
      <c r="GH8" s="40"/>
      <c r="GI8" s="42"/>
    </row>
    <row r="9" spans="1:191" ht="13.2" customHeight="1" x14ac:dyDescent="0.3">
      <c r="A9" s="40" t="s">
        <v>61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214" t="s">
        <v>62</v>
      </c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  <c r="BX9" s="214"/>
      <c r="BY9" s="214"/>
      <c r="BZ9" s="214"/>
      <c r="CA9" s="214"/>
      <c r="CB9" s="214"/>
      <c r="CC9" s="214"/>
      <c r="CD9" s="214"/>
      <c r="CE9" s="214"/>
      <c r="CF9" s="214"/>
      <c r="CG9" s="214"/>
      <c r="CH9" s="214"/>
      <c r="CI9" s="214"/>
      <c r="CJ9" s="214"/>
      <c r="CK9" s="214"/>
      <c r="CL9" s="214"/>
      <c r="CM9" s="214"/>
      <c r="CN9" s="214"/>
      <c r="CO9" s="214"/>
      <c r="CP9" s="214"/>
      <c r="CQ9" s="214"/>
      <c r="CR9" s="214"/>
      <c r="CS9" s="214"/>
      <c r="CT9" s="214"/>
      <c r="CU9" s="214"/>
      <c r="CV9" s="214"/>
      <c r="CW9" s="214"/>
      <c r="CX9" s="214"/>
      <c r="CY9" s="214"/>
      <c r="CZ9" s="214"/>
      <c r="DA9" s="214"/>
      <c r="DB9" s="214"/>
      <c r="DC9" s="214"/>
      <c r="DD9" s="214"/>
      <c r="DE9" s="214"/>
      <c r="DF9" s="214"/>
      <c r="DG9" s="214"/>
      <c r="DH9" s="214"/>
      <c r="DI9" s="214"/>
      <c r="DJ9" s="214"/>
      <c r="DK9" s="214"/>
      <c r="DL9" s="214"/>
      <c r="DM9" s="214"/>
      <c r="DN9" s="214"/>
      <c r="DO9" s="214"/>
      <c r="DP9" s="214"/>
      <c r="DQ9" s="214"/>
      <c r="DR9" s="214"/>
      <c r="DS9" s="214"/>
      <c r="DT9" s="214"/>
      <c r="DU9" s="214"/>
      <c r="DV9" s="214"/>
      <c r="DW9" s="214"/>
      <c r="DX9" s="214"/>
      <c r="DY9" s="214"/>
      <c r="DZ9" s="214"/>
      <c r="EA9" s="214"/>
      <c r="EB9" s="214"/>
      <c r="EC9" s="214"/>
      <c r="ED9" s="214"/>
      <c r="EE9" s="214"/>
      <c r="EF9" s="214"/>
      <c r="EG9" s="214"/>
      <c r="EH9" s="214"/>
      <c r="EI9" s="214"/>
      <c r="EJ9" s="214"/>
      <c r="EK9" s="214"/>
      <c r="EL9" s="214"/>
      <c r="EM9" s="214"/>
      <c r="EN9" s="214"/>
      <c r="EO9" s="214"/>
      <c r="EP9" s="214"/>
      <c r="EQ9" s="214"/>
      <c r="ER9" s="214"/>
      <c r="ES9" s="214"/>
      <c r="ET9" s="214"/>
      <c r="EU9" s="214"/>
      <c r="EV9" s="214"/>
      <c r="EW9" s="214"/>
      <c r="EX9" s="214"/>
      <c r="EY9" s="214"/>
      <c r="EZ9" s="214"/>
      <c r="FA9" s="215" t="s">
        <v>63</v>
      </c>
      <c r="FB9" s="215"/>
      <c r="FC9" s="215"/>
      <c r="FD9" s="215"/>
      <c r="FE9" s="215"/>
      <c r="FF9" s="215"/>
      <c r="FG9" s="215"/>
      <c r="FH9" s="215"/>
      <c r="FI9" s="215"/>
      <c r="FJ9" s="215"/>
      <c r="FK9" s="215"/>
      <c r="FL9" s="216"/>
      <c r="FM9" s="217"/>
      <c r="FN9" s="218"/>
      <c r="FO9" s="218"/>
      <c r="FP9" s="218"/>
      <c r="FQ9" s="218"/>
      <c r="FR9" s="218"/>
      <c r="FS9" s="218"/>
      <c r="FT9" s="218"/>
      <c r="FU9" s="218"/>
      <c r="FV9" s="218"/>
      <c r="FW9" s="218"/>
      <c r="FX9" s="218"/>
      <c r="FY9" s="218"/>
      <c r="FZ9" s="218"/>
      <c r="GA9" s="218"/>
      <c r="GB9" s="218"/>
      <c r="GC9" s="218"/>
      <c r="GD9" s="218"/>
      <c r="GE9" s="219"/>
      <c r="GF9" s="40"/>
      <c r="GG9" s="40"/>
      <c r="GH9" s="40"/>
      <c r="GI9" s="42"/>
    </row>
    <row r="10" spans="1:191" ht="6.6" customHeight="1" x14ac:dyDescent="0.3">
      <c r="A10" s="42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0"/>
      <c r="V10" s="220" t="s">
        <v>64</v>
      </c>
      <c r="W10" s="220"/>
      <c r="X10" s="220"/>
      <c r="Y10" s="220"/>
      <c r="Z10" s="220"/>
      <c r="AA10" s="220"/>
      <c r="AB10" s="220"/>
      <c r="AC10" s="220"/>
      <c r="AD10" s="220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220"/>
      <c r="CK10" s="220"/>
      <c r="CL10" s="220"/>
      <c r="CM10" s="220"/>
      <c r="CN10" s="220"/>
      <c r="CO10" s="220"/>
      <c r="CP10" s="220"/>
      <c r="CQ10" s="220"/>
      <c r="CR10" s="220"/>
      <c r="CS10" s="220"/>
      <c r="CT10" s="220"/>
      <c r="CU10" s="220"/>
      <c r="CV10" s="220"/>
      <c r="CW10" s="220"/>
      <c r="CX10" s="220"/>
      <c r="CY10" s="220"/>
      <c r="CZ10" s="220"/>
      <c r="DA10" s="220"/>
      <c r="DB10" s="220"/>
      <c r="DC10" s="220"/>
      <c r="DD10" s="220"/>
      <c r="DE10" s="220"/>
      <c r="DF10" s="220"/>
      <c r="DG10" s="220"/>
      <c r="DH10" s="220"/>
      <c r="DI10" s="220"/>
      <c r="DJ10" s="220"/>
      <c r="DK10" s="220"/>
      <c r="DL10" s="220"/>
      <c r="DM10" s="220"/>
      <c r="DN10" s="220"/>
      <c r="DO10" s="220"/>
      <c r="DP10" s="220"/>
      <c r="DQ10" s="220"/>
      <c r="DR10" s="220"/>
      <c r="DS10" s="220"/>
      <c r="DT10" s="220"/>
      <c r="DU10" s="220"/>
      <c r="DV10" s="220"/>
      <c r="DW10" s="220"/>
      <c r="DX10" s="220"/>
      <c r="DY10" s="220"/>
      <c r="DZ10" s="220"/>
      <c r="EA10" s="220"/>
      <c r="EB10" s="220"/>
      <c r="EC10" s="220"/>
      <c r="ED10" s="220"/>
      <c r="EE10" s="220"/>
      <c r="EF10" s="220"/>
      <c r="EG10" s="220"/>
      <c r="EH10" s="220"/>
      <c r="EI10" s="220"/>
      <c r="EJ10" s="220"/>
      <c r="EK10" s="220"/>
      <c r="EL10" s="220"/>
      <c r="EM10" s="220"/>
      <c r="EN10" s="220"/>
      <c r="EO10" s="220"/>
      <c r="EP10" s="220"/>
      <c r="EQ10" s="220"/>
      <c r="ER10" s="220"/>
      <c r="ES10" s="220"/>
      <c r="ET10" s="220"/>
      <c r="EU10" s="220"/>
      <c r="EV10" s="220"/>
      <c r="EW10" s="220"/>
      <c r="EX10" s="220"/>
      <c r="EY10" s="220"/>
      <c r="EZ10" s="220"/>
      <c r="FA10" s="215" t="s">
        <v>63</v>
      </c>
      <c r="FB10" s="215"/>
      <c r="FC10" s="215"/>
      <c r="FD10" s="215"/>
      <c r="FE10" s="215"/>
      <c r="FF10" s="215"/>
      <c r="FG10" s="215"/>
      <c r="FH10" s="215"/>
      <c r="FI10" s="215"/>
      <c r="FJ10" s="215"/>
      <c r="FK10" s="215"/>
      <c r="FL10" s="216"/>
      <c r="FM10" s="221"/>
      <c r="FN10" s="222"/>
      <c r="FO10" s="222"/>
      <c r="FP10" s="222"/>
      <c r="FQ10" s="222"/>
      <c r="FR10" s="222"/>
      <c r="FS10" s="222"/>
      <c r="FT10" s="222"/>
      <c r="FU10" s="222"/>
      <c r="FV10" s="222"/>
      <c r="FW10" s="222"/>
      <c r="FX10" s="222"/>
      <c r="FY10" s="222"/>
      <c r="FZ10" s="222"/>
      <c r="GA10" s="222"/>
      <c r="GB10" s="222"/>
      <c r="GC10" s="222"/>
      <c r="GD10" s="222"/>
      <c r="GE10" s="223"/>
      <c r="GF10" s="40"/>
      <c r="GG10" s="40"/>
      <c r="GH10" s="40"/>
      <c r="GI10" s="42"/>
    </row>
    <row r="11" spans="1:191" ht="12.6" customHeight="1" x14ac:dyDescent="0.3">
      <c r="A11" s="213" t="s">
        <v>65</v>
      </c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4" t="s">
        <v>62</v>
      </c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/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5"/>
      <c r="FB11" s="215"/>
      <c r="FC11" s="215"/>
      <c r="FD11" s="215"/>
      <c r="FE11" s="215"/>
      <c r="FF11" s="215"/>
      <c r="FG11" s="215"/>
      <c r="FH11" s="215"/>
      <c r="FI11" s="215"/>
      <c r="FJ11" s="215"/>
      <c r="FK11" s="215"/>
      <c r="FL11" s="216"/>
      <c r="FM11" s="217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/>
      <c r="GE11" s="219"/>
      <c r="GF11" s="40"/>
      <c r="GG11" s="40"/>
      <c r="GH11" s="40"/>
      <c r="GI11" s="42"/>
    </row>
    <row r="12" spans="1:191" ht="6.6" customHeight="1" x14ac:dyDescent="0.3">
      <c r="A12" s="251" t="s">
        <v>66</v>
      </c>
      <c r="B12" s="251"/>
      <c r="C12" s="251"/>
      <c r="D12" s="251"/>
      <c r="E12" s="251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40"/>
      <c r="Q12" s="40"/>
      <c r="R12" s="40"/>
      <c r="S12" s="40"/>
      <c r="T12" s="40"/>
      <c r="U12" s="40"/>
      <c r="V12" s="252" t="s">
        <v>64</v>
      </c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0"/>
      <c r="DQ12" s="220"/>
      <c r="DR12" s="220"/>
      <c r="DS12" s="220"/>
      <c r="DT12" s="220"/>
      <c r="DU12" s="220"/>
      <c r="DV12" s="220"/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15" t="s">
        <v>63</v>
      </c>
      <c r="FB12" s="215"/>
      <c r="FC12" s="215"/>
      <c r="FD12" s="215"/>
      <c r="FE12" s="215"/>
      <c r="FF12" s="215"/>
      <c r="FG12" s="215"/>
      <c r="FH12" s="215"/>
      <c r="FI12" s="215"/>
      <c r="FJ12" s="215"/>
      <c r="FK12" s="215"/>
      <c r="FL12" s="216"/>
      <c r="FM12" s="221"/>
      <c r="FN12" s="222"/>
      <c r="FO12" s="222"/>
      <c r="FP12" s="222"/>
      <c r="FQ12" s="222"/>
      <c r="FR12" s="222"/>
      <c r="FS12" s="222"/>
      <c r="FT12" s="222"/>
      <c r="FU12" s="222"/>
      <c r="FV12" s="222"/>
      <c r="FW12" s="222"/>
      <c r="FX12" s="222"/>
      <c r="FY12" s="222"/>
      <c r="FZ12" s="222"/>
      <c r="GA12" s="222"/>
      <c r="GB12" s="222"/>
      <c r="GC12" s="222"/>
      <c r="GD12" s="222"/>
      <c r="GE12" s="223"/>
      <c r="GF12" s="40"/>
      <c r="GG12" s="40"/>
      <c r="GH12" s="40"/>
      <c r="GI12" s="42"/>
    </row>
    <row r="13" spans="1:191" ht="12.6" customHeight="1" thickBot="1" x14ac:dyDescent="0.35">
      <c r="A13" s="251"/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6" t="s">
        <v>62</v>
      </c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6"/>
      <c r="FM13" s="253"/>
      <c r="FN13" s="254"/>
      <c r="FO13" s="254"/>
      <c r="FP13" s="254"/>
      <c r="FQ13" s="254"/>
      <c r="FR13" s="254"/>
      <c r="FS13" s="254"/>
      <c r="FT13" s="254"/>
      <c r="FU13" s="254"/>
      <c r="FV13" s="254"/>
      <c r="FW13" s="254"/>
      <c r="FX13" s="254"/>
      <c r="FY13" s="254"/>
      <c r="FZ13" s="254"/>
      <c r="GA13" s="254"/>
      <c r="GB13" s="254"/>
      <c r="GC13" s="254"/>
      <c r="GD13" s="254"/>
      <c r="GE13" s="255"/>
      <c r="GF13" s="40"/>
      <c r="GG13" s="40"/>
      <c r="GH13" s="40"/>
      <c r="GI13" s="42"/>
    </row>
    <row r="14" spans="1:191" ht="7.95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257" t="s">
        <v>67</v>
      </c>
      <c r="W14" s="257"/>
      <c r="X14" s="257"/>
      <c r="Y14" s="257"/>
      <c r="Z14" s="257"/>
      <c r="AA14" s="257"/>
      <c r="AB14" s="257"/>
      <c r="AC14" s="257"/>
      <c r="AD14" s="257"/>
      <c r="AE14" s="257"/>
      <c r="AF14" s="257"/>
      <c r="AG14" s="257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7"/>
      <c r="BI14" s="257"/>
      <c r="BJ14" s="257"/>
      <c r="BK14" s="257"/>
      <c r="BL14" s="257"/>
      <c r="BM14" s="257"/>
      <c r="BN14" s="257"/>
      <c r="BO14" s="257"/>
      <c r="BP14" s="257"/>
      <c r="BQ14" s="257"/>
      <c r="BR14" s="257"/>
      <c r="BS14" s="257"/>
      <c r="BT14" s="257"/>
      <c r="BU14" s="257"/>
      <c r="BV14" s="257"/>
      <c r="BW14" s="257"/>
      <c r="BX14" s="257"/>
      <c r="BY14" s="257"/>
      <c r="BZ14" s="257"/>
      <c r="CA14" s="257"/>
      <c r="CB14" s="257"/>
      <c r="CC14" s="257"/>
      <c r="CD14" s="257"/>
      <c r="CE14" s="257"/>
      <c r="CF14" s="257"/>
      <c r="CG14" s="257"/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  <c r="DI14" s="257"/>
      <c r="DJ14" s="257"/>
      <c r="DK14" s="257"/>
      <c r="DL14" s="257"/>
      <c r="DM14" s="257"/>
      <c r="DN14" s="257"/>
      <c r="DO14" s="257"/>
      <c r="DP14" s="257"/>
      <c r="DQ14" s="257"/>
      <c r="DR14" s="257"/>
      <c r="DS14" s="257"/>
      <c r="DT14" s="257"/>
      <c r="DU14" s="257"/>
      <c r="DV14" s="257"/>
      <c r="DW14" s="257"/>
      <c r="DX14" s="257"/>
      <c r="DY14" s="257"/>
      <c r="DZ14" s="257"/>
      <c r="EA14" s="257"/>
      <c r="EB14" s="257"/>
      <c r="EC14" s="257"/>
      <c r="ED14" s="257"/>
      <c r="EE14" s="257"/>
      <c r="EF14" s="257"/>
      <c r="EG14" s="257"/>
      <c r="EH14" s="257"/>
      <c r="EI14" s="257"/>
      <c r="EJ14" s="257"/>
      <c r="EK14" s="257"/>
      <c r="EL14" s="257"/>
      <c r="EM14" s="257"/>
      <c r="EN14" s="257"/>
      <c r="EO14" s="257"/>
      <c r="EP14" s="257"/>
      <c r="EQ14" s="257"/>
      <c r="ER14" s="257"/>
      <c r="ES14" s="257"/>
      <c r="ET14" s="257"/>
      <c r="EU14" s="257"/>
      <c r="EV14" s="257"/>
      <c r="EW14" s="257"/>
      <c r="EX14" s="257"/>
      <c r="EY14" s="257"/>
      <c r="EZ14" s="257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2"/>
    </row>
    <row r="15" spans="1:191" ht="15" thickBot="1" x14ac:dyDescent="0.35">
      <c r="A15" s="258" t="s">
        <v>68</v>
      </c>
      <c r="B15" s="258"/>
      <c r="C15" s="258"/>
      <c r="D15" s="258"/>
      <c r="E15" s="258"/>
      <c r="F15" s="258"/>
      <c r="G15" s="258"/>
      <c r="H15" s="258"/>
      <c r="I15" s="258"/>
      <c r="J15" s="258"/>
      <c r="K15" s="258"/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  <c r="AB15" s="258"/>
      <c r="AC15" s="258"/>
      <c r="AD15" s="258"/>
      <c r="AE15" s="258"/>
      <c r="AF15" s="258"/>
      <c r="AG15" s="258"/>
      <c r="AH15" s="258"/>
      <c r="AI15" s="258"/>
      <c r="AJ15" s="258"/>
      <c r="AK15" s="258"/>
      <c r="AL15" s="258"/>
      <c r="AM15" s="258"/>
      <c r="AN15" s="258"/>
      <c r="AO15" s="258"/>
      <c r="AP15" s="258"/>
      <c r="AQ15" s="258"/>
      <c r="AR15" s="258"/>
      <c r="AS15" s="258"/>
      <c r="AT15" s="258"/>
      <c r="AU15" s="258"/>
      <c r="AV15" s="258"/>
      <c r="AW15" s="258"/>
      <c r="AX15" s="258"/>
      <c r="AY15" s="258"/>
      <c r="AZ15" s="258"/>
      <c r="BA15" s="258"/>
      <c r="BB15" s="258"/>
      <c r="BC15" s="258"/>
      <c r="BD15" s="258"/>
      <c r="BE15" s="258"/>
      <c r="BF15" s="258"/>
      <c r="BG15" s="258"/>
      <c r="BH15" s="258"/>
      <c r="BI15" s="258"/>
      <c r="BJ15" s="258"/>
      <c r="BK15" s="258"/>
      <c r="BL15" s="258"/>
      <c r="BM15" s="258"/>
      <c r="BN15" s="258"/>
      <c r="BO15" s="258"/>
      <c r="BP15" s="258"/>
      <c r="BQ15" s="258"/>
      <c r="BR15" s="258"/>
      <c r="BS15" s="258"/>
      <c r="BT15" s="258"/>
      <c r="BU15" s="258"/>
      <c r="BV15" s="258"/>
      <c r="BW15" s="258"/>
      <c r="BX15" s="258"/>
      <c r="BY15" s="258"/>
      <c r="BZ15" s="258"/>
      <c r="CA15" s="258"/>
      <c r="CB15" s="258"/>
      <c r="CC15" s="258"/>
      <c r="CD15" s="258"/>
      <c r="CE15" s="258"/>
      <c r="CF15" s="258"/>
      <c r="CG15" s="258"/>
      <c r="CH15" s="258"/>
      <c r="CI15" s="258"/>
      <c r="CJ15" s="258"/>
      <c r="CK15" s="258"/>
      <c r="CL15" s="258"/>
      <c r="CM15" s="258"/>
      <c r="CN15" s="258"/>
      <c r="CO15" s="258"/>
      <c r="CP15" s="258"/>
      <c r="CQ15" s="258"/>
      <c r="CR15" s="258"/>
      <c r="CS15" s="258"/>
      <c r="CT15" s="258"/>
      <c r="CU15" s="258"/>
      <c r="CV15" s="258"/>
      <c r="CW15" s="258"/>
      <c r="CX15" s="258"/>
      <c r="CY15" s="258"/>
      <c r="CZ15" s="258"/>
      <c r="DA15" s="258"/>
      <c r="DB15" s="258"/>
      <c r="DC15" s="258"/>
      <c r="DD15" s="258"/>
      <c r="DE15" s="258"/>
      <c r="DF15" s="258"/>
      <c r="DG15" s="258"/>
      <c r="DH15" s="258"/>
      <c r="DI15" s="258"/>
      <c r="DJ15" s="258"/>
      <c r="DK15" s="258"/>
      <c r="DL15" s="258"/>
      <c r="DM15" s="258"/>
      <c r="DN15" s="258"/>
      <c r="DO15" s="258"/>
      <c r="DP15" s="258"/>
      <c r="DQ15" s="258"/>
      <c r="DR15" s="258"/>
      <c r="DS15" s="258"/>
      <c r="DT15" s="258"/>
      <c r="DU15" s="258"/>
      <c r="DV15" s="258"/>
      <c r="DW15" s="258"/>
      <c r="DX15" s="258"/>
      <c r="DY15" s="258"/>
      <c r="DZ15" s="258"/>
      <c r="EA15" s="258"/>
      <c r="EB15" s="258"/>
      <c r="EC15" s="258"/>
      <c r="ED15" s="258"/>
      <c r="EE15" s="258"/>
      <c r="EF15" s="258"/>
      <c r="EG15" s="258"/>
      <c r="EH15" s="258"/>
      <c r="EI15" s="258"/>
      <c r="EJ15" s="258"/>
      <c r="EK15" s="258"/>
      <c r="EL15" s="258"/>
      <c r="EM15" s="258"/>
      <c r="EN15" s="258"/>
      <c r="EO15" s="258"/>
      <c r="EP15" s="258"/>
      <c r="EQ15" s="258"/>
      <c r="ER15" s="258"/>
      <c r="ES15" s="258"/>
      <c r="ET15" s="258"/>
      <c r="EU15" s="258"/>
      <c r="EV15" s="258"/>
      <c r="EW15" s="258"/>
      <c r="EX15" s="258"/>
      <c r="EY15" s="258"/>
      <c r="EZ15" s="258"/>
      <c r="FA15" s="258"/>
      <c r="FB15" s="258"/>
      <c r="FC15" s="258"/>
      <c r="FD15" s="258"/>
      <c r="FE15" s="258"/>
      <c r="FF15" s="258"/>
      <c r="FG15" s="258"/>
      <c r="FH15" s="258"/>
      <c r="FI15" s="258"/>
      <c r="FJ15" s="258"/>
      <c r="FK15" s="258"/>
      <c r="FL15" s="258"/>
      <c r="FM15" s="258"/>
      <c r="FN15" s="258"/>
      <c r="FO15" s="258"/>
      <c r="FP15" s="258"/>
      <c r="FQ15" s="258"/>
      <c r="FR15" s="258"/>
      <c r="FS15" s="258"/>
      <c r="FT15" s="258"/>
      <c r="FU15" s="258"/>
      <c r="FV15" s="258"/>
      <c r="FW15" s="258"/>
      <c r="FX15" s="258"/>
      <c r="FY15" s="258"/>
      <c r="FZ15" s="258"/>
      <c r="GA15" s="258"/>
      <c r="GB15" s="258"/>
      <c r="GC15" s="258"/>
      <c r="GD15" s="258"/>
      <c r="GE15" s="258"/>
      <c r="GF15" s="40"/>
      <c r="GG15" s="40"/>
      <c r="GH15" s="40"/>
      <c r="GI15" s="42"/>
    </row>
    <row r="16" spans="1:191" ht="28.95" customHeight="1" thickTop="1" x14ac:dyDescent="0.3">
      <c r="A16" s="259" t="s">
        <v>69</v>
      </c>
      <c r="B16" s="248"/>
      <c r="C16" s="248"/>
      <c r="D16" s="248"/>
      <c r="E16" s="248"/>
      <c r="F16" s="248"/>
      <c r="G16" s="248"/>
      <c r="H16" s="248"/>
      <c r="I16" s="248"/>
      <c r="J16" s="248"/>
      <c r="K16" s="248"/>
      <c r="L16" s="259" t="s">
        <v>70</v>
      </c>
      <c r="M16" s="248"/>
      <c r="N16" s="248"/>
      <c r="O16" s="248"/>
      <c r="P16" s="248"/>
      <c r="Q16" s="248"/>
      <c r="R16" s="248"/>
      <c r="S16" s="248"/>
      <c r="T16" s="248"/>
      <c r="U16" s="248"/>
      <c r="V16" s="248"/>
      <c r="W16" s="248"/>
      <c r="X16" s="248"/>
      <c r="Y16" s="248"/>
      <c r="Z16" s="248"/>
      <c r="AA16" s="248"/>
      <c r="AB16" s="248"/>
      <c r="AC16" s="248"/>
      <c r="AD16" s="248"/>
      <c r="AE16" s="249"/>
      <c r="AF16" s="248" t="s">
        <v>71</v>
      </c>
      <c r="AG16" s="248"/>
      <c r="AH16" s="248"/>
      <c r="AI16" s="248"/>
      <c r="AJ16" s="248"/>
      <c r="AK16" s="248"/>
      <c r="AL16" s="248"/>
      <c r="AM16" s="248"/>
      <c r="AN16" s="248"/>
      <c r="AO16" s="248"/>
      <c r="AP16" s="248"/>
      <c r="AQ16" s="248"/>
      <c r="AR16" s="249"/>
      <c r="AS16" s="259" t="s">
        <v>72</v>
      </c>
      <c r="AT16" s="248"/>
      <c r="AU16" s="248"/>
      <c r="AV16" s="248"/>
      <c r="AW16" s="248"/>
      <c r="AX16" s="248"/>
      <c r="AY16" s="248"/>
      <c r="AZ16" s="248"/>
      <c r="BA16" s="248"/>
      <c r="BB16" s="248"/>
      <c r="BC16" s="248"/>
      <c r="BD16" s="249"/>
      <c r="BE16" s="248" t="s">
        <v>73</v>
      </c>
      <c r="BF16" s="248"/>
      <c r="BG16" s="248"/>
      <c r="BH16" s="248"/>
      <c r="BI16" s="248"/>
      <c r="BJ16" s="248"/>
      <c r="BK16" s="248"/>
      <c r="BL16" s="248"/>
      <c r="BM16" s="248"/>
      <c r="BN16" s="248"/>
      <c r="BO16" s="248"/>
      <c r="BP16" s="248"/>
      <c r="BQ16" s="248"/>
      <c r="BR16" s="248"/>
      <c r="BS16" s="248"/>
      <c r="BT16" s="250"/>
      <c r="BU16" s="247" t="s">
        <v>74</v>
      </c>
      <c r="BV16" s="248"/>
      <c r="BW16" s="248"/>
      <c r="BX16" s="248"/>
      <c r="BY16" s="248"/>
      <c r="BZ16" s="248"/>
      <c r="CA16" s="248"/>
      <c r="CB16" s="248"/>
      <c r="CC16" s="248"/>
      <c r="CD16" s="248"/>
      <c r="CE16" s="248"/>
      <c r="CF16" s="248"/>
      <c r="CG16" s="248"/>
      <c r="CH16" s="248"/>
      <c r="CI16" s="248"/>
      <c r="CJ16" s="248"/>
      <c r="CK16" s="248"/>
      <c r="CL16" s="248"/>
      <c r="CM16" s="248"/>
      <c r="CN16" s="248"/>
      <c r="CO16" s="248"/>
      <c r="CP16" s="248"/>
      <c r="CQ16" s="248"/>
      <c r="CR16" s="248"/>
      <c r="CS16" s="248"/>
      <c r="CT16" s="248"/>
      <c r="CU16" s="248"/>
      <c r="CV16" s="248"/>
      <c r="CW16" s="248"/>
      <c r="CX16" s="248"/>
      <c r="CY16" s="248"/>
      <c r="CZ16" s="248"/>
      <c r="DA16" s="248"/>
      <c r="DB16" s="248"/>
      <c r="DC16" s="248"/>
      <c r="DD16" s="248"/>
      <c r="DE16" s="248"/>
      <c r="DF16" s="248"/>
      <c r="DG16" s="250"/>
      <c r="DH16" s="247" t="s">
        <v>75</v>
      </c>
      <c r="DI16" s="248"/>
      <c r="DJ16" s="248"/>
      <c r="DK16" s="248"/>
      <c r="DL16" s="248"/>
      <c r="DM16" s="248"/>
      <c r="DN16" s="248"/>
      <c r="DO16" s="248"/>
      <c r="DP16" s="248"/>
      <c r="DQ16" s="248"/>
      <c r="DR16" s="250"/>
      <c r="DS16" s="247" t="s">
        <v>43</v>
      </c>
      <c r="DT16" s="248"/>
      <c r="DU16" s="248"/>
      <c r="DV16" s="248"/>
      <c r="DW16" s="248"/>
      <c r="DX16" s="248"/>
      <c r="DY16" s="248"/>
      <c r="DZ16" s="248"/>
      <c r="EA16" s="248"/>
      <c r="EB16" s="248"/>
      <c r="EC16" s="250"/>
      <c r="ED16" s="247">
        <v>2</v>
      </c>
      <c r="EE16" s="248"/>
      <c r="EF16" s="248"/>
      <c r="EG16" s="248"/>
      <c r="EH16" s="248"/>
      <c r="EI16" s="248"/>
      <c r="EJ16" s="248"/>
      <c r="EK16" s="248"/>
      <c r="EL16" s="248"/>
      <c r="EM16" s="248"/>
      <c r="EN16" s="249"/>
      <c r="EO16" s="248" t="s">
        <v>318</v>
      </c>
      <c r="EP16" s="248"/>
      <c r="EQ16" s="248"/>
      <c r="ER16" s="248"/>
      <c r="ES16" s="248"/>
      <c r="ET16" s="248"/>
      <c r="EU16" s="248"/>
      <c r="EV16" s="248"/>
      <c r="EW16" s="248"/>
      <c r="EX16" s="248"/>
      <c r="EY16" s="248"/>
      <c r="EZ16" s="248"/>
      <c r="FA16" s="248"/>
      <c r="FB16" s="250"/>
      <c r="FC16" s="247" t="s">
        <v>76</v>
      </c>
      <c r="FD16" s="248"/>
      <c r="FE16" s="248"/>
      <c r="FF16" s="248"/>
      <c r="FG16" s="248"/>
      <c r="FH16" s="248"/>
      <c r="FI16" s="248"/>
      <c r="FJ16" s="248"/>
      <c r="FK16" s="248"/>
      <c r="FL16" s="248"/>
      <c r="FM16" s="250"/>
      <c r="FN16" s="247" t="s">
        <v>77</v>
      </c>
      <c r="FO16" s="248"/>
      <c r="FP16" s="248"/>
      <c r="FQ16" s="248"/>
      <c r="FR16" s="248"/>
      <c r="FS16" s="248"/>
      <c r="FT16" s="248"/>
      <c r="FU16" s="248"/>
      <c r="FV16" s="248"/>
      <c r="FW16" s="248"/>
      <c r="FX16" s="248"/>
      <c r="FY16" s="248"/>
      <c r="FZ16" s="248"/>
      <c r="GA16" s="248"/>
      <c r="GB16" s="248"/>
      <c r="GC16" s="248"/>
      <c r="GD16" s="248"/>
      <c r="GE16" s="249"/>
      <c r="GF16" s="40"/>
      <c r="GG16" s="40"/>
      <c r="GH16" s="40"/>
      <c r="GI16" s="42"/>
    </row>
    <row r="17" spans="1:192" ht="9" customHeight="1" thickBot="1" x14ac:dyDescent="0.35">
      <c r="A17" s="264">
        <v>1</v>
      </c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4">
        <v>2</v>
      </c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261"/>
      <c r="Z17" s="261"/>
      <c r="AA17" s="261"/>
      <c r="AB17" s="261"/>
      <c r="AC17" s="261"/>
      <c r="AD17" s="261"/>
      <c r="AE17" s="263"/>
      <c r="AF17" s="261">
        <v>3</v>
      </c>
      <c r="AG17" s="261"/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3"/>
      <c r="AS17" s="264">
        <v>4</v>
      </c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3"/>
      <c r="BE17" s="261">
        <v>5</v>
      </c>
      <c r="BF17" s="261"/>
      <c r="BG17" s="261"/>
      <c r="BH17" s="261"/>
      <c r="BI17" s="261"/>
      <c r="BJ17" s="261"/>
      <c r="BK17" s="261"/>
      <c r="BL17" s="261"/>
      <c r="BM17" s="261"/>
      <c r="BN17" s="261"/>
      <c r="BO17" s="261"/>
      <c r="BP17" s="261"/>
      <c r="BQ17" s="261"/>
      <c r="BR17" s="261"/>
      <c r="BS17" s="261"/>
      <c r="BT17" s="262"/>
      <c r="BU17" s="260">
        <v>6</v>
      </c>
      <c r="BV17" s="261"/>
      <c r="BW17" s="261"/>
      <c r="BX17" s="261"/>
      <c r="BY17" s="261"/>
      <c r="BZ17" s="261"/>
      <c r="CA17" s="261"/>
      <c r="CB17" s="261"/>
      <c r="CC17" s="261"/>
      <c r="CD17" s="261"/>
      <c r="CE17" s="261"/>
      <c r="CF17" s="261"/>
      <c r="CG17" s="261"/>
      <c r="CH17" s="261"/>
      <c r="CI17" s="261"/>
      <c r="CJ17" s="261"/>
      <c r="CK17" s="261"/>
      <c r="CL17" s="261"/>
      <c r="CM17" s="261"/>
      <c r="CN17" s="261"/>
      <c r="CO17" s="261"/>
      <c r="CP17" s="261"/>
      <c r="CQ17" s="261"/>
      <c r="CR17" s="261"/>
      <c r="CS17" s="261"/>
      <c r="CT17" s="261"/>
      <c r="CU17" s="261"/>
      <c r="CV17" s="261"/>
      <c r="CW17" s="261"/>
      <c r="CX17" s="261"/>
      <c r="CY17" s="261"/>
      <c r="CZ17" s="261"/>
      <c r="DA17" s="261"/>
      <c r="DB17" s="261"/>
      <c r="DC17" s="261"/>
      <c r="DD17" s="261"/>
      <c r="DE17" s="261"/>
      <c r="DF17" s="261"/>
      <c r="DG17" s="262"/>
      <c r="DH17" s="260">
        <v>7</v>
      </c>
      <c r="DI17" s="261"/>
      <c r="DJ17" s="261"/>
      <c r="DK17" s="261"/>
      <c r="DL17" s="261"/>
      <c r="DM17" s="261"/>
      <c r="DN17" s="261"/>
      <c r="DO17" s="261"/>
      <c r="DP17" s="261"/>
      <c r="DQ17" s="261"/>
      <c r="DR17" s="262"/>
      <c r="DS17" s="260">
        <v>8</v>
      </c>
      <c r="DT17" s="261"/>
      <c r="DU17" s="261"/>
      <c r="DV17" s="261"/>
      <c r="DW17" s="261"/>
      <c r="DX17" s="261"/>
      <c r="DY17" s="261"/>
      <c r="DZ17" s="261"/>
      <c r="EA17" s="261"/>
      <c r="EB17" s="261"/>
      <c r="EC17" s="262"/>
      <c r="ED17" s="260">
        <v>9</v>
      </c>
      <c r="EE17" s="261"/>
      <c r="EF17" s="261"/>
      <c r="EG17" s="261"/>
      <c r="EH17" s="261"/>
      <c r="EI17" s="261"/>
      <c r="EJ17" s="261"/>
      <c r="EK17" s="261"/>
      <c r="EL17" s="261"/>
      <c r="EM17" s="261"/>
      <c r="EN17" s="263"/>
      <c r="EO17" s="261">
        <v>10</v>
      </c>
      <c r="EP17" s="261"/>
      <c r="EQ17" s="261"/>
      <c r="ER17" s="261"/>
      <c r="ES17" s="261"/>
      <c r="ET17" s="261"/>
      <c r="EU17" s="261"/>
      <c r="EV17" s="261"/>
      <c r="EW17" s="261"/>
      <c r="EX17" s="261"/>
      <c r="EY17" s="261"/>
      <c r="EZ17" s="261"/>
      <c r="FA17" s="261"/>
      <c r="FB17" s="262"/>
      <c r="FC17" s="260">
        <v>11</v>
      </c>
      <c r="FD17" s="261"/>
      <c r="FE17" s="261"/>
      <c r="FF17" s="261"/>
      <c r="FG17" s="261"/>
      <c r="FH17" s="261"/>
      <c r="FI17" s="261"/>
      <c r="FJ17" s="261"/>
      <c r="FK17" s="261"/>
      <c r="FL17" s="261"/>
      <c r="FM17" s="262"/>
      <c r="FN17" s="260">
        <v>12</v>
      </c>
      <c r="FO17" s="261"/>
      <c r="FP17" s="261"/>
      <c r="FQ17" s="261"/>
      <c r="FR17" s="261"/>
      <c r="FS17" s="261"/>
      <c r="FT17" s="261"/>
      <c r="FU17" s="261"/>
      <c r="FV17" s="261"/>
      <c r="FW17" s="261"/>
      <c r="FX17" s="261"/>
      <c r="FY17" s="261"/>
      <c r="FZ17" s="261"/>
      <c r="GA17" s="261"/>
      <c r="GB17" s="261"/>
      <c r="GC17" s="261"/>
      <c r="GD17" s="261"/>
      <c r="GE17" s="263"/>
      <c r="GF17" s="40"/>
      <c r="GG17" s="40"/>
      <c r="GH17" s="40"/>
      <c r="GI17" s="42"/>
    </row>
    <row r="18" spans="1:192" ht="24" customHeight="1" thickBot="1" x14ac:dyDescent="0.35">
      <c r="A18" s="272" t="s">
        <v>78</v>
      </c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  <c r="AR18" s="270"/>
      <c r="AS18" s="273">
        <v>1</v>
      </c>
      <c r="AT18" s="273"/>
      <c r="AU18" s="273"/>
      <c r="AV18" s="273"/>
      <c r="AW18" s="273"/>
      <c r="AX18" s="273"/>
      <c r="AY18" s="273"/>
      <c r="AZ18" s="273"/>
      <c r="BA18" s="273"/>
      <c r="BB18" s="273"/>
      <c r="BC18" s="273"/>
      <c r="BD18" s="273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607" t="s">
        <v>314</v>
      </c>
      <c r="BV18" s="608" t="s">
        <v>79</v>
      </c>
      <c r="BW18" s="608" t="s">
        <v>79</v>
      </c>
      <c r="BX18" s="608" t="s">
        <v>79</v>
      </c>
      <c r="BY18" s="608" t="s">
        <v>79</v>
      </c>
      <c r="BZ18" s="608" t="s">
        <v>79</v>
      </c>
      <c r="CA18" s="608" t="s">
        <v>79</v>
      </c>
      <c r="CB18" s="608" t="s">
        <v>79</v>
      </c>
      <c r="CC18" s="608" t="s">
        <v>79</v>
      </c>
      <c r="CD18" s="608" t="s">
        <v>79</v>
      </c>
      <c r="CE18" s="608" t="s">
        <v>79</v>
      </c>
      <c r="CF18" s="608" t="s">
        <v>79</v>
      </c>
      <c r="CG18" s="608" t="s">
        <v>79</v>
      </c>
      <c r="CH18" s="608" t="s">
        <v>79</v>
      </c>
      <c r="CI18" s="608" t="s">
        <v>79</v>
      </c>
      <c r="CJ18" s="608" t="s">
        <v>79</v>
      </c>
      <c r="CK18" s="608" t="s">
        <v>79</v>
      </c>
      <c r="CL18" s="608" t="s">
        <v>79</v>
      </c>
      <c r="CM18" s="608" t="s">
        <v>79</v>
      </c>
      <c r="CN18" s="608" t="s">
        <v>79</v>
      </c>
      <c r="CO18" s="608" t="s">
        <v>79</v>
      </c>
      <c r="CP18" s="608" t="s">
        <v>79</v>
      </c>
      <c r="CQ18" s="608" t="s">
        <v>79</v>
      </c>
      <c r="CR18" s="608" t="s">
        <v>79</v>
      </c>
      <c r="CS18" s="608" t="s">
        <v>79</v>
      </c>
      <c r="CT18" s="608" t="s">
        <v>79</v>
      </c>
      <c r="CU18" s="608" t="s">
        <v>79</v>
      </c>
      <c r="CV18" s="608" t="s">
        <v>79</v>
      </c>
      <c r="CW18" s="608" t="s">
        <v>79</v>
      </c>
      <c r="CX18" s="608" t="s">
        <v>79</v>
      </c>
      <c r="CY18" s="608" t="s">
        <v>79</v>
      </c>
      <c r="CZ18" s="608" t="s">
        <v>79</v>
      </c>
      <c r="DA18" s="608" t="s">
        <v>79</v>
      </c>
      <c r="DB18" s="608" t="s">
        <v>79</v>
      </c>
      <c r="DC18" s="608" t="s">
        <v>79</v>
      </c>
      <c r="DD18" s="608" t="s">
        <v>79</v>
      </c>
      <c r="DE18" s="608" t="s">
        <v>79</v>
      </c>
      <c r="DF18" s="608" t="s">
        <v>79</v>
      </c>
      <c r="DG18" s="609" t="s">
        <v>79</v>
      </c>
      <c r="DH18" s="265" t="s">
        <v>322</v>
      </c>
      <c r="DI18" s="265"/>
      <c r="DJ18" s="265"/>
      <c r="DK18" s="265"/>
      <c r="DL18" s="265"/>
      <c r="DM18" s="265"/>
      <c r="DN18" s="265"/>
      <c r="DO18" s="265"/>
      <c r="DP18" s="265"/>
      <c r="DQ18" s="265"/>
      <c r="DR18" s="265"/>
      <c r="DS18" s="266"/>
      <c r="DT18" s="266"/>
      <c r="DU18" s="266"/>
      <c r="DV18" s="266"/>
      <c r="DW18" s="266"/>
      <c r="DX18" s="266"/>
      <c r="DY18" s="266"/>
      <c r="DZ18" s="266"/>
      <c r="EA18" s="266"/>
      <c r="EB18" s="266"/>
      <c r="EC18" s="266"/>
      <c r="ED18" s="266"/>
      <c r="EE18" s="266"/>
      <c r="EF18" s="266"/>
      <c r="EG18" s="266"/>
      <c r="EH18" s="266"/>
      <c r="EI18" s="266"/>
      <c r="EJ18" s="266"/>
      <c r="EK18" s="266"/>
      <c r="EL18" s="266"/>
      <c r="EM18" s="266"/>
      <c r="EN18" s="266"/>
      <c r="EO18" s="288">
        <v>8.2799999999999994</v>
      </c>
      <c r="EP18" s="288"/>
      <c r="EQ18" s="288"/>
      <c r="ER18" s="288"/>
      <c r="ES18" s="288"/>
      <c r="ET18" s="288"/>
      <c r="EU18" s="288"/>
      <c r="EV18" s="288"/>
      <c r="EW18" s="288"/>
      <c r="EX18" s="288"/>
      <c r="EY18" s="288"/>
      <c r="EZ18" s="288"/>
      <c r="FA18" s="288"/>
      <c r="FB18" s="288"/>
      <c r="FC18" s="269"/>
      <c r="FD18" s="269"/>
      <c r="FE18" s="269"/>
      <c r="FF18" s="269"/>
      <c r="FG18" s="269"/>
      <c r="FH18" s="269"/>
      <c r="FI18" s="269"/>
      <c r="FJ18" s="269"/>
      <c r="FK18" s="269"/>
      <c r="FL18" s="269"/>
      <c r="FM18" s="269"/>
      <c r="FN18" s="270"/>
      <c r="FO18" s="270"/>
      <c r="FP18" s="270"/>
      <c r="FQ18" s="270"/>
      <c r="FR18" s="270"/>
      <c r="FS18" s="270"/>
      <c r="FT18" s="270"/>
      <c r="FU18" s="270"/>
      <c r="FV18" s="270"/>
      <c r="FW18" s="270"/>
      <c r="FX18" s="270"/>
      <c r="FY18" s="270"/>
      <c r="FZ18" s="270"/>
      <c r="GA18" s="270"/>
      <c r="GB18" s="270"/>
      <c r="GC18" s="270"/>
      <c r="GD18" s="270"/>
      <c r="GE18" s="271"/>
      <c r="GF18" s="40"/>
      <c r="GG18" s="40"/>
      <c r="GH18" s="40"/>
      <c r="GI18" s="42"/>
      <c r="GJ18">
        <f>AS18*5</f>
        <v>5</v>
      </c>
    </row>
    <row r="19" spans="1:192" ht="15" thickBot="1" x14ac:dyDescent="0.35">
      <c r="A19" s="279" t="s">
        <v>81</v>
      </c>
      <c r="B19" s="277"/>
      <c r="C19" s="277"/>
      <c r="D19" s="277"/>
      <c r="E19" s="277"/>
      <c r="F19" s="277"/>
      <c r="G19" s="277"/>
      <c r="H19" s="277"/>
      <c r="I19" s="277"/>
      <c r="J19" s="277"/>
      <c r="K19" s="277"/>
      <c r="L19" s="277"/>
      <c r="M19" s="277"/>
      <c r="N19" s="277"/>
      <c r="O19" s="277"/>
      <c r="P19" s="277"/>
      <c r="Q19" s="277"/>
      <c r="R19" s="277"/>
      <c r="S19" s="277"/>
      <c r="T19" s="277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80">
        <v>12</v>
      </c>
      <c r="AT19" s="280"/>
      <c r="AU19" s="280"/>
      <c r="AV19" s="280"/>
      <c r="AW19" s="280"/>
      <c r="AX19" s="280"/>
      <c r="AY19" s="280"/>
      <c r="AZ19" s="280"/>
      <c r="BA19" s="280"/>
      <c r="BB19" s="280"/>
      <c r="BC19" s="280"/>
      <c r="BD19" s="280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610" t="s">
        <v>317</v>
      </c>
      <c r="BV19" s="611"/>
      <c r="BW19" s="611"/>
      <c r="BX19" s="611"/>
      <c r="BY19" s="611"/>
      <c r="BZ19" s="611"/>
      <c r="CA19" s="611"/>
      <c r="CB19" s="611"/>
      <c r="CC19" s="611"/>
      <c r="CD19" s="611"/>
      <c r="CE19" s="611"/>
      <c r="CF19" s="611"/>
      <c r="CG19" s="611"/>
      <c r="CH19" s="611"/>
      <c r="CI19" s="611"/>
      <c r="CJ19" s="611"/>
      <c r="CK19" s="611"/>
      <c r="CL19" s="611"/>
      <c r="CM19" s="611"/>
      <c r="CN19" s="611"/>
      <c r="CO19" s="611"/>
      <c r="CP19" s="611"/>
      <c r="CQ19" s="611"/>
      <c r="CR19" s="611"/>
      <c r="CS19" s="611"/>
      <c r="CT19" s="611"/>
      <c r="CU19" s="611"/>
      <c r="CV19" s="611"/>
      <c r="CW19" s="611"/>
      <c r="CX19" s="611"/>
      <c r="CY19" s="611"/>
      <c r="CZ19" s="611"/>
      <c r="DA19" s="611"/>
      <c r="DB19" s="611"/>
      <c r="DC19" s="611"/>
      <c r="DD19" s="611"/>
      <c r="DE19" s="611"/>
      <c r="DF19" s="611"/>
      <c r="DG19" s="612"/>
      <c r="DH19" s="265" t="s">
        <v>322</v>
      </c>
      <c r="DI19" s="265"/>
      <c r="DJ19" s="265"/>
      <c r="DK19" s="265"/>
      <c r="DL19" s="265"/>
      <c r="DM19" s="265"/>
      <c r="DN19" s="265"/>
      <c r="DO19" s="265"/>
      <c r="DP19" s="265"/>
      <c r="DQ19" s="265"/>
      <c r="DR19" s="265"/>
      <c r="DS19" s="284"/>
      <c r="DT19" s="284"/>
      <c r="DU19" s="284"/>
      <c r="DV19" s="284"/>
      <c r="DW19" s="284"/>
      <c r="DX19" s="284"/>
      <c r="DY19" s="284"/>
      <c r="DZ19" s="284"/>
      <c r="EA19" s="284"/>
      <c r="EB19" s="284"/>
      <c r="EC19" s="284"/>
      <c r="ED19" s="284"/>
      <c r="EE19" s="284"/>
      <c r="EF19" s="284"/>
      <c r="EG19" s="284"/>
      <c r="EH19" s="284"/>
      <c r="EI19" s="284"/>
      <c r="EJ19" s="284"/>
      <c r="EK19" s="284"/>
      <c r="EL19" s="284"/>
      <c r="EM19" s="284"/>
      <c r="EN19" s="284"/>
      <c r="EO19" s="288">
        <v>4.4039999999999999</v>
      </c>
      <c r="EP19" s="288"/>
      <c r="EQ19" s="288"/>
      <c r="ER19" s="288"/>
      <c r="ES19" s="288"/>
      <c r="ET19" s="288"/>
      <c r="EU19" s="288"/>
      <c r="EV19" s="288"/>
      <c r="EW19" s="288"/>
      <c r="EX19" s="288"/>
      <c r="EY19" s="288"/>
      <c r="EZ19" s="288"/>
      <c r="FA19" s="288"/>
      <c r="FB19" s="288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77"/>
      <c r="FO19" s="277"/>
      <c r="FP19" s="277"/>
      <c r="FQ19" s="277"/>
      <c r="FR19" s="277"/>
      <c r="FS19" s="277"/>
      <c r="FT19" s="277"/>
      <c r="FU19" s="277"/>
      <c r="FV19" s="277"/>
      <c r="FW19" s="277"/>
      <c r="FX19" s="277"/>
      <c r="FY19" s="277"/>
      <c r="FZ19" s="277"/>
      <c r="GA19" s="277"/>
      <c r="GB19" s="277"/>
      <c r="GC19" s="277"/>
      <c r="GD19" s="277"/>
      <c r="GE19" s="278"/>
      <c r="GF19" s="40"/>
      <c r="GG19" s="40"/>
      <c r="GH19" s="40"/>
      <c r="GI19" s="42"/>
      <c r="GJ19">
        <f>AS19*20.9</f>
        <v>250.79999999999998</v>
      </c>
    </row>
    <row r="20" spans="1:192" ht="25.8" customHeight="1" thickBot="1" x14ac:dyDescent="0.35">
      <c r="A20" s="279" t="s">
        <v>82</v>
      </c>
      <c r="B20" s="277"/>
      <c r="C20" s="277"/>
      <c r="D20" s="277"/>
      <c r="E20" s="277"/>
      <c r="F20" s="277"/>
      <c r="G20" s="277"/>
      <c r="H20" s="277"/>
      <c r="I20" s="277"/>
      <c r="J20" s="277"/>
      <c r="K20" s="277"/>
      <c r="L20" s="277"/>
      <c r="M20" s="277"/>
      <c r="N20" s="277"/>
      <c r="O20" s="277"/>
      <c r="P20" s="277"/>
      <c r="Q20" s="277"/>
      <c r="R20" s="277"/>
      <c r="S20" s="277"/>
      <c r="T20" s="277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80">
        <v>1</v>
      </c>
      <c r="AT20" s="280"/>
      <c r="AU20" s="280"/>
      <c r="AV20" s="280"/>
      <c r="AW20" s="280"/>
      <c r="AX20" s="280"/>
      <c r="AY20" s="280"/>
      <c r="AZ20" s="280"/>
      <c r="BA20" s="280"/>
      <c r="BB20" s="280"/>
      <c r="BC20" s="280"/>
      <c r="BD20" s="280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610" t="s">
        <v>319</v>
      </c>
      <c r="BV20" s="611"/>
      <c r="BW20" s="611"/>
      <c r="BX20" s="611"/>
      <c r="BY20" s="611"/>
      <c r="BZ20" s="611"/>
      <c r="CA20" s="611"/>
      <c r="CB20" s="611"/>
      <c r="CC20" s="611"/>
      <c r="CD20" s="611"/>
      <c r="CE20" s="611"/>
      <c r="CF20" s="611"/>
      <c r="CG20" s="611"/>
      <c r="CH20" s="611"/>
      <c r="CI20" s="611"/>
      <c r="CJ20" s="611"/>
      <c r="CK20" s="611"/>
      <c r="CL20" s="611"/>
      <c r="CM20" s="611"/>
      <c r="CN20" s="611"/>
      <c r="CO20" s="611"/>
      <c r="CP20" s="611"/>
      <c r="CQ20" s="611"/>
      <c r="CR20" s="611"/>
      <c r="CS20" s="611"/>
      <c r="CT20" s="611"/>
      <c r="CU20" s="611"/>
      <c r="CV20" s="611"/>
      <c r="CW20" s="611"/>
      <c r="CX20" s="611"/>
      <c r="CY20" s="611"/>
      <c r="CZ20" s="611"/>
      <c r="DA20" s="611"/>
      <c r="DB20" s="611"/>
      <c r="DC20" s="611"/>
      <c r="DD20" s="611"/>
      <c r="DE20" s="611"/>
      <c r="DF20" s="611"/>
      <c r="DG20" s="612"/>
      <c r="DH20" s="265" t="s">
        <v>322</v>
      </c>
      <c r="DI20" s="265"/>
      <c r="DJ20" s="265"/>
      <c r="DK20" s="265"/>
      <c r="DL20" s="265"/>
      <c r="DM20" s="265"/>
      <c r="DN20" s="265"/>
      <c r="DO20" s="265"/>
      <c r="DP20" s="265"/>
      <c r="DQ20" s="265"/>
      <c r="DR20" s="265"/>
      <c r="DS20" s="284"/>
      <c r="DT20" s="284"/>
      <c r="DU20" s="284"/>
      <c r="DV20" s="284"/>
      <c r="DW20" s="284"/>
      <c r="DX20" s="284"/>
      <c r="DY20" s="284"/>
      <c r="DZ20" s="284"/>
      <c r="EA20" s="284"/>
      <c r="EB20" s="284"/>
      <c r="EC20" s="284"/>
      <c r="ED20" s="284"/>
      <c r="EE20" s="284"/>
      <c r="EF20" s="284"/>
      <c r="EG20" s="284"/>
      <c r="EH20" s="284"/>
      <c r="EI20" s="284"/>
      <c r="EJ20" s="284"/>
      <c r="EK20" s="284"/>
      <c r="EL20" s="284"/>
      <c r="EM20" s="284"/>
      <c r="EN20" s="284"/>
      <c r="EO20" s="288">
        <v>4.01</v>
      </c>
      <c r="EP20" s="288"/>
      <c r="EQ20" s="288"/>
      <c r="ER20" s="288"/>
      <c r="ES20" s="288"/>
      <c r="ET20" s="288"/>
      <c r="EU20" s="288"/>
      <c r="EV20" s="288"/>
      <c r="EW20" s="288"/>
      <c r="EX20" s="288"/>
      <c r="EY20" s="288"/>
      <c r="EZ20" s="288"/>
      <c r="FA20" s="288"/>
      <c r="FB20" s="288"/>
      <c r="FC20" s="268"/>
      <c r="FD20" s="268"/>
      <c r="FE20" s="268"/>
      <c r="FF20" s="268"/>
      <c r="FG20" s="268"/>
      <c r="FH20" s="268"/>
      <c r="FI20" s="268"/>
      <c r="FJ20" s="268"/>
      <c r="FK20" s="268"/>
      <c r="FL20" s="268"/>
      <c r="FM20" s="268"/>
      <c r="FN20" s="277"/>
      <c r="FO20" s="277"/>
      <c r="FP20" s="277"/>
      <c r="FQ20" s="277"/>
      <c r="FR20" s="277"/>
      <c r="FS20" s="277"/>
      <c r="FT20" s="277"/>
      <c r="FU20" s="277"/>
      <c r="FV20" s="277"/>
      <c r="FW20" s="277"/>
      <c r="FX20" s="277"/>
      <c r="FY20" s="277"/>
      <c r="FZ20" s="277"/>
      <c r="GA20" s="277"/>
      <c r="GB20" s="277"/>
      <c r="GC20" s="277"/>
      <c r="GD20" s="277"/>
      <c r="GE20" s="278"/>
      <c r="GF20" s="40"/>
      <c r="GG20" s="40"/>
      <c r="GH20" s="40"/>
      <c r="GI20" s="42"/>
      <c r="GJ20">
        <f>AS20*10.9</f>
        <v>10.9</v>
      </c>
    </row>
    <row r="21" spans="1:192" ht="18.600000000000001" customHeight="1" thickBot="1" x14ac:dyDescent="0.35">
      <c r="A21" s="279" t="s">
        <v>83</v>
      </c>
      <c r="B21" s="277"/>
      <c r="C21" s="277"/>
      <c r="D21" s="277"/>
      <c r="E21" s="277"/>
      <c r="F21" s="277"/>
      <c r="G21" s="277"/>
      <c r="H21" s="277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80">
        <v>1</v>
      </c>
      <c r="AT21" s="280"/>
      <c r="AU21" s="280"/>
      <c r="AV21" s="280"/>
      <c r="AW21" s="280"/>
      <c r="AX21" s="280"/>
      <c r="AY21" s="280"/>
      <c r="AZ21" s="280"/>
      <c r="BA21" s="280"/>
      <c r="BB21" s="280"/>
      <c r="BC21" s="280"/>
      <c r="BD21" s="280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613" t="s">
        <v>299</v>
      </c>
      <c r="BV21" s="614"/>
      <c r="BW21" s="614"/>
      <c r="BX21" s="614"/>
      <c r="BY21" s="614"/>
      <c r="BZ21" s="614"/>
      <c r="CA21" s="614"/>
      <c r="CB21" s="614"/>
      <c r="CC21" s="614"/>
      <c r="CD21" s="614"/>
      <c r="CE21" s="614"/>
      <c r="CF21" s="614"/>
      <c r="CG21" s="614"/>
      <c r="CH21" s="614"/>
      <c r="CI21" s="614"/>
      <c r="CJ21" s="614"/>
      <c r="CK21" s="614"/>
      <c r="CL21" s="614"/>
      <c r="CM21" s="614"/>
      <c r="CN21" s="614"/>
      <c r="CO21" s="614"/>
      <c r="CP21" s="614"/>
      <c r="CQ21" s="614"/>
      <c r="CR21" s="614"/>
      <c r="CS21" s="614"/>
      <c r="CT21" s="614"/>
      <c r="CU21" s="614"/>
      <c r="CV21" s="614"/>
      <c r="CW21" s="614"/>
      <c r="CX21" s="614"/>
      <c r="CY21" s="614"/>
      <c r="CZ21" s="614"/>
      <c r="DA21" s="614"/>
      <c r="DB21" s="614"/>
      <c r="DC21" s="614"/>
      <c r="DD21" s="614"/>
      <c r="DE21" s="614"/>
      <c r="DF21" s="614"/>
      <c r="DG21" s="615"/>
      <c r="DH21" s="265" t="s">
        <v>322</v>
      </c>
      <c r="DI21" s="265"/>
      <c r="DJ21" s="265"/>
      <c r="DK21" s="265"/>
      <c r="DL21" s="265"/>
      <c r="DM21" s="265"/>
      <c r="DN21" s="265"/>
      <c r="DO21" s="265"/>
      <c r="DP21" s="265"/>
      <c r="DQ21" s="265"/>
      <c r="DR21" s="265"/>
      <c r="DS21" s="284"/>
      <c r="DT21" s="284"/>
      <c r="DU21" s="284"/>
      <c r="DV21" s="284"/>
      <c r="DW21" s="284"/>
      <c r="DX21" s="284"/>
      <c r="DY21" s="284"/>
      <c r="DZ21" s="284"/>
      <c r="EA21" s="284"/>
      <c r="EB21" s="284"/>
      <c r="EC21" s="284"/>
      <c r="ED21" s="284"/>
      <c r="EE21" s="284"/>
      <c r="EF21" s="284"/>
      <c r="EG21" s="284"/>
      <c r="EH21" s="284"/>
      <c r="EI21" s="284"/>
      <c r="EJ21" s="284"/>
      <c r="EK21" s="284"/>
      <c r="EL21" s="284"/>
      <c r="EM21" s="284"/>
      <c r="EN21" s="284"/>
      <c r="EO21" s="288">
        <v>4.6749999999999998</v>
      </c>
      <c r="EP21" s="288"/>
      <c r="EQ21" s="288"/>
      <c r="ER21" s="288"/>
      <c r="ES21" s="288"/>
      <c r="ET21" s="288"/>
      <c r="EU21" s="288"/>
      <c r="EV21" s="288"/>
      <c r="EW21" s="288"/>
      <c r="EX21" s="288"/>
      <c r="EY21" s="288"/>
      <c r="EZ21" s="288"/>
      <c r="FA21" s="288"/>
      <c r="FB21" s="288"/>
      <c r="FC21" s="268"/>
      <c r="FD21" s="268"/>
      <c r="FE21" s="268"/>
      <c r="FF21" s="268"/>
      <c r="FG21" s="268"/>
      <c r="FH21" s="268"/>
      <c r="FI21" s="268"/>
      <c r="FJ21" s="268"/>
      <c r="FK21" s="268"/>
      <c r="FL21" s="268"/>
      <c r="FM21" s="268"/>
      <c r="FN21" s="277"/>
      <c r="FO21" s="277"/>
      <c r="FP21" s="277"/>
      <c r="FQ21" s="277"/>
      <c r="FR21" s="277"/>
      <c r="FS21" s="277"/>
      <c r="FT21" s="277"/>
      <c r="FU21" s="277"/>
      <c r="FV21" s="277"/>
      <c r="FW21" s="277"/>
      <c r="FX21" s="277"/>
      <c r="FY21" s="277"/>
      <c r="FZ21" s="277"/>
      <c r="GA21" s="277"/>
      <c r="GB21" s="277"/>
      <c r="GC21" s="277"/>
      <c r="GD21" s="277"/>
      <c r="GE21" s="278"/>
      <c r="GF21" s="40"/>
      <c r="GG21" s="40"/>
      <c r="GH21" s="40"/>
      <c r="GI21" s="42"/>
      <c r="GJ21">
        <f>AS21*1.82</f>
        <v>1.82</v>
      </c>
    </row>
    <row r="22" spans="1:192" ht="18.600000000000001" customHeight="1" thickBot="1" x14ac:dyDescent="0.35">
      <c r="A22" s="279" t="s">
        <v>84</v>
      </c>
      <c r="B22" s="277"/>
      <c r="C22" s="277"/>
      <c r="D22" s="277"/>
      <c r="E22" s="277"/>
      <c r="F22" s="277"/>
      <c r="G22" s="277"/>
      <c r="H22" s="277"/>
      <c r="I22" s="277"/>
      <c r="J22" s="277"/>
      <c r="K22" s="277"/>
      <c r="L22" s="277"/>
      <c r="M22" s="277"/>
      <c r="N22" s="277"/>
      <c r="O22" s="277"/>
      <c r="P22" s="277"/>
      <c r="Q22" s="277"/>
      <c r="R22" s="277"/>
      <c r="S22" s="277"/>
      <c r="T22" s="277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80">
        <v>1</v>
      </c>
      <c r="AT22" s="280"/>
      <c r="AU22" s="280"/>
      <c r="AV22" s="280"/>
      <c r="AW22" s="280"/>
      <c r="AX22" s="280"/>
      <c r="AY22" s="280"/>
      <c r="AZ22" s="280"/>
      <c r="BA22" s="280"/>
      <c r="BB22" s="280"/>
      <c r="BC22" s="280"/>
      <c r="BD22" s="280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613" t="s">
        <v>320</v>
      </c>
      <c r="BV22" s="614"/>
      <c r="BW22" s="614"/>
      <c r="BX22" s="614"/>
      <c r="BY22" s="614"/>
      <c r="BZ22" s="614"/>
      <c r="CA22" s="614"/>
      <c r="CB22" s="614"/>
      <c r="CC22" s="614"/>
      <c r="CD22" s="614"/>
      <c r="CE22" s="614"/>
      <c r="CF22" s="614"/>
      <c r="CG22" s="614"/>
      <c r="CH22" s="614"/>
      <c r="CI22" s="614"/>
      <c r="CJ22" s="614"/>
      <c r="CK22" s="614"/>
      <c r="CL22" s="614"/>
      <c r="CM22" s="614"/>
      <c r="CN22" s="614"/>
      <c r="CO22" s="614"/>
      <c r="CP22" s="614"/>
      <c r="CQ22" s="614"/>
      <c r="CR22" s="614"/>
      <c r="CS22" s="614"/>
      <c r="CT22" s="614"/>
      <c r="CU22" s="614"/>
      <c r="CV22" s="614"/>
      <c r="CW22" s="614"/>
      <c r="CX22" s="614"/>
      <c r="CY22" s="614"/>
      <c r="CZ22" s="614"/>
      <c r="DA22" s="614"/>
      <c r="DB22" s="614"/>
      <c r="DC22" s="614"/>
      <c r="DD22" s="614"/>
      <c r="DE22" s="614"/>
      <c r="DF22" s="614"/>
      <c r="DG22" s="615"/>
      <c r="DH22" s="265" t="s">
        <v>322</v>
      </c>
      <c r="DI22" s="265"/>
      <c r="DJ22" s="265"/>
      <c r="DK22" s="265"/>
      <c r="DL22" s="265"/>
      <c r="DM22" s="265"/>
      <c r="DN22" s="265"/>
      <c r="DO22" s="265"/>
      <c r="DP22" s="265"/>
      <c r="DQ22" s="265"/>
      <c r="DR22" s="265"/>
      <c r="DS22" s="284"/>
      <c r="DT22" s="284"/>
      <c r="DU22" s="284"/>
      <c r="DV22" s="284"/>
      <c r="DW22" s="284"/>
      <c r="DX22" s="284"/>
      <c r="DY22" s="284"/>
      <c r="DZ22" s="284"/>
      <c r="EA22" s="284"/>
      <c r="EB22" s="284"/>
      <c r="EC22" s="284"/>
      <c r="ED22" s="284"/>
      <c r="EE22" s="284"/>
      <c r="EF22" s="284"/>
      <c r="EG22" s="284"/>
      <c r="EH22" s="284"/>
      <c r="EI22" s="284"/>
      <c r="EJ22" s="284"/>
      <c r="EK22" s="284"/>
      <c r="EL22" s="284"/>
      <c r="EM22" s="284"/>
      <c r="EN22" s="284"/>
      <c r="EO22" s="288">
        <v>12.755000000000001</v>
      </c>
      <c r="EP22" s="288"/>
      <c r="EQ22" s="288"/>
      <c r="ER22" s="288"/>
      <c r="ES22" s="288"/>
      <c r="ET22" s="288"/>
      <c r="EU22" s="288"/>
      <c r="EV22" s="288"/>
      <c r="EW22" s="288"/>
      <c r="EX22" s="288"/>
      <c r="EY22" s="288"/>
      <c r="EZ22" s="288"/>
      <c r="FA22" s="288"/>
      <c r="FB22" s="288"/>
      <c r="FC22" s="268"/>
      <c r="FD22" s="268"/>
      <c r="FE22" s="268"/>
      <c r="FF22" s="268"/>
      <c r="FG22" s="268"/>
      <c r="FH22" s="268"/>
      <c r="FI22" s="268"/>
      <c r="FJ22" s="268"/>
      <c r="FK22" s="268"/>
      <c r="FL22" s="268"/>
      <c r="FM22" s="268"/>
      <c r="FN22" s="277"/>
      <c r="FO22" s="277"/>
      <c r="FP22" s="277"/>
      <c r="FQ22" s="277"/>
      <c r="FR22" s="277"/>
      <c r="FS22" s="277"/>
      <c r="FT22" s="277"/>
      <c r="FU22" s="277"/>
      <c r="FV22" s="277"/>
      <c r="FW22" s="277"/>
      <c r="FX22" s="277"/>
      <c r="FY22" s="277"/>
      <c r="FZ22" s="277"/>
      <c r="GA22" s="277"/>
      <c r="GB22" s="277"/>
      <c r="GC22" s="277"/>
      <c r="GD22" s="277"/>
      <c r="GE22" s="278"/>
      <c r="GF22" s="40"/>
      <c r="GG22" s="40"/>
      <c r="GH22" s="40"/>
      <c r="GI22" s="42"/>
      <c r="GJ22">
        <f>AS22*1.46</f>
        <v>1.46</v>
      </c>
    </row>
    <row r="23" spans="1:192" ht="18.600000000000001" customHeight="1" thickBot="1" x14ac:dyDescent="0.35">
      <c r="A23" s="279" t="s">
        <v>85</v>
      </c>
      <c r="B23" s="277"/>
      <c r="C23" s="277"/>
      <c r="D23" s="277"/>
      <c r="E23" s="277"/>
      <c r="F23" s="277"/>
      <c r="G23" s="277"/>
      <c r="H23" s="277"/>
      <c r="I23" s="277"/>
      <c r="J23" s="277"/>
      <c r="K23" s="277"/>
      <c r="L23" s="277"/>
      <c r="M23" s="277"/>
      <c r="N23" s="277"/>
      <c r="O23" s="277"/>
      <c r="P23" s="277"/>
      <c r="Q23" s="277"/>
      <c r="R23" s="277"/>
      <c r="S23" s="277"/>
      <c r="T23" s="277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80">
        <v>1</v>
      </c>
      <c r="AT23" s="280"/>
      <c r="AU23" s="280"/>
      <c r="AV23" s="280"/>
      <c r="AW23" s="280"/>
      <c r="AX23" s="280"/>
      <c r="AY23" s="280"/>
      <c r="AZ23" s="280"/>
      <c r="BA23" s="280"/>
      <c r="BB23" s="280"/>
      <c r="BC23" s="280"/>
      <c r="BD23" s="280"/>
      <c r="BE23" s="268"/>
      <c r="BF23" s="268"/>
      <c r="BG23" s="268"/>
      <c r="BH23" s="268"/>
      <c r="BI23" s="268"/>
      <c r="BJ23" s="268"/>
      <c r="BK23" s="268"/>
      <c r="BL23" s="268"/>
      <c r="BM23" s="268"/>
      <c r="BN23" s="268"/>
      <c r="BO23" s="268"/>
      <c r="BP23" s="268"/>
      <c r="BQ23" s="268"/>
      <c r="BR23" s="268"/>
      <c r="BS23" s="268"/>
      <c r="BT23" s="268"/>
      <c r="BU23" s="613" t="s">
        <v>321</v>
      </c>
      <c r="BV23" s="614"/>
      <c r="BW23" s="614"/>
      <c r="BX23" s="614"/>
      <c r="BY23" s="614"/>
      <c r="BZ23" s="614"/>
      <c r="CA23" s="614"/>
      <c r="CB23" s="614"/>
      <c r="CC23" s="614"/>
      <c r="CD23" s="614"/>
      <c r="CE23" s="614"/>
      <c r="CF23" s="614"/>
      <c r="CG23" s="614"/>
      <c r="CH23" s="614"/>
      <c r="CI23" s="614"/>
      <c r="CJ23" s="614"/>
      <c r="CK23" s="614"/>
      <c r="CL23" s="614"/>
      <c r="CM23" s="614"/>
      <c r="CN23" s="614"/>
      <c r="CO23" s="614"/>
      <c r="CP23" s="614"/>
      <c r="CQ23" s="614"/>
      <c r="CR23" s="614"/>
      <c r="CS23" s="614"/>
      <c r="CT23" s="614"/>
      <c r="CU23" s="614"/>
      <c r="CV23" s="614"/>
      <c r="CW23" s="614"/>
      <c r="CX23" s="614"/>
      <c r="CY23" s="614"/>
      <c r="CZ23" s="614"/>
      <c r="DA23" s="614"/>
      <c r="DB23" s="614"/>
      <c r="DC23" s="614"/>
      <c r="DD23" s="614"/>
      <c r="DE23" s="614"/>
      <c r="DF23" s="614"/>
      <c r="DG23" s="615"/>
      <c r="DH23" s="265" t="s">
        <v>322</v>
      </c>
      <c r="DI23" s="265"/>
      <c r="DJ23" s="265"/>
      <c r="DK23" s="265"/>
      <c r="DL23" s="265"/>
      <c r="DM23" s="265"/>
      <c r="DN23" s="265"/>
      <c r="DO23" s="265"/>
      <c r="DP23" s="265"/>
      <c r="DQ23" s="265"/>
      <c r="DR23" s="265"/>
      <c r="DS23" s="284"/>
      <c r="DT23" s="284"/>
      <c r="DU23" s="284"/>
      <c r="DV23" s="284"/>
      <c r="DW23" s="284"/>
      <c r="DX23" s="284"/>
      <c r="DY23" s="284"/>
      <c r="DZ23" s="284"/>
      <c r="EA23" s="284"/>
      <c r="EB23" s="284"/>
      <c r="EC23" s="284"/>
      <c r="ED23" s="284"/>
      <c r="EE23" s="284"/>
      <c r="EF23" s="284"/>
      <c r="EG23" s="284"/>
      <c r="EH23" s="284"/>
      <c r="EI23" s="284"/>
      <c r="EJ23" s="284"/>
      <c r="EK23" s="284"/>
      <c r="EL23" s="284"/>
      <c r="EM23" s="284"/>
      <c r="EN23" s="284"/>
      <c r="EO23" s="288">
        <v>5</v>
      </c>
      <c r="EP23" s="288"/>
      <c r="EQ23" s="288"/>
      <c r="ER23" s="288"/>
      <c r="ES23" s="288"/>
      <c r="ET23" s="288"/>
      <c r="EU23" s="288"/>
      <c r="EV23" s="288"/>
      <c r="EW23" s="288"/>
      <c r="EX23" s="288"/>
      <c r="EY23" s="288"/>
      <c r="EZ23" s="288"/>
      <c r="FA23" s="288"/>
      <c r="FB23" s="288"/>
      <c r="FC23" s="268"/>
      <c r="FD23" s="268"/>
      <c r="FE23" s="268"/>
      <c r="FF23" s="268"/>
      <c r="FG23" s="268"/>
      <c r="FH23" s="268"/>
      <c r="FI23" s="268"/>
      <c r="FJ23" s="268"/>
      <c r="FK23" s="268"/>
      <c r="FL23" s="268"/>
      <c r="FM23" s="268"/>
      <c r="FN23" s="277"/>
      <c r="FO23" s="277"/>
      <c r="FP23" s="277"/>
      <c r="FQ23" s="277"/>
      <c r="FR23" s="277"/>
      <c r="FS23" s="277"/>
      <c r="FT23" s="277"/>
      <c r="FU23" s="277"/>
      <c r="FV23" s="277"/>
      <c r="FW23" s="277"/>
      <c r="FX23" s="277"/>
      <c r="FY23" s="277"/>
      <c r="FZ23" s="277"/>
      <c r="GA23" s="277"/>
      <c r="GB23" s="277"/>
      <c r="GC23" s="277"/>
      <c r="GD23" s="277"/>
      <c r="GE23" s="278"/>
      <c r="GF23" s="40"/>
      <c r="GG23" s="40"/>
      <c r="GH23" s="40"/>
      <c r="GI23" s="42"/>
      <c r="GJ23">
        <f>AS23*1.46</f>
        <v>1.46</v>
      </c>
    </row>
    <row r="24" spans="1:192" ht="18.600000000000001" customHeight="1" thickBot="1" x14ac:dyDescent="0.35">
      <c r="A24" s="279" t="s">
        <v>86</v>
      </c>
      <c r="B24" s="277"/>
      <c r="C24" s="277"/>
      <c r="D24" s="277"/>
      <c r="E24" s="277"/>
      <c r="F24" s="277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80"/>
      <c r="AT24" s="280"/>
      <c r="AU24" s="280"/>
      <c r="AV24" s="280"/>
      <c r="AW24" s="280"/>
      <c r="AX24" s="280"/>
      <c r="AY24" s="280"/>
      <c r="AZ24" s="280"/>
      <c r="BA24" s="280"/>
      <c r="BB24" s="280"/>
      <c r="BC24" s="280"/>
      <c r="BD24" s="280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89"/>
      <c r="BV24" s="290"/>
      <c r="BW24" s="290"/>
      <c r="BX24" s="290"/>
      <c r="BY24" s="290"/>
      <c r="BZ24" s="290"/>
      <c r="CA24" s="290"/>
      <c r="CB24" s="290"/>
      <c r="CC24" s="290"/>
      <c r="CD24" s="290"/>
      <c r="CE24" s="290"/>
      <c r="CF24" s="290"/>
      <c r="CG24" s="290"/>
      <c r="CH24" s="290"/>
      <c r="CI24" s="290"/>
      <c r="CJ24" s="290"/>
      <c r="CK24" s="290"/>
      <c r="CL24" s="290"/>
      <c r="CM24" s="290"/>
      <c r="CN24" s="290"/>
      <c r="CO24" s="290"/>
      <c r="CP24" s="290"/>
      <c r="CQ24" s="290"/>
      <c r="CR24" s="290"/>
      <c r="CS24" s="290"/>
      <c r="CT24" s="290"/>
      <c r="CU24" s="290"/>
      <c r="CV24" s="290"/>
      <c r="CW24" s="290"/>
      <c r="CX24" s="290"/>
      <c r="CY24" s="290"/>
      <c r="CZ24" s="290"/>
      <c r="DA24" s="290"/>
      <c r="DB24" s="290"/>
      <c r="DC24" s="290"/>
      <c r="DD24" s="290"/>
      <c r="DE24" s="290"/>
      <c r="DF24" s="290"/>
      <c r="DG24" s="291"/>
      <c r="DH24" s="285"/>
      <c r="DI24" s="286"/>
      <c r="DJ24" s="286"/>
      <c r="DK24" s="286"/>
      <c r="DL24" s="286"/>
      <c r="DM24" s="286"/>
      <c r="DN24" s="286"/>
      <c r="DO24" s="286"/>
      <c r="DP24" s="286"/>
      <c r="DQ24" s="286"/>
      <c r="DR24" s="287"/>
      <c r="DS24" s="284"/>
      <c r="DT24" s="284"/>
      <c r="DU24" s="284"/>
      <c r="DV24" s="284"/>
      <c r="DW24" s="284"/>
      <c r="DX24" s="284"/>
      <c r="DY24" s="284"/>
      <c r="DZ24" s="284"/>
      <c r="EA24" s="284"/>
      <c r="EB24" s="284"/>
      <c r="EC24" s="284"/>
      <c r="ED24" s="284"/>
      <c r="EE24" s="284"/>
      <c r="EF24" s="284"/>
      <c r="EG24" s="284"/>
      <c r="EH24" s="284"/>
      <c r="EI24" s="284"/>
      <c r="EJ24" s="284"/>
      <c r="EK24" s="284"/>
      <c r="EL24" s="284"/>
      <c r="EM24" s="284"/>
      <c r="EN24" s="284"/>
      <c r="EO24" s="288"/>
      <c r="EP24" s="288"/>
      <c r="EQ24" s="288"/>
      <c r="ER24" s="288"/>
      <c r="ES24" s="288"/>
      <c r="ET24" s="288"/>
      <c r="EU24" s="288"/>
      <c r="EV24" s="288"/>
      <c r="EW24" s="288"/>
      <c r="EX24" s="288"/>
      <c r="EY24" s="288"/>
      <c r="EZ24" s="288"/>
      <c r="FA24" s="288"/>
      <c r="FB24" s="288"/>
      <c r="FC24" s="268"/>
      <c r="FD24" s="268"/>
      <c r="FE24" s="268"/>
      <c r="FF24" s="268"/>
      <c r="FG24" s="268"/>
      <c r="FH24" s="268"/>
      <c r="FI24" s="268"/>
      <c r="FJ24" s="268"/>
      <c r="FK24" s="268"/>
      <c r="FL24" s="268"/>
      <c r="FM24" s="268"/>
      <c r="FN24" s="277"/>
      <c r="FO24" s="277"/>
      <c r="FP24" s="277"/>
      <c r="FQ24" s="277"/>
      <c r="FR24" s="277"/>
      <c r="FS24" s="277"/>
      <c r="FT24" s="277"/>
      <c r="FU24" s="277"/>
      <c r="FV24" s="277"/>
      <c r="FW24" s="277"/>
      <c r="FX24" s="277"/>
      <c r="FY24" s="277"/>
      <c r="FZ24" s="277"/>
      <c r="GA24" s="277"/>
      <c r="GB24" s="277"/>
      <c r="GC24" s="277"/>
      <c r="GD24" s="277"/>
      <c r="GE24" s="278"/>
      <c r="GF24" s="40"/>
      <c r="GG24" s="40"/>
      <c r="GH24" s="40"/>
      <c r="GI24" s="42"/>
      <c r="GJ24">
        <f>AS24*1.2</f>
        <v>0</v>
      </c>
    </row>
    <row r="25" spans="1:192" ht="18.600000000000001" customHeight="1" thickBot="1" x14ac:dyDescent="0.35">
      <c r="A25" s="279" t="s">
        <v>87</v>
      </c>
      <c r="B25" s="277"/>
      <c r="C25" s="277"/>
      <c r="D25" s="27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80"/>
      <c r="AT25" s="280"/>
      <c r="AU25" s="280"/>
      <c r="AV25" s="280"/>
      <c r="AW25" s="280"/>
      <c r="AX25" s="280"/>
      <c r="AY25" s="280"/>
      <c r="AZ25" s="280"/>
      <c r="BA25" s="280"/>
      <c r="BB25" s="280"/>
      <c r="BC25" s="280"/>
      <c r="BD25" s="280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89"/>
      <c r="BV25" s="290"/>
      <c r="BW25" s="290"/>
      <c r="BX25" s="290"/>
      <c r="BY25" s="290"/>
      <c r="BZ25" s="290"/>
      <c r="CA25" s="290"/>
      <c r="CB25" s="290"/>
      <c r="CC25" s="290"/>
      <c r="CD25" s="290"/>
      <c r="CE25" s="290"/>
      <c r="CF25" s="290"/>
      <c r="CG25" s="290"/>
      <c r="CH25" s="290"/>
      <c r="CI25" s="290"/>
      <c r="CJ25" s="290"/>
      <c r="CK25" s="290"/>
      <c r="CL25" s="290"/>
      <c r="CM25" s="290"/>
      <c r="CN25" s="290"/>
      <c r="CO25" s="290"/>
      <c r="CP25" s="290"/>
      <c r="CQ25" s="290"/>
      <c r="CR25" s="290"/>
      <c r="CS25" s="290"/>
      <c r="CT25" s="290"/>
      <c r="CU25" s="290"/>
      <c r="CV25" s="290"/>
      <c r="CW25" s="290"/>
      <c r="CX25" s="290"/>
      <c r="CY25" s="290"/>
      <c r="CZ25" s="290"/>
      <c r="DA25" s="290"/>
      <c r="DB25" s="290"/>
      <c r="DC25" s="290"/>
      <c r="DD25" s="290"/>
      <c r="DE25" s="290"/>
      <c r="DF25" s="290"/>
      <c r="DG25" s="291"/>
      <c r="DH25" s="285"/>
      <c r="DI25" s="286"/>
      <c r="DJ25" s="286"/>
      <c r="DK25" s="286"/>
      <c r="DL25" s="286"/>
      <c r="DM25" s="286"/>
      <c r="DN25" s="286"/>
      <c r="DO25" s="286"/>
      <c r="DP25" s="286"/>
      <c r="DQ25" s="286"/>
      <c r="DR25" s="287"/>
      <c r="DS25" s="284"/>
      <c r="DT25" s="284"/>
      <c r="DU25" s="284"/>
      <c r="DV25" s="284"/>
      <c r="DW25" s="284"/>
      <c r="DX25" s="284"/>
      <c r="DY25" s="284"/>
      <c r="DZ25" s="284"/>
      <c r="EA25" s="284"/>
      <c r="EB25" s="284"/>
      <c r="EC25" s="284"/>
      <c r="ED25" s="284"/>
      <c r="EE25" s="284"/>
      <c r="EF25" s="284"/>
      <c r="EG25" s="284"/>
      <c r="EH25" s="284"/>
      <c r="EI25" s="284"/>
      <c r="EJ25" s="284"/>
      <c r="EK25" s="284"/>
      <c r="EL25" s="284"/>
      <c r="EM25" s="284"/>
      <c r="EN25" s="284"/>
      <c r="EO25" s="288"/>
      <c r="EP25" s="288"/>
      <c r="EQ25" s="288"/>
      <c r="ER25" s="288"/>
      <c r="ES25" s="288"/>
      <c r="ET25" s="288"/>
      <c r="EU25" s="288"/>
      <c r="EV25" s="288"/>
      <c r="EW25" s="288"/>
      <c r="EX25" s="288"/>
      <c r="EY25" s="288"/>
      <c r="EZ25" s="288"/>
      <c r="FA25" s="288"/>
      <c r="FB25" s="288"/>
      <c r="FC25" s="268"/>
      <c r="FD25" s="268"/>
      <c r="FE25" s="268"/>
      <c r="FF25" s="268"/>
      <c r="FG25" s="268"/>
      <c r="FH25" s="268"/>
      <c r="FI25" s="268"/>
      <c r="FJ25" s="268"/>
      <c r="FK25" s="268"/>
      <c r="FL25" s="268"/>
      <c r="FM25" s="268"/>
      <c r="FN25" s="277"/>
      <c r="FO25" s="277"/>
      <c r="FP25" s="277"/>
      <c r="FQ25" s="277"/>
      <c r="FR25" s="277"/>
      <c r="FS25" s="277"/>
      <c r="FT25" s="277"/>
      <c r="FU25" s="277"/>
      <c r="FV25" s="277"/>
      <c r="FW25" s="277"/>
      <c r="FX25" s="277"/>
      <c r="FY25" s="277"/>
      <c r="FZ25" s="277"/>
      <c r="GA25" s="277"/>
      <c r="GB25" s="277"/>
      <c r="GC25" s="277"/>
      <c r="GD25" s="277"/>
      <c r="GE25" s="278"/>
      <c r="GF25" s="40"/>
      <c r="GG25" s="40"/>
      <c r="GH25" s="40"/>
      <c r="GI25" s="42"/>
      <c r="GJ25">
        <f>AS25*1.2</f>
        <v>0</v>
      </c>
    </row>
    <row r="26" spans="1:192" ht="18.600000000000001" customHeight="1" thickBot="1" x14ac:dyDescent="0.35">
      <c r="A26" s="279" t="s">
        <v>88</v>
      </c>
      <c r="B26" s="277"/>
      <c r="C26" s="277"/>
      <c r="D26" s="277"/>
      <c r="E26" s="277"/>
      <c r="F26" s="277"/>
      <c r="G26" s="277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80"/>
      <c r="AT26" s="280"/>
      <c r="AU26" s="280"/>
      <c r="AV26" s="280"/>
      <c r="AW26" s="280"/>
      <c r="AX26" s="280"/>
      <c r="AY26" s="280"/>
      <c r="AZ26" s="280"/>
      <c r="BA26" s="280"/>
      <c r="BB26" s="280"/>
      <c r="BC26" s="280"/>
      <c r="BD26" s="280"/>
      <c r="BE26" s="268"/>
      <c r="BF26" s="268"/>
      <c r="BG26" s="268"/>
      <c r="BH26" s="268"/>
      <c r="BI26" s="268"/>
      <c r="BJ26" s="268"/>
      <c r="BK26" s="268"/>
      <c r="BL26" s="268"/>
      <c r="BM26" s="268"/>
      <c r="BN26" s="268"/>
      <c r="BO26" s="268"/>
      <c r="BP26" s="268"/>
      <c r="BQ26" s="268"/>
      <c r="BR26" s="268"/>
      <c r="BS26" s="268"/>
      <c r="BT26" s="268"/>
      <c r="BU26" s="289"/>
      <c r="BV26" s="290"/>
      <c r="BW26" s="290"/>
      <c r="BX26" s="290"/>
      <c r="BY26" s="290"/>
      <c r="BZ26" s="290"/>
      <c r="CA26" s="290"/>
      <c r="CB26" s="290"/>
      <c r="CC26" s="290"/>
      <c r="CD26" s="290"/>
      <c r="CE26" s="290"/>
      <c r="CF26" s="290"/>
      <c r="CG26" s="290"/>
      <c r="CH26" s="290"/>
      <c r="CI26" s="290"/>
      <c r="CJ26" s="290"/>
      <c r="CK26" s="290"/>
      <c r="CL26" s="290"/>
      <c r="CM26" s="290"/>
      <c r="CN26" s="290"/>
      <c r="CO26" s="290"/>
      <c r="CP26" s="290"/>
      <c r="CQ26" s="290"/>
      <c r="CR26" s="290"/>
      <c r="CS26" s="290"/>
      <c r="CT26" s="290"/>
      <c r="CU26" s="290"/>
      <c r="CV26" s="290"/>
      <c r="CW26" s="290"/>
      <c r="CX26" s="290"/>
      <c r="CY26" s="290"/>
      <c r="CZ26" s="290"/>
      <c r="DA26" s="290"/>
      <c r="DB26" s="290"/>
      <c r="DC26" s="290"/>
      <c r="DD26" s="290"/>
      <c r="DE26" s="290"/>
      <c r="DF26" s="290"/>
      <c r="DG26" s="291"/>
      <c r="DH26" s="285"/>
      <c r="DI26" s="286"/>
      <c r="DJ26" s="286"/>
      <c r="DK26" s="286"/>
      <c r="DL26" s="286"/>
      <c r="DM26" s="286"/>
      <c r="DN26" s="286"/>
      <c r="DO26" s="286"/>
      <c r="DP26" s="286"/>
      <c r="DQ26" s="286"/>
      <c r="DR26" s="287"/>
      <c r="DS26" s="284"/>
      <c r="DT26" s="284"/>
      <c r="DU26" s="284"/>
      <c r="DV26" s="284"/>
      <c r="DW26" s="284"/>
      <c r="DX26" s="284"/>
      <c r="DY26" s="284"/>
      <c r="DZ26" s="284"/>
      <c r="EA26" s="284"/>
      <c r="EB26" s="284"/>
      <c r="EC26" s="284"/>
      <c r="ED26" s="284"/>
      <c r="EE26" s="284"/>
      <c r="EF26" s="284"/>
      <c r="EG26" s="284"/>
      <c r="EH26" s="284"/>
      <c r="EI26" s="284"/>
      <c r="EJ26" s="284"/>
      <c r="EK26" s="284"/>
      <c r="EL26" s="284"/>
      <c r="EM26" s="284"/>
      <c r="EN26" s="284"/>
      <c r="EO26" s="288"/>
      <c r="EP26" s="288"/>
      <c r="EQ26" s="288"/>
      <c r="ER26" s="288"/>
      <c r="ES26" s="288"/>
      <c r="ET26" s="288"/>
      <c r="EU26" s="288"/>
      <c r="EV26" s="288"/>
      <c r="EW26" s="288"/>
      <c r="EX26" s="288"/>
      <c r="EY26" s="288"/>
      <c r="EZ26" s="288"/>
      <c r="FA26" s="288"/>
      <c r="FB26" s="288"/>
      <c r="FC26" s="268"/>
      <c r="FD26" s="268"/>
      <c r="FE26" s="268"/>
      <c r="FF26" s="268"/>
      <c r="FG26" s="268"/>
      <c r="FH26" s="268"/>
      <c r="FI26" s="268"/>
      <c r="FJ26" s="268"/>
      <c r="FK26" s="268"/>
      <c r="FL26" s="268"/>
      <c r="FM26" s="268"/>
      <c r="FN26" s="277"/>
      <c r="FO26" s="277"/>
      <c r="FP26" s="277"/>
      <c r="FQ26" s="277"/>
      <c r="FR26" s="277"/>
      <c r="FS26" s="277"/>
      <c r="FT26" s="277"/>
      <c r="FU26" s="277"/>
      <c r="FV26" s="277"/>
      <c r="FW26" s="277"/>
      <c r="FX26" s="277"/>
      <c r="FY26" s="277"/>
      <c r="FZ26" s="277"/>
      <c r="GA26" s="277"/>
      <c r="GB26" s="277"/>
      <c r="GC26" s="277"/>
      <c r="GD26" s="277"/>
      <c r="GE26" s="278"/>
      <c r="GF26" s="40"/>
      <c r="GG26" s="40"/>
      <c r="GH26" s="40"/>
      <c r="GI26" s="42"/>
      <c r="GJ26">
        <f>AS26*4.3</f>
        <v>0</v>
      </c>
    </row>
    <row r="27" spans="1:192" ht="18.600000000000001" customHeight="1" thickBot="1" x14ac:dyDescent="0.35">
      <c r="A27" s="279" t="s">
        <v>89</v>
      </c>
      <c r="B27" s="277"/>
      <c r="C27" s="277"/>
      <c r="D27" s="277"/>
      <c r="E27" s="277"/>
      <c r="F27" s="277"/>
      <c r="G27" s="277"/>
      <c r="H27" s="277"/>
      <c r="I27" s="277"/>
      <c r="J27" s="277"/>
      <c r="K27" s="277"/>
      <c r="L27" s="277"/>
      <c r="M27" s="277"/>
      <c r="N27" s="277"/>
      <c r="O27" s="277"/>
      <c r="P27" s="277"/>
      <c r="Q27" s="277"/>
      <c r="R27" s="277"/>
      <c r="S27" s="277"/>
      <c r="T27" s="277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80"/>
      <c r="AT27" s="280"/>
      <c r="AU27" s="280"/>
      <c r="AV27" s="280"/>
      <c r="AW27" s="280"/>
      <c r="AX27" s="280"/>
      <c r="AY27" s="280"/>
      <c r="AZ27" s="280"/>
      <c r="BA27" s="280"/>
      <c r="BB27" s="280"/>
      <c r="BC27" s="280"/>
      <c r="BD27" s="280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89"/>
      <c r="BV27" s="290"/>
      <c r="BW27" s="290"/>
      <c r="BX27" s="290"/>
      <c r="BY27" s="290"/>
      <c r="BZ27" s="290"/>
      <c r="CA27" s="290"/>
      <c r="CB27" s="290"/>
      <c r="CC27" s="290"/>
      <c r="CD27" s="290"/>
      <c r="CE27" s="290"/>
      <c r="CF27" s="290"/>
      <c r="CG27" s="290"/>
      <c r="CH27" s="290"/>
      <c r="CI27" s="290"/>
      <c r="CJ27" s="290"/>
      <c r="CK27" s="290"/>
      <c r="CL27" s="290"/>
      <c r="CM27" s="290"/>
      <c r="CN27" s="290"/>
      <c r="CO27" s="290"/>
      <c r="CP27" s="290"/>
      <c r="CQ27" s="290"/>
      <c r="CR27" s="290"/>
      <c r="CS27" s="290"/>
      <c r="CT27" s="290"/>
      <c r="CU27" s="290"/>
      <c r="CV27" s="290"/>
      <c r="CW27" s="290"/>
      <c r="CX27" s="290"/>
      <c r="CY27" s="290"/>
      <c r="CZ27" s="290"/>
      <c r="DA27" s="290"/>
      <c r="DB27" s="290"/>
      <c r="DC27" s="290"/>
      <c r="DD27" s="290"/>
      <c r="DE27" s="290"/>
      <c r="DF27" s="290"/>
      <c r="DG27" s="291"/>
      <c r="DH27" s="285"/>
      <c r="DI27" s="286"/>
      <c r="DJ27" s="286"/>
      <c r="DK27" s="286"/>
      <c r="DL27" s="286"/>
      <c r="DM27" s="286"/>
      <c r="DN27" s="286"/>
      <c r="DO27" s="286"/>
      <c r="DP27" s="286"/>
      <c r="DQ27" s="286"/>
      <c r="DR27" s="287"/>
      <c r="DS27" s="284"/>
      <c r="DT27" s="284"/>
      <c r="DU27" s="284"/>
      <c r="DV27" s="284"/>
      <c r="DW27" s="284"/>
      <c r="DX27" s="284"/>
      <c r="DY27" s="284"/>
      <c r="DZ27" s="284"/>
      <c r="EA27" s="284"/>
      <c r="EB27" s="284"/>
      <c r="EC27" s="284"/>
      <c r="ED27" s="284"/>
      <c r="EE27" s="284"/>
      <c r="EF27" s="284"/>
      <c r="EG27" s="284"/>
      <c r="EH27" s="284"/>
      <c r="EI27" s="284"/>
      <c r="EJ27" s="284"/>
      <c r="EK27" s="284"/>
      <c r="EL27" s="284"/>
      <c r="EM27" s="284"/>
      <c r="EN27" s="284"/>
      <c r="EO27" s="288"/>
      <c r="EP27" s="288"/>
      <c r="EQ27" s="288"/>
      <c r="ER27" s="288"/>
      <c r="ES27" s="288"/>
      <c r="ET27" s="288"/>
      <c r="EU27" s="288"/>
      <c r="EV27" s="288"/>
      <c r="EW27" s="288"/>
      <c r="EX27" s="288"/>
      <c r="EY27" s="288"/>
      <c r="EZ27" s="288"/>
      <c r="FA27" s="288"/>
      <c r="FB27" s="288"/>
      <c r="FC27" s="268"/>
      <c r="FD27" s="268"/>
      <c r="FE27" s="268"/>
      <c r="FF27" s="268"/>
      <c r="FG27" s="268"/>
      <c r="FH27" s="268"/>
      <c r="FI27" s="268"/>
      <c r="FJ27" s="268"/>
      <c r="FK27" s="268"/>
      <c r="FL27" s="268"/>
      <c r="FM27" s="268"/>
      <c r="FN27" s="277"/>
      <c r="FO27" s="277"/>
      <c r="FP27" s="277"/>
      <c r="FQ27" s="277"/>
      <c r="FR27" s="277"/>
      <c r="FS27" s="277"/>
      <c r="FT27" s="277"/>
      <c r="FU27" s="277"/>
      <c r="FV27" s="277"/>
      <c r="FW27" s="277"/>
      <c r="FX27" s="277"/>
      <c r="FY27" s="277"/>
      <c r="FZ27" s="277"/>
      <c r="GA27" s="277"/>
      <c r="GB27" s="277"/>
      <c r="GC27" s="277"/>
      <c r="GD27" s="277"/>
      <c r="GE27" s="278"/>
      <c r="GF27" s="40"/>
      <c r="GG27" s="40"/>
      <c r="GH27" s="40"/>
      <c r="GI27" s="42"/>
      <c r="GJ27">
        <f>AS27*3.8</f>
        <v>0</v>
      </c>
    </row>
    <row r="28" spans="1:192" ht="18.600000000000001" customHeight="1" thickBot="1" x14ac:dyDescent="0.35">
      <c r="A28" s="279" t="s">
        <v>90</v>
      </c>
      <c r="B28" s="277"/>
      <c r="C28" s="277"/>
      <c r="D28" s="277"/>
      <c r="E28" s="277"/>
      <c r="F28" s="277"/>
      <c r="G28" s="277"/>
      <c r="H28" s="277"/>
      <c r="I28" s="277"/>
      <c r="J28" s="277"/>
      <c r="K28" s="277"/>
      <c r="L28" s="277"/>
      <c r="M28" s="277"/>
      <c r="N28" s="277"/>
      <c r="O28" s="277"/>
      <c r="P28" s="277"/>
      <c r="Q28" s="277"/>
      <c r="R28" s="277"/>
      <c r="S28" s="277"/>
      <c r="T28" s="277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80"/>
      <c r="AT28" s="280"/>
      <c r="AU28" s="280"/>
      <c r="AV28" s="280"/>
      <c r="AW28" s="280"/>
      <c r="AX28" s="280"/>
      <c r="AY28" s="280"/>
      <c r="AZ28" s="280"/>
      <c r="BA28" s="280"/>
      <c r="BB28" s="280"/>
      <c r="BC28" s="280"/>
      <c r="BD28" s="280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89"/>
      <c r="BV28" s="290"/>
      <c r="BW28" s="290"/>
      <c r="BX28" s="290"/>
      <c r="BY28" s="290"/>
      <c r="BZ28" s="290"/>
      <c r="CA28" s="290"/>
      <c r="CB28" s="290"/>
      <c r="CC28" s="290"/>
      <c r="CD28" s="290"/>
      <c r="CE28" s="290"/>
      <c r="CF28" s="290"/>
      <c r="CG28" s="290"/>
      <c r="CH28" s="290"/>
      <c r="CI28" s="290"/>
      <c r="CJ28" s="290"/>
      <c r="CK28" s="290"/>
      <c r="CL28" s="290"/>
      <c r="CM28" s="290"/>
      <c r="CN28" s="290"/>
      <c r="CO28" s="290"/>
      <c r="CP28" s="290"/>
      <c r="CQ28" s="290"/>
      <c r="CR28" s="290"/>
      <c r="CS28" s="290"/>
      <c r="CT28" s="290"/>
      <c r="CU28" s="290"/>
      <c r="CV28" s="290"/>
      <c r="CW28" s="290"/>
      <c r="CX28" s="290"/>
      <c r="CY28" s="290"/>
      <c r="CZ28" s="290"/>
      <c r="DA28" s="290"/>
      <c r="DB28" s="290"/>
      <c r="DC28" s="290"/>
      <c r="DD28" s="290"/>
      <c r="DE28" s="290"/>
      <c r="DF28" s="290"/>
      <c r="DG28" s="291"/>
      <c r="DH28" s="285"/>
      <c r="DI28" s="286"/>
      <c r="DJ28" s="286"/>
      <c r="DK28" s="286"/>
      <c r="DL28" s="286"/>
      <c r="DM28" s="286"/>
      <c r="DN28" s="286"/>
      <c r="DO28" s="286"/>
      <c r="DP28" s="286"/>
      <c r="DQ28" s="286"/>
      <c r="DR28" s="287"/>
      <c r="DS28" s="284"/>
      <c r="DT28" s="284"/>
      <c r="DU28" s="284"/>
      <c r="DV28" s="284"/>
      <c r="DW28" s="284"/>
      <c r="DX28" s="284"/>
      <c r="DY28" s="284"/>
      <c r="DZ28" s="284"/>
      <c r="EA28" s="284"/>
      <c r="EB28" s="284"/>
      <c r="EC28" s="284"/>
      <c r="ED28" s="284"/>
      <c r="EE28" s="284"/>
      <c r="EF28" s="284"/>
      <c r="EG28" s="284"/>
      <c r="EH28" s="284"/>
      <c r="EI28" s="284"/>
      <c r="EJ28" s="284"/>
      <c r="EK28" s="284"/>
      <c r="EL28" s="284"/>
      <c r="EM28" s="284"/>
      <c r="EN28" s="284"/>
      <c r="EO28" s="288"/>
      <c r="EP28" s="288"/>
      <c r="EQ28" s="288"/>
      <c r="ER28" s="288"/>
      <c r="ES28" s="288"/>
      <c r="ET28" s="288"/>
      <c r="EU28" s="288"/>
      <c r="EV28" s="288"/>
      <c r="EW28" s="288"/>
      <c r="EX28" s="288"/>
      <c r="EY28" s="288"/>
      <c r="EZ28" s="288"/>
      <c r="FA28" s="288"/>
      <c r="FB28" s="288"/>
      <c r="FC28" s="268"/>
      <c r="FD28" s="268"/>
      <c r="FE28" s="268"/>
      <c r="FF28" s="268"/>
      <c r="FG28" s="268"/>
      <c r="FH28" s="268"/>
      <c r="FI28" s="268"/>
      <c r="FJ28" s="268"/>
      <c r="FK28" s="268"/>
      <c r="FL28" s="268"/>
      <c r="FM28" s="268"/>
      <c r="FN28" s="277"/>
      <c r="FO28" s="277"/>
      <c r="FP28" s="277"/>
      <c r="FQ28" s="277"/>
      <c r="FR28" s="277"/>
      <c r="FS28" s="277"/>
      <c r="FT28" s="277"/>
      <c r="FU28" s="277"/>
      <c r="FV28" s="277"/>
      <c r="FW28" s="277"/>
      <c r="FX28" s="277"/>
      <c r="FY28" s="277"/>
      <c r="FZ28" s="277"/>
      <c r="GA28" s="277"/>
      <c r="GB28" s="277"/>
      <c r="GC28" s="277"/>
      <c r="GD28" s="277"/>
      <c r="GE28" s="278"/>
      <c r="GF28" s="40"/>
      <c r="GG28" s="40"/>
      <c r="GH28" s="40"/>
      <c r="GI28" s="42"/>
      <c r="GJ28">
        <f>AS28*6.3</f>
        <v>0</v>
      </c>
    </row>
    <row r="29" spans="1:192" ht="18.600000000000001" customHeight="1" x14ac:dyDescent="0.3">
      <c r="A29" s="279" t="s">
        <v>91</v>
      </c>
      <c r="B29" s="277"/>
      <c r="C29" s="277"/>
      <c r="D29" s="277"/>
      <c r="E29" s="277"/>
      <c r="F29" s="277"/>
      <c r="G29" s="277"/>
      <c r="H29" s="277"/>
      <c r="I29" s="277"/>
      <c r="J29" s="277"/>
      <c r="K29" s="277"/>
      <c r="L29" s="277"/>
      <c r="M29" s="277"/>
      <c r="N29" s="277"/>
      <c r="O29" s="277"/>
      <c r="P29" s="277"/>
      <c r="Q29" s="277"/>
      <c r="R29" s="277"/>
      <c r="S29" s="277"/>
      <c r="T29" s="277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80"/>
      <c r="AT29" s="280"/>
      <c r="AU29" s="280"/>
      <c r="AV29" s="280"/>
      <c r="AW29" s="280"/>
      <c r="AX29" s="280"/>
      <c r="AY29" s="280"/>
      <c r="AZ29" s="280"/>
      <c r="BA29" s="280"/>
      <c r="BB29" s="280"/>
      <c r="BC29" s="280"/>
      <c r="BD29" s="280"/>
      <c r="BE29" s="268"/>
      <c r="BF29" s="268"/>
      <c r="BG29" s="268"/>
      <c r="BH29" s="268"/>
      <c r="BI29" s="268"/>
      <c r="BJ29" s="268"/>
      <c r="BK29" s="268"/>
      <c r="BL29" s="268"/>
      <c r="BM29" s="268"/>
      <c r="BN29" s="268"/>
      <c r="BO29" s="268"/>
      <c r="BP29" s="268"/>
      <c r="BQ29" s="268"/>
      <c r="BR29" s="268"/>
      <c r="BS29" s="268"/>
      <c r="BT29" s="268"/>
      <c r="BU29" s="289"/>
      <c r="BV29" s="290"/>
      <c r="BW29" s="290"/>
      <c r="BX29" s="290"/>
      <c r="BY29" s="290"/>
      <c r="BZ29" s="290"/>
      <c r="CA29" s="290"/>
      <c r="CB29" s="290"/>
      <c r="CC29" s="290"/>
      <c r="CD29" s="290"/>
      <c r="CE29" s="290"/>
      <c r="CF29" s="290"/>
      <c r="CG29" s="290"/>
      <c r="CH29" s="290"/>
      <c r="CI29" s="290"/>
      <c r="CJ29" s="290"/>
      <c r="CK29" s="290"/>
      <c r="CL29" s="290"/>
      <c r="CM29" s="290"/>
      <c r="CN29" s="290"/>
      <c r="CO29" s="290"/>
      <c r="CP29" s="290"/>
      <c r="CQ29" s="290"/>
      <c r="CR29" s="290"/>
      <c r="CS29" s="290"/>
      <c r="CT29" s="290"/>
      <c r="CU29" s="290"/>
      <c r="CV29" s="290"/>
      <c r="CW29" s="290"/>
      <c r="CX29" s="290"/>
      <c r="CY29" s="290"/>
      <c r="CZ29" s="290"/>
      <c r="DA29" s="290"/>
      <c r="DB29" s="290"/>
      <c r="DC29" s="290"/>
      <c r="DD29" s="290"/>
      <c r="DE29" s="290"/>
      <c r="DF29" s="290"/>
      <c r="DG29" s="291"/>
      <c r="DH29" s="285"/>
      <c r="DI29" s="286"/>
      <c r="DJ29" s="286"/>
      <c r="DK29" s="286"/>
      <c r="DL29" s="286"/>
      <c r="DM29" s="286"/>
      <c r="DN29" s="286"/>
      <c r="DO29" s="286"/>
      <c r="DP29" s="286"/>
      <c r="DQ29" s="286"/>
      <c r="DR29" s="287"/>
      <c r="DS29" s="284"/>
      <c r="DT29" s="284"/>
      <c r="DU29" s="284"/>
      <c r="DV29" s="284"/>
      <c r="DW29" s="284"/>
      <c r="DX29" s="284"/>
      <c r="DY29" s="284"/>
      <c r="DZ29" s="284"/>
      <c r="EA29" s="284"/>
      <c r="EB29" s="284"/>
      <c r="EC29" s="284"/>
      <c r="ED29" s="284"/>
      <c r="EE29" s="284"/>
      <c r="EF29" s="284"/>
      <c r="EG29" s="284"/>
      <c r="EH29" s="284"/>
      <c r="EI29" s="284"/>
      <c r="EJ29" s="284"/>
      <c r="EK29" s="284"/>
      <c r="EL29" s="284"/>
      <c r="EM29" s="284"/>
      <c r="EN29" s="284"/>
      <c r="EO29" s="288"/>
      <c r="EP29" s="288"/>
      <c r="EQ29" s="288"/>
      <c r="ER29" s="288"/>
      <c r="ES29" s="288"/>
      <c r="ET29" s="288"/>
      <c r="EU29" s="288"/>
      <c r="EV29" s="288"/>
      <c r="EW29" s="288"/>
      <c r="EX29" s="288"/>
      <c r="EY29" s="288"/>
      <c r="EZ29" s="288"/>
      <c r="FA29" s="288"/>
      <c r="FB29" s="288"/>
      <c r="FC29" s="268"/>
      <c r="FD29" s="268"/>
      <c r="FE29" s="268"/>
      <c r="FF29" s="268"/>
      <c r="FG29" s="268"/>
      <c r="FH29" s="268"/>
      <c r="FI29" s="268"/>
      <c r="FJ29" s="268"/>
      <c r="FK29" s="268"/>
      <c r="FL29" s="268"/>
      <c r="FM29" s="268"/>
      <c r="FN29" s="277"/>
      <c r="FO29" s="277"/>
      <c r="FP29" s="277"/>
      <c r="FQ29" s="277"/>
      <c r="FR29" s="277"/>
      <c r="FS29" s="277"/>
      <c r="FT29" s="277"/>
      <c r="FU29" s="277"/>
      <c r="FV29" s="277"/>
      <c r="FW29" s="277"/>
      <c r="FX29" s="277"/>
      <c r="FY29" s="277"/>
      <c r="FZ29" s="277"/>
      <c r="GA29" s="277"/>
      <c r="GB29" s="277"/>
      <c r="GC29" s="277"/>
      <c r="GD29" s="277"/>
      <c r="GE29" s="278"/>
      <c r="GF29" s="40"/>
      <c r="GG29" s="40"/>
      <c r="GH29" s="40"/>
      <c r="GI29" s="42"/>
      <c r="GJ29">
        <f>AS29*4.3</f>
        <v>0</v>
      </c>
    </row>
    <row r="30" spans="1:192" ht="18.600000000000001" customHeight="1" x14ac:dyDescent="0.3">
      <c r="A30" s="279" t="s">
        <v>92</v>
      </c>
      <c r="B30" s="277"/>
      <c r="C30" s="277"/>
      <c r="D30" s="277"/>
      <c r="E30" s="277"/>
      <c r="F30" s="277"/>
      <c r="G30" s="277"/>
      <c r="H30" s="277"/>
      <c r="I30" s="277"/>
      <c r="J30" s="277"/>
      <c r="K30" s="277"/>
      <c r="L30" s="277"/>
      <c r="M30" s="277"/>
      <c r="N30" s="277"/>
      <c r="O30" s="277"/>
      <c r="P30" s="277"/>
      <c r="Q30" s="277"/>
      <c r="R30" s="277"/>
      <c r="S30" s="277"/>
      <c r="T30" s="277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68"/>
      <c r="BF30" s="268"/>
      <c r="BG30" s="268"/>
      <c r="BH30" s="268"/>
      <c r="BI30" s="268"/>
      <c r="BJ30" s="268"/>
      <c r="BK30" s="268"/>
      <c r="BL30" s="268"/>
      <c r="BM30" s="268"/>
      <c r="BN30" s="268"/>
      <c r="BO30" s="268"/>
      <c r="BP30" s="268"/>
      <c r="BQ30" s="268"/>
      <c r="BR30" s="268"/>
      <c r="BS30" s="268"/>
      <c r="BT30" s="268"/>
      <c r="BU30" s="294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6"/>
      <c r="DH30" s="285"/>
      <c r="DI30" s="286"/>
      <c r="DJ30" s="286"/>
      <c r="DK30" s="286"/>
      <c r="DL30" s="286"/>
      <c r="DM30" s="286"/>
      <c r="DN30" s="286"/>
      <c r="DO30" s="286"/>
      <c r="DP30" s="286"/>
      <c r="DQ30" s="286"/>
      <c r="DR30" s="287"/>
      <c r="DS30" s="284"/>
      <c r="DT30" s="284"/>
      <c r="DU30" s="284"/>
      <c r="DV30" s="284"/>
      <c r="DW30" s="284"/>
      <c r="DX30" s="284"/>
      <c r="DY30" s="284"/>
      <c r="DZ30" s="284"/>
      <c r="EA30" s="284"/>
      <c r="EB30" s="284"/>
      <c r="EC30" s="284"/>
      <c r="ED30" s="284"/>
      <c r="EE30" s="284"/>
      <c r="EF30" s="284"/>
      <c r="EG30" s="284"/>
      <c r="EH30" s="284"/>
      <c r="EI30" s="284"/>
      <c r="EJ30" s="284"/>
      <c r="EK30" s="284"/>
      <c r="EL30" s="284"/>
      <c r="EM30" s="284"/>
      <c r="EN30" s="284"/>
      <c r="EO30" s="292"/>
      <c r="EP30" s="292"/>
      <c r="EQ30" s="292"/>
      <c r="ER30" s="292"/>
      <c r="ES30" s="292"/>
      <c r="ET30" s="292"/>
      <c r="EU30" s="292"/>
      <c r="EV30" s="292"/>
      <c r="EW30" s="292"/>
      <c r="EX30" s="292"/>
      <c r="EY30" s="292"/>
      <c r="EZ30" s="292"/>
      <c r="FA30" s="292"/>
      <c r="FB30" s="292"/>
      <c r="FC30" s="268"/>
      <c r="FD30" s="268"/>
      <c r="FE30" s="268"/>
      <c r="FF30" s="268"/>
      <c r="FG30" s="268"/>
      <c r="FH30" s="268"/>
      <c r="FI30" s="268"/>
      <c r="FJ30" s="268"/>
      <c r="FK30" s="268"/>
      <c r="FL30" s="268"/>
      <c r="FM30" s="268"/>
      <c r="FN30" s="277"/>
      <c r="FO30" s="277"/>
      <c r="FP30" s="277"/>
      <c r="FQ30" s="277"/>
      <c r="FR30" s="277"/>
      <c r="FS30" s="277"/>
      <c r="FT30" s="277"/>
      <c r="FU30" s="277"/>
      <c r="FV30" s="277"/>
      <c r="FW30" s="277"/>
      <c r="FX30" s="277"/>
      <c r="FY30" s="277"/>
      <c r="FZ30" s="277"/>
      <c r="GA30" s="277"/>
      <c r="GB30" s="277"/>
      <c r="GC30" s="277"/>
      <c r="GD30" s="277"/>
      <c r="GE30" s="278"/>
      <c r="GF30" s="40"/>
      <c r="GG30" s="40"/>
      <c r="GH30" s="40"/>
      <c r="GI30" s="42"/>
      <c r="GJ30">
        <f>SUM(GJ18:GJ29)</f>
        <v>271.43999999999994</v>
      </c>
    </row>
    <row r="31" spans="1:192" ht="18.600000000000001" customHeight="1" x14ac:dyDescent="0.3">
      <c r="A31" s="279"/>
      <c r="B31" s="277"/>
      <c r="C31" s="277"/>
      <c r="D31" s="277"/>
      <c r="E31" s="277"/>
      <c r="F31" s="277"/>
      <c r="G31" s="277"/>
      <c r="H31" s="277"/>
      <c r="I31" s="277"/>
      <c r="J31" s="277"/>
      <c r="K31" s="277"/>
      <c r="L31" s="277" t="s">
        <v>300</v>
      </c>
      <c r="M31" s="277"/>
      <c r="N31" s="277"/>
      <c r="O31" s="277"/>
      <c r="P31" s="277"/>
      <c r="Q31" s="277"/>
      <c r="R31" s="277"/>
      <c r="S31" s="277"/>
      <c r="T31" s="277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93">
        <f>SUM(AS18:AS30)</f>
        <v>17</v>
      </c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68"/>
      <c r="BF31" s="268"/>
      <c r="BG31" s="268"/>
      <c r="BH31" s="268"/>
      <c r="BI31" s="268"/>
      <c r="BJ31" s="268"/>
      <c r="BK31" s="268"/>
      <c r="BL31" s="268"/>
      <c r="BM31" s="268"/>
      <c r="BN31" s="268"/>
      <c r="BO31" s="268"/>
      <c r="BP31" s="268"/>
      <c r="BQ31" s="268"/>
      <c r="BR31" s="268"/>
      <c r="BS31" s="268"/>
      <c r="BT31" s="268"/>
      <c r="BU31" s="294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6"/>
      <c r="DH31" s="285"/>
      <c r="DI31" s="286"/>
      <c r="DJ31" s="286"/>
      <c r="DK31" s="286"/>
      <c r="DL31" s="286"/>
      <c r="DM31" s="286"/>
      <c r="DN31" s="286"/>
      <c r="DO31" s="286"/>
      <c r="DP31" s="286"/>
      <c r="DQ31" s="286"/>
      <c r="DR31" s="287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92">
        <f>SUM(EO18:EO30)</f>
        <v>39.124000000000002</v>
      </c>
      <c r="EP31" s="292"/>
      <c r="EQ31" s="292"/>
      <c r="ER31" s="292"/>
      <c r="ES31" s="292"/>
      <c r="ET31" s="292"/>
      <c r="EU31" s="292"/>
      <c r="EV31" s="292"/>
      <c r="EW31" s="292"/>
      <c r="EX31" s="292"/>
      <c r="EY31" s="292"/>
      <c r="EZ31" s="292"/>
      <c r="FA31" s="292"/>
      <c r="FB31" s="292"/>
      <c r="FC31" s="268"/>
      <c r="FD31" s="268"/>
      <c r="FE31" s="268"/>
      <c r="FF31" s="268"/>
      <c r="FG31" s="268"/>
      <c r="FH31" s="268"/>
      <c r="FI31" s="268"/>
      <c r="FJ31" s="268"/>
      <c r="FK31" s="268"/>
      <c r="FL31" s="268"/>
      <c r="FM31" s="268"/>
      <c r="FN31" s="277"/>
      <c r="FO31" s="277"/>
      <c r="FP31" s="277"/>
      <c r="FQ31" s="277"/>
      <c r="FR31" s="277"/>
      <c r="FS31" s="277"/>
      <c r="FT31" s="277"/>
      <c r="FU31" s="277"/>
      <c r="FV31" s="277"/>
      <c r="FW31" s="277"/>
      <c r="FX31" s="277"/>
      <c r="FY31" s="277"/>
      <c r="FZ31" s="277"/>
      <c r="GA31" s="277"/>
      <c r="GB31" s="277"/>
      <c r="GC31" s="277"/>
      <c r="GD31" s="277"/>
      <c r="GE31" s="278"/>
      <c r="GF31" s="40"/>
      <c r="GG31" s="40"/>
      <c r="GH31" s="40"/>
      <c r="GI31" s="42"/>
    </row>
    <row r="32" spans="1:192" x14ac:dyDescent="0.3">
      <c r="A32" s="41" t="s">
        <v>93</v>
      </c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50"/>
      <c r="AO32" s="50"/>
      <c r="AP32" s="50"/>
      <c r="AQ32" s="50"/>
      <c r="AR32" s="50"/>
      <c r="AS32" s="297"/>
      <c r="AT32" s="297"/>
      <c r="AU32" s="297"/>
      <c r="AV32" s="297"/>
      <c r="AW32" s="297"/>
      <c r="AX32" s="297"/>
      <c r="AY32" s="297"/>
      <c r="AZ32" s="297"/>
      <c r="BA32" s="297"/>
      <c r="BB32" s="297"/>
      <c r="BC32" s="297"/>
      <c r="BD32" s="297"/>
      <c r="BE32" s="297"/>
      <c r="BF32" s="297"/>
      <c r="BG32" s="297"/>
      <c r="BH32" s="297"/>
      <c r="BI32" s="297"/>
      <c r="BJ32" s="297"/>
      <c r="BK32" s="297"/>
      <c r="BL32" s="297"/>
      <c r="BM32" s="297"/>
      <c r="BN32" s="297"/>
      <c r="BO32" s="297"/>
      <c r="BP32" s="297"/>
      <c r="BQ32" s="297"/>
      <c r="BR32" s="297"/>
      <c r="BS32" s="297"/>
      <c r="BT32" s="297"/>
      <c r="BU32" s="297"/>
      <c r="BV32" s="40"/>
      <c r="BW32" s="41" t="s">
        <v>94</v>
      </c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40"/>
      <c r="EN32" s="40"/>
      <c r="EO32" s="299" t="s">
        <v>95</v>
      </c>
      <c r="EP32" s="300"/>
      <c r="EQ32" s="300"/>
      <c r="ER32" s="300"/>
      <c r="ES32" s="300"/>
      <c r="ET32" s="300"/>
      <c r="EU32" s="300"/>
      <c r="EV32" s="300"/>
      <c r="EW32" s="300"/>
      <c r="EX32" s="300"/>
      <c r="EY32" s="300"/>
      <c r="EZ32" s="300"/>
      <c r="FA32" s="300"/>
      <c r="FB32" s="301"/>
      <c r="FC32" s="302"/>
      <c r="FD32" s="300"/>
      <c r="FE32" s="300"/>
      <c r="FF32" s="300"/>
      <c r="FG32" s="300"/>
      <c r="FH32" s="300"/>
      <c r="FI32" s="300"/>
      <c r="FJ32" s="300"/>
      <c r="FK32" s="300"/>
      <c r="FL32" s="300"/>
      <c r="FM32" s="303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2"/>
    </row>
    <row r="33" spans="1:191" ht="11.4" customHeight="1" thickBot="1" x14ac:dyDescent="0.35">
      <c r="A33" s="41" t="s">
        <v>96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297"/>
      <c r="AF33" s="297"/>
      <c r="AG33" s="297"/>
      <c r="AH33" s="297"/>
      <c r="AI33" s="297"/>
      <c r="AJ33" s="297"/>
      <c r="AK33" s="297"/>
      <c r="AL33" s="297"/>
      <c r="AM33" s="297"/>
      <c r="AN33" s="297"/>
      <c r="AO33" s="297"/>
      <c r="AP33" s="297"/>
      <c r="AQ33" s="297"/>
      <c r="AR33" s="297"/>
      <c r="AS33" s="297"/>
      <c r="AT33" s="297"/>
      <c r="AU33" s="297"/>
      <c r="AV33" s="297"/>
      <c r="AW33" s="297"/>
      <c r="AX33" s="297"/>
      <c r="AY33" s="297"/>
      <c r="AZ33" s="297"/>
      <c r="BA33" s="297"/>
      <c r="BB33" s="297"/>
      <c r="BC33" s="297"/>
      <c r="BD33" s="297"/>
      <c r="BE33" s="297"/>
      <c r="BF33" s="297"/>
      <c r="BG33" s="297"/>
      <c r="BH33" s="297"/>
      <c r="BI33" s="297"/>
      <c r="BJ33" s="297"/>
      <c r="BK33" s="297"/>
      <c r="BL33" s="297"/>
      <c r="BM33" s="297"/>
      <c r="BN33" s="297"/>
      <c r="BO33" s="297"/>
      <c r="BP33" s="297"/>
      <c r="BQ33" s="297"/>
      <c r="BR33" s="297"/>
      <c r="BS33" s="297"/>
      <c r="BT33" s="297"/>
      <c r="BU33" s="297"/>
      <c r="BV33" s="40"/>
      <c r="BW33" s="41" t="s">
        <v>97</v>
      </c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304" t="s">
        <v>98</v>
      </c>
      <c r="EP33" s="305"/>
      <c r="EQ33" s="305"/>
      <c r="ER33" s="305"/>
      <c r="ES33" s="305"/>
      <c r="ET33" s="305"/>
      <c r="EU33" s="305"/>
      <c r="EV33" s="305"/>
      <c r="EW33" s="305"/>
      <c r="EX33" s="305"/>
      <c r="EY33" s="305"/>
      <c r="EZ33" s="305"/>
      <c r="FA33" s="305"/>
      <c r="FB33" s="306"/>
      <c r="FC33" s="260"/>
      <c r="FD33" s="261"/>
      <c r="FE33" s="261"/>
      <c r="FF33" s="261"/>
      <c r="FG33" s="261"/>
      <c r="FH33" s="261"/>
      <c r="FI33" s="261"/>
      <c r="FJ33" s="261"/>
      <c r="FK33" s="261"/>
      <c r="FL33" s="261"/>
      <c r="FM33" s="263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2"/>
    </row>
    <row r="34" spans="1:191" ht="11.4" customHeight="1" x14ac:dyDescent="0.3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316" t="s">
        <v>99</v>
      </c>
      <c r="O34" s="316"/>
      <c r="P34" s="316"/>
      <c r="Q34" s="316"/>
      <c r="R34" s="316"/>
      <c r="S34" s="316"/>
      <c r="T34" s="316"/>
      <c r="U34" s="316"/>
      <c r="V34" s="316"/>
      <c r="W34" s="316"/>
      <c r="X34" s="316"/>
      <c r="Y34" s="316"/>
      <c r="Z34" s="316"/>
      <c r="AA34" s="316"/>
      <c r="AB34" s="316"/>
      <c r="AC34" s="316"/>
      <c r="AD34" s="316"/>
      <c r="AE34" s="316"/>
      <c r="AF34" s="316"/>
      <c r="AG34" s="316"/>
      <c r="AH34" s="316"/>
      <c r="AI34" s="316"/>
      <c r="AJ34" s="316"/>
      <c r="AK34" s="316"/>
      <c r="AL34" s="316"/>
      <c r="AM34" s="316"/>
      <c r="AN34" s="316"/>
      <c r="AO34" s="316"/>
      <c r="AP34" s="316"/>
      <c r="AQ34" s="316"/>
      <c r="AR34" s="316"/>
      <c r="AS34" s="316"/>
      <c r="AT34" s="316"/>
      <c r="AU34" s="316"/>
      <c r="AV34" s="316"/>
      <c r="AW34" s="316"/>
      <c r="AX34" s="316"/>
      <c r="AY34" s="316"/>
      <c r="AZ34" s="316"/>
      <c r="BA34" s="316"/>
      <c r="BB34" s="316"/>
      <c r="BC34" s="316"/>
      <c r="BD34" s="316"/>
      <c r="BE34" s="316"/>
      <c r="BF34" s="316"/>
      <c r="BG34" s="316"/>
      <c r="BH34" s="316"/>
      <c r="BI34" s="316"/>
      <c r="BJ34" s="316"/>
      <c r="BK34" s="316"/>
      <c r="BL34" s="316"/>
      <c r="BM34" s="316"/>
      <c r="BN34" s="316"/>
      <c r="BO34" s="316"/>
      <c r="BP34" s="316"/>
      <c r="BQ34" s="316"/>
      <c r="BR34" s="316"/>
      <c r="BS34" s="316"/>
      <c r="BT34" s="316"/>
      <c r="BU34" s="316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317">
        <f>EO31</f>
        <v>39.124000000000002</v>
      </c>
      <c r="DT34" s="318"/>
      <c r="DU34" s="318"/>
      <c r="DV34" s="318"/>
      <c r="DW34" s="318"/>
      <c r="DX34" s="318"/>
      <c r="DY34" s="318"/>
      <c r="DZ34" s="318"/>
      <c r="EA34" s="318"/>
      <c r="EB34" s="318"/>
      <c r="EC34" s="318"/>
      <c r="ED34" s="318"/>
      <c r="EE34" s="318"/>
      <c r="EF34" s="318"/>
      <c r="EG34" s="318"/>
      <c r="EH34" s="319"/>
      <c r="EI34" s="40"/>
      <c r="EJ34" s="40"/>
      <c r="EK34" s="40"/>
      <c r="EL34" s="40"/>
      <c r="EM34" s="40"/>
      <c r="EN34" s="40"/>
      <c r="EO34" s="307"/>
      <c r="EP34" s="308"/>
      <c r="EQ34" s="308"/>
      <c r="ER34" s="308"/>
      <c r="ES34" s="308"/>
      <c r="ET34" s="308"/>
      <c r="EU34" s="308"/>
      <c r="EV34" s="308"/>
      <c r="EW34" s="308"/>
      <c r="EX34" s="308"/>
      <c r="EY34" s="308"/>
      <c r="EZ34" s="308"/>
      <c r="FA34" s="308"/>
      <c r="FB34" s="309"/>
      <c r="FC34" s="313"/>
      <c r="FD34" s="314"/>
      <c r="FE34" s="314"/>
      <c r="FF34" s="314"/>
      <c r="FG34" s="314"/>
      <c r="FH34" s="314"/>
      <c r="FI34" s="314"/>
      <c r="FJ34" s="314"/>
      <c r="FK34" s="314"/>
      <c r="FL34" s="314"/>
      <c r="FM34" s="315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2"/>
    </row>
    <row r="35" spans="1:191" ht="11.4" customHeight="1" x14ac:dyDescent="0.3">
      <c r="A35" s="41" t="s">
        <v>100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51"/>
      <c r="N35" s="51"/>
      <c r="O35" s="51"/>
      <c r="P35" s="51"/>
      <c r="Q35" s="323" t="s">
        <v>323</v>
      </c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  <c r="AL35" s="323"/>
      <c r="AM35" s="323"/>
      <c r="AN35" s="323"/>
      <c r="AO35" s="323"/>
      <c r="AP35" s="323"/>
      <c r="AQ35" s="323"/>
      <c r="AR35" s="323"/>
      <c r="AS35" s="323"/>
      <c r="AT35" s="323"/>
      <c r="AU35" s="323"/>
      <c r="AV35" s="323"/>
      <c r="AW35" s="323"/>
      <c r="AX35" s="323"/>
      <c r="AY35" s="323"/>
      <c r="AZ35" s="323"/>
      <c r="BA35" s="323"/>
      <c r="BB35" s="323"/>
      <c r="BC35" s="323"/>
      <c r="BD35" s="323"/>
      <c r="BE35" s="323"/>
      <c r="BF35" s="323"/>
      <c r="BG35" s="323"/>
      <c r="BH35" s="323"/>
      <c r="BI35" s="323"/>
      <c r="BJ35" s="323"/>
      <c r="BK35" s="323"/>
      <c r="BL35" s="323"/>
      <c r="BM35" s="323"/>
      <c r="BN35" s="323"/>
      <c r="BO35" s="323"/>
      <c r="BP35" s="323"/>
      <c r="BQ35" s="323"/>
      <c r="BR35" s="323"/>
      <c r="BS35" s="323"/>
      <c r="BT35" s="323"/>
      <c r="BU35" s="323"/>
      <c r="BV35" s="40"/>
      <c r="BW35" s="41" t="s">
        <v>101</v>
      </c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332" t="s">
        <v>325</v>
      </c>
      <c r="CM35" s="333"/>
      <c r="CN35" s="333"/>
      <c r="CO35" s="333"/>
      <c r="CP35" s="333"/>
      <c r="CQ35" s="333"/>
      <c r="CR35" s="333"/>
      <c r="CS35" s="333"/>
      <c r="CT35" s="333"/>
      <c r="CU35" s="333"/>
      <c r="CV35" s="333"/>
      <c r="CW35" s="333"/>
      <c r="CX35" s="333"/>
      <c r="CY35" s="333"/>
      <c r="CZ35" s="333"/>
      <c r="DA35" s="333"/>
      <c r="DB35" s="333"/>
      <c r="DC35" s="333"/>
      <c r="DD35" s="333"/>
      <c r="DE35" s="333"/>
      <c r="DF35" s="333"/>
      <c r="DG35" s="333"/>
      <c r="DH35" s="333"/>
      <c r="DI35" s="333"/>
      <c r="DJ35" s="333"/>
      <c r="DK35" s="333"/>
      <c r="DL35" s="333"/>
      <c r="DM35" s="333"/>
      <c r="DN35" s="333"/>
      <c r="DO35" s="333"/>
      <c r="DP35" s="333"/>
      <c r="DQ35" s="40"/>
      <c r="DR35" s="40"/>
      <c r="DS35" s="320"/>
      <c r="DT35" s="321"/>
      <c r="DU35" s="321"/>
      <c r="DV35" s="321"/>
      <c r="DW35" s="321"/>
      <c r="DX35" s="321"/>
      <c r="DY35" s="321"/>
      <c r="DZ35" s="321"/>
      <c r="EA35" s="321"/>
      <c r="EB35" s="321"/>
      <c r="EC35" s="321"/>
      <c r="ED35" s="321"/>
      <c r="EE35" s="321"/>
      <c r="EF35" s="321"/>
      <c r="EG35" s="321"/>
      <c r="EH35" s="322"/>
      <c r="EI35" s="325"/>
      <c r="EJ35" s="325"/>
      <c r="EK35" s="325"/>
      <c r="EL35" s="40"/>
      <c r="EM35" s="40"/>
      <c r="EN35" s="40"/>
      <c r="EO35" s="310"/>
      <c r="EP35" s="311"/>
      <c r="EQ35" s="311"/>
      <c r="ER35" s="311"/>
      <c r="ES35" s="311"/>
      <c r="ET35" s="311"/>
      <c r="EU35" s="311"/>
      <c r="EV35" s="311"/>
      <c r="EW35" s="311"/>
      <c r="EX35" s="311"/>
      <c r="EY35" s="311"/>
      <c r="EZ35" s="311"/>
      <c r="FA35" s="311"/>
      <c r="FB35" s="312"/>
      <c r="FC35" s="302"/>
      <c r="FD35" s="300"/>
      <c r="FE35" s="300"/>
      <c r="FF35" s="300"/>
      <c r="FG35" s="300"/>
      <c r="FH35" s="300"/>
      <c r="FI35" s="300"/>
      <c r="FJ35" s="300"/>
      <c r="FK35" s="300"/>
      <c r="FL35" s="300"/>
      <c r="FM35" s="303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2"/>
    </row>
    <row r="36" spans="1:191" ht="10.95" customHeight="1" x14ac:dyDescent="0.3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334" t="s">
        <v>99</v>
      </c>
      <c r="X36" s="334"/>
      <c r="Y36" s="334"/>
      <c r="Z36" s="334"/>
      <c r="AA36" s="334"/>
      <c r="AB36" s="334"/>
      <c r="AC36" s="334"/>
      <c r="AD36" s="334"/>
      <c r="AE36" s="334"/>
      <c r="AF36" s="334"/>
      <c r="AG36" s="334"/>
      <c r="AH36" s="334"/>
      <c r="AI36" s="334"/>
      <c r="AJ36" s="334"/>
      <c r="AK36" s="334"/>
      <c r="AL36" s="334"/>
      <c r="AM36" s="334"/>
      <c r="AN36" s="334"/>
      <c r="AO36" s="334"/>
      <c r="AP36" s="334"/>
      <c r="AQ36" s="334"/>
      <c r="AR36" s="334"/>
      <c r="AS36" s="334"/>
      <c r="AT36" s="334"/>
      <c r="AU36" s="334"/>
      <c r="AV36" s="334"/>
      <c r="AW36" s="334"/>
      <c r="AX36" s="334"/>
      <c r="AY36" s="334"/>
      <c r="AZ36" s="334"/>
      <c r="BA36" s="334"/>
      <c r="BB36" s="334"/>
      <c r="BC36" s="334"/>
      <c r="BD36" s="334"/>
      <c r="BE36" s="334"/>
      <c r="BF36" s="334"/>
      <c r="BG36" s="334"/>
      <c r="BH36" s="334"/>
      <c r="BI36" s="334"/>
      <c r="BJ36" s="334"/>
      <c r="BK36" s="334"/>
      <c r="BL36" s="334"/>
      <c r="BM36" s="334"/>
      <c r="BN36" s="334"/>
      <c r="BO36" s="334"/>
      <c r="BP36" s="334"/>
      <c r="BQ36" s="334"/>
      <c r="BR36" s="334"/>
      <c r="BS36" s="334"/>
      <c r="BT36" s="334"/>
      <c r="BU36" s="334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335" t="s">
        <v>99</v>
      </c>
      <c r="CS36" s="335"/>
      <c r="CT36" s="335"/>
      <c r="CU36" s="335"/>
      <c r="CV36" s="335"/>
      <c r="CW36" s="335"/>
      <c r="CX36" s="335"/>
      <c r="CY36" s="335"/>
      <c r="CZ36" s="335"/>
      <c r="DA36" s="335"/>
      <c r="DB36" s="335"/>
      <c r="DC36" s="335"/>
      <c r="DD36" s="335"/>
      <c r="DE36" s="335"/>
      <c r="DF36" s="335"/>
      <c r="DG36" s="335"/>
      <c r="DH36" s="335"/>
      <c r="DI36" s="335"/>
      <c r="DJ36" s="335"/>
      <c r="DK36" s="335"/>
      <c r="DL36" s="335"/>
      <c r="DM36" s="335"/>
      <c r="DN36" s="335"/>
      <c r="DO36" s="335"/>
      <c r="DP36" s="335"/>
      <c r="DQ36" s="52"/>
      <c r="DR36" s="52"/>
      <c r="DS36" s="320">
        <f>DS34</f>
        <v>39.124000000000002</v>
      </c>
      <c r="DT36" s="321"/>
      <c r="DU36" s="321"/>
      <c r="DV36" s="321"/>
      <c r="DW36" s="321"/>
      <c r="DX36" s="321"/>
      <c r="DY36" s="321"/>
      <c r="DZ36" s="321"/>
      <c r="EA36" s="321"/>
      <c r="EB36" s="321"/>
      <c r="EC36" s="321"/>
      <c r="ED36" s="321"/>
      <c r="EE36" s="321"/>
      <c r="EF36" s="321"/>
      <c r="EG36" s="321"/>
      <c r="EH36" s="322"/>
      <c r="EI36" s="40"/>
      <c r="EJ36" s="40"/>
      <c r="EK36" s="40"/>
      <c r="EL36" s="40"/>
      <c r="EM36" s="40"/>
      <c r="EN36" s="40"/>
      <c r="EO36" s="304"/>
      <c r="EP36" s="305"/>
      <c r="EQ36" s="305"/>
      <c r="ER36" s="305"/>
      <c r="ES36" s="305"/>
      <c r="ET36" s="305"/>
      <c r="EU36" s="305"/>
      <c r="EV36" s="305"/>
      <c r="EW36" s="305"/>
      <c r="EX36" s="305"/>
      <c r="EY36" s="305"/>
      <c r="EZ36" s="305"/>
      <c r="FA36" s="305"/>
      <c r="FB36" s="306"/>
      <c r="FC36" s="260"/>
      <c r="FD36" s="261"/>
      <c r="FE36" s="261"/>
      <c r="FF36" s="261"/>
      <c r="FG36" s="261"/>
      <c r="FH36" s="261"/>
      <c r="FI36" s="261"/>
      <c r="FJ36" s="261"/>
      <c r="FK36" s="261"/>
      <c r="FL36" s="261"/>
      <c r="FM36" s="263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2"/>
    </row>
    <row r="37" spans="1:191" ht="13.95" customHeight="1" thickBot="1" x14ac:dyDescent="0.35">
      <c r="A37" s="53" t="s">
        <v>102</v>
      </c>
      <c r="B37" s="40"/>
      <c r="C37" s="40"/>
      <c r="D37" s="40"/>
      <c r="E37" s="40"/>
      <c r="F37" s="40"/>
      <c r="G37" s="40"/>
      <c r="H37" s="40"/>
      <c r="I37" s="40"/>
      <c r="J37" s="324" t="s">
        <v>324</v>
      </c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  <c r="AL37" s="324"/>
      <c r="AM37" s="324"/>
      <c r="AN37" s="324"/>
      <c r="AO37" s="324"/>
      <c r="AP37" s="324"/>
      <c r="AQ37" s="324"/>
      <c r="AR37" s="324"/>
      <c r="AS37" s="324"/>
      <c r="AT37" s="324"/>
      <c r="AU37" s="324"/>
      <c r="AV37" s="324"/>
      <c r="AW37" s="324"/>
      <c r="AX37" s="324"/>
      <c r="AY37" s="324"/>
      <c r="AZ37" s="324"/>
      <c r="BA37" s="324"/>
      <c r="BB37" s="324"/>
      <c r="BC37" s="324"/>
      <c r="BD37" s="324"/>
      <c r="BE37" s="324"/>
      <c r="BF37" s="324"/>
      <c r="BG37" s="324"/>
      <c r="BH37" s="324"/>
      <c r="BI37" s="324"/>
      <c r="BJ37" s="324"/>
      <c r="BK37" s="324"/>
      <c r="BL37" s="324"/>
      <c r="BM37" s="324"/>
      <c r="BN37" s="324"/>
      <c r="BO37" s="324"/>
      <c r="BP37" s="324"/>
      <c r="BQ37" s="324"/>
      <c r="BR37" s="324"/>
      <c r="BS37" s="324"/>
      <c r="BT37" s="324"/>
      <c r="BU37" s="324"/>
      <c r="BV37" s="40"/>
      <c r="BW37" s="41" t="s">
        <v>103</v>
      </c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324" t="str">
        <f>CL35</f>
        <v>39,12 тн</v>
      </c>
      <c r="CN37" s="324"/>
      <c r="CO37" s="324"/>
      <c r="CP37" s="324"/>
      <c r="CQ37" s="324"/>
      <c r="CR37" s="324"/>
      <c r="CS37" s="324"/>
      <c r="CT37" s="324"/>
      <c r="CU37" s="324"/>
      <c r="CV37" s="324"/>
      <c r="CW37" s="324"/>
      <c r="CX37" s="324"/>
      <c r="CY37" s="324"/>
      <c r="CZ37" s="324"/>
      <c r="DA37" s="324"/>
      <c r="DB37" s="324"/>
      <c r="DC37" s="324"/>
      <c r="DD37" s="324"/>
      <c r="DE37" s="324"/>
      <c r="DF37" s="324"/>
      <c r="DG37" s="324"/>
      <c r="DH37" s="324"/>
      <c r="DI37" s="324"/>
      <c r="DJ37" s="324"/>
      <c r="DK37" s="324"/>
      <c r="DL37" s="324"/>
      <c r="DM37" s="324"/>
      <c r="DN37" s="324"/>
      <c r="DO37" s="324"/>
      <c r="DP37" s="324"/>
      <c r="DQ37" s="52"/>
      <c r="DR37" s="52"/>
      <c r="DS37" s="336"/>
      <c r="DT37" s="337"/>
      <c r="DU37" s="337"/>
      <c r="DV37" s="337"/>
      <c r="DW37" s="337"/>
      <c r="DX37" s="337"/>
      <c r="DY37" s="337"/>
      <c r="DZ37" s="337"/>
      <c r="EA37" s="337"/>
      <c r="EB37" s="337"/>
      <c r="EC37" s="337"/>
      <c r="ED37" s="337"/>
      <c r="EE37" s="337"/>
      <c r="EF37" s="337"/>
      <c r="EG37" s="337"/>
      <c r="EH37" s="338"/>
      <c r="EI37" s="325"/>
      <c r="EJ37" s="325"/>
      <c r="EK37" s="325"/>
      <c r="EL37" s="40"/>
      <c r="EM37" s="40"/>
      <c r="EN37" s="40"/>
      <c r="EO37" s="310"/>
      <c r="EP37" s="311"/>
      <c r="EQ37" s="311"/>
      <c r="ER37" s="311"/>
      <c r="ES37" s="311"/>
      <c r="ET37" s="311"/>
      <c r="EU37" s="311"/>
      <c r="EV37" s="311"/>
      <c r="EW37" s="311"/>
      <c r="EX37" s="311"/>
      <c r="EY37" s="311"/>
      <c r="EZ37" s="311"/>
      <c r="FA37" s="311"/>
      <c r="FB37" s="312"/>
      <c r="FC37" s="302"/>
      <c r="FD37" s="300"/>
      <c r="FE37" s="300"/>
      <c r="FF37" s="300"/>
      <c r="FG37" s="300"/>
      <c r="FH37" s="300"/>
      <c r="FI37" s="300"/>
      <c r="FJ37" s="300"/>
      <c r="FK37" s="300"/>
      <c r="FL37" s="300"/>
      <c r="FM37" s="303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I37" s="40"/>
    </row>
    <row r="38" spans="1:191" ht="11.4" customHeight="1" thickBo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7"/>
      <c r="BG38" s="257"/>
      <c r="BH38" s="257"/>
      <c r="BI38" s="257"/>
      <c r="BJ38" s="257"/>
      <c r="BK38" s="257"/>
      <c r="BL38" s="257"/>
      <c r="BM38" s="257"/>
      <c r="BN38" s="257"/>
      <c r="BO38" s="257"/>
      <c r="BP38" s="257"/>
      <c r="BQ38" s="257"/>
      <c r="BR38" s="257"/>
      <c r="BS38" s="257"/>
      <c r="BT38" s="257"/>
      <c r="BU38" s="257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54"/>
      <c r="CJ38" s="54"/>
      <c r="CK38" s="54"/>
      <c r="CL38" s="54"/>
      <c r="CM38" s="54"/>
      <c r="CN38" s="54"/>
      <c r="CO38" s="54"/>
      <c r="CP38" s="54"/>
      <c r="CQ38" s="54"/>
      <c r="CR38" s="257" t="s">
        <v>99</v>
      </c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  <c r="DI38" s="257"/>
      <c r="DJ38" s="257"/>
      <c r="DK38" s="257"/>
      <c r="DL38" s="257"/>
      <c r="DM38" s="257"/>
      <c r="DN38" s="257"/>
      <c r="DO38" s="257"/>
      <c r="DP38" s="257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326" t="s">
        <v>104</v>
      </c>
      <c r="EP38" s="327"/>
      <c r="EQ38" s="327"/>
      <c r="ER38" s="327"/>
      <c r="ES38" s="327"/>
      <c r="ET38" s="327"/>
      <c r="EU38" s="327"/>
      <c r="EV38" s="327"/>
      <c r="EW38" s="327"/>
      <c r="EX38" s="327"/>
      <c r="EY38" s="327"/>
      <c r="EZ38" s="327"/>
      <c r="FA38" s="327"/>
      <c r="FB38" s="328"/>
      <c r="FC38" s="329"/>
      <c r="FD38" s="330"/>
      <c r="FE38" s="330"/>
      <c r="FF38" s="330"/>
      <c r="FG38" s="330"/>
      <c r="FH38" s="330"/>
      <c r="FI38" s="330"/>
      <c r="FJ38" s="330"/>
      <c r="FK38" s="330"/>
      <c r="FL38" s="330"/>
      <c r="FM38" s="331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2"/>
    </row>
    <row r="39" spans="1:191" ht="15" thickTop="1" x14ac:dyDescent="0.3">
      <c r="A39" s="41" t="s">
        <v>105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346"/>
      <c r="AW39" s="346"/>
      <c r="AX39" s="346"/>
      <c r="AY39" s="346"/>
      <c r="AZ39" s="346"/>
      <c r="BA39" s="346"/>
      <c r="BB39" s="346"/>
      <c r="BC39" s="346"/>
      <c r="BD39" s="346"/>
      <c r="BE39" s="346"/>
      <c r="BF39" s="346"/>
      <c r="BG39" s="346"/>
      <c r="BH39" s="346"/>
      <c r="BI39" s="346"/>
      <c r="BJ39" s="346"/>
      <c r="BK39" s="346"/>
      <c r="BL39" s="346"/>
      <c r="BM39" s="346"/>
      <c r="BN39" s="346"/>
      <c r="BO39" s="346"/>
      <c r="BP39" s="346"/>
      <c r="BQ39" s="346"/>
      <c r="BR39" s="346"/>
      <c r="BS39" s="346"/>
      <c r="BT39" s="346"/>
      <c r="BU39" s="346"/>
      <c r="BV39" s="40"/>
      <c r="BW39" s="41" t="s">
        <v>106</v>
      </c>
      <c r="BX39" s="40"/>
      <c r="BY39" s="40"/>
      <c r="BZ39" s="40"/>
      <c r="CA39" s="40"/>
      <c r="CB39" s="40"/>
      <c r="CC39" s="40"/>
      <c r="CD39" s="40"/>
      <c r="CE39" s="297"/>
      <c r="CF39" s="297"/>
      <c r="CG39" s="297"/>
      <c r="CH39" s="297"/>
      <c r="CI39" s="297"/>
      <c r="CJ39" s="297"/>
      <c r="CK39" s="297"/>
      <c r="CL39" s="297"/>
      <c r="CM39" s="297"/>
      <c r="CN39" s="297"/>
      <c r="CO39" s="297"/>
      <c r="CP39" s="297"/>
      <c r="CQ39" s="297"/>
      <c r="CR39" s="297"/>
      <c r="CS39" s="297"/>
      <c r="CT39" s="297"/>
      <c r="CU39" s="297"/>
      <c r="CV39" s="40"/>
      <c r="CW39" s="40"/>
      <c r="CX39" s="55"/>
      <c r="CY39" s="347" t="s">
        <v>107</v>
      </c>
      <c r="CZ39" s="347"/>
      <c r="DA39" s="347"/>
      <c r="DB39" s="347"/>
      <c r="DC39" s="347"/>
      <c r="DD39" s="347"/>
      <c r="DE39" s="347"/>
      <c r="DF39" s="347"/>
      <c r="DG39" s="347"/>
      <c r="DH39" s="347"/>
      <c r="DI39" s="347"/>
      <c r="DJ39" s="347"/>
      <c r="DK39" s="347"/>
      <c r="DL39" s="347"/>
      <c r="DM39" s="347"/>
      <c r="DN39" s="347"/>
      <c r="DO39" s="347"/>
      <c r="DP39" s="347"/>
      <c r="DQ39" s="347"/>
      <c r="DR39" s="347"/>
      <c r="DS39" s="347"/>
      <c r="DT39" s="342"/>
      <c r="DU39" s="342"/>
      <c r="DV39" s="342"/>
      <c r="DW39" s="342"/>
      <c r="DX39" s="342"/>
      <c r="DY39" s="342"/>
      <c r="DZ39" s="342"/>
      <c r="EA39" s="342"/>
      <c r="EB39" s="342"/>
      <c r="EC39" s="342"/>
      <c r="ED39" s="342"/>
      <c r="EE39" s="342"/>
      <c r="EF39" s="342"/>
      <c r="EG39" s="342"/>
      <c r="EH39" s="342"/>
      <c r="EI39" s="342"/>
      <c r="EJ39" s="41"/>
      <c r="EK39" s="340" t="s">
        <v>108</v>
      </c>
      <c r="EL39" s="340"/>
      <c r="EM39" s="340"/>
      <c r="EN39" s="340"/>
      <c r="EO39" s="340"/>
      <c r="EP39" s="348"/>
      <c r="EQ39" s="348"/>
      <c r="ER39" s="348"/>
      <c r="ES39" s="348"/>
      <c r="ET39" s="348"/>
      <c r="EU39" s="339" t="s">
        <v>109</v>
      </c>
      <c r="EV39" s="339"/>
      <c r="EW39" s="339"/>
      <c r="EX39" s="341"/>
      <c r="EY39" s="341"/>
      <c r="EZ39" s="341"/>
      <c r="FA39" s="341"/>
      <c r="FB39" s="341"/>
      <c r="FC39" s="341"/>
      <c r="FD39" s="341"/>
      <c r="FE39" s="341"/>
      <c r="FF39" s="341"/>
      <c r="FG39" s="341"/>
      <c r="FH39" s="341"/>
      <c r="FI39" s="341"/>
      <c r="FJ39" s="341"/>
      <c r="FK39" s="341"/>
      <c r="FL39" s="341"/>
      <c r="FM39" s="341"/>
      <c r="FN39" s="341"/>
      <c r="FO39" s="341"/>
      <c r="FP39" s="341"/>
      <c r="FQ39" s="41"/>
      <c r="FR39" s="56"/>
      <c r="FS39" s="342"/>
      <c r="FT39" s="342"/>
      <c r="FU39" s="342"/>
      <c r="FV39" s="342"/>
      <c r="FW39" s="342"/>
      <c r="FX39" s="342"/>
      <c r="FY39" s="342"/>
      <c r="FZ39" s="342"/>
      <c r="GA39" s="344" t="s">
        <v>110</v>
      </c>
      <c r="GB39" s="344"/>
      <c r="GC39" s="344"/>
      <c r="GD39" s="344"/>
      <c r="GE39" s="40"/>
      <c r="GF39" s="40"/>
      <c r="GG39" s="40"/>
      <c r="GH39" s="40"/>
      <c r="GI39" s="42"/>
    </row>
    <row r="40" spans="1:191" x14ac:dyDescent="0.3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345" t="s">
        <v>99</v>
      </c>
      <c r="AW40" s="345"/>
      <c r="AX40" s="345"/>
      <c r="AY40" s="345"/>
      <c r="AZ40" s="345"/>
      <c r="BA40" s="345"/>
      <c r="BB40" s="345"/>
      <c r="BC40" s="345"/>
      <c r="BD40" s="345"/>
      <c r="BE40" s="345"/>
      <c r="BF40" s="345"/>
      <c r="BG40" s="345"/>
      <c r="BH40" s="345"/>
      <c r="BI40" s="345"/>
      <c r="BJ40" s="345"/>
      <c r="BK40" s="345"/>
      <c r="BL40" s="345"/>
      <c r="BM40" s="345"/>
      <c r="BN40" s="345"/>
      <c r="BO40" s="345"/>
      <c r="BP40" s="345"/>
      <c r="BQ40" s="345"/>
      <c r="BR40" s="345"/>
      <c r="BS40" s="345"/>
      <c r="BT40" s="345"/>
      <c r="BU40" s="345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55"/>
      <c r="CY40" s="347"/>
      <c r="CZ40" s="347"/>
      <c r="DA40" s="347"/>
      <c r="DB40" s="347"/>
      <c r="DC40" s="347"/>
      <c r="DD40" s="347"/>
      <c r="DE40" s="347"/>
      <c r="DF40" s="347"/>
      <c r="DG40" s="347"/>
      <c r="DH40" s="347"/>
      <c r="DI40" s="347"/>
      <c r="DJ40" s="347"/>
      <c r="DK40" s="347"/>
      <c r="DL40" s="347"/>
      <c r="DM40" s="347"/>
      <c r="DN40" s="347"/>
      <c r="DO40" s="347"/>
      <c r="DP40" s="347"/>
      <c r="DQ40" s="347"/>
      <c r="DR40" s="347"/>
      <c r="DS40" s="347"/>
      <c r="DT40" s="343"/>
      <c r="DU40" s="343"/>
      <c r="DV40" s="343"/>
      <c r="DW40" s="343"/>
      <c r="DX40" s="343"/>
      <c r="DY40" s="343"/>
      <c r="DZ40" s="343"/>
      <c r="EA40" s="343"/>
      <c r="EB40" s="343"/>
      <c r="EC40" s="343"/>
      <c r="ED40" s="343"/>
      <c r="EE40" s="343"/>
      <c r="EF40" s="343"/>
      <c r="EG40" s="343"/>
      <c r="EH40" s="343"/>
      <c r="EI40" s="343"/>
      <c r="EJ40" s="57"/>
      <c r="EK40" s="340"/>
      <c r="EL40" s="340"/>
      <c r="EM40" s="340"/>
      <c r="EN40" s="340"/>
      <c r="EO40" s="340"/>
      <c r="EP40" s="343"/>
      <c r="EQ40" s="343"/>
      <c r="ER40" s="343"/>
      <c r="ES40" s="343"/>
      <c r="ET40" s="343"/>
      <c r="EU40" s="340"/>
      <c r="EV40" s="340"/>
      <c r="EW40" s="340"/>
      <c r="EX40" s="297"/>
      <c r="EY40" s="297"/>
      <c r="EZ40" s="297"/>
      <c r="FA40" s="297"/>
      <c r="FB40" s="297"/>
      <c r="FC40" s="297"/>
      <c r="FD40" s="297"/>
      <c r="FE40" s="297"/>
      <c r="FF40" s="297"/>
      <c r="FG40" s="297"/>
      <c r="FH40" s="297"/>
      <c r="FI40" s="297"/>
      <c r="FJ40" s="297"/>
      <c r="FK40" s="297"/>
      <c r="FL40" s="297"/>
      <c r="FM40" s="297"/>
      <c r="FN40" s="297"/>
      <c r="FO40" s="297"/>
      <c r="FP40" s="297"/>
      <c r="FQ40" s="56"/>
      <c r="FR40" s="56"/>
      <c r="FS40" s="343"/>
      <c r="FT40" s="343"/>
      <c r="FU40" s="343"/>
      <c r="FV40" s="343"/>
      <c r="FW40" s="343"/>
      <c r="FX40" s="343"/>
      <c r="FY40" s="343"/>
      <c r="FZ40" s="343"/>
      <c r="GA40" s="344"/>
      <c r="GB40" s="344"/>
      <c r="GC40" s="344"/>
      <c r="GD40" s="344"/>
      <c r="GE40" s="40"/>
      <c r="GF40" s="40"/>
      <c r="GG40" s="40"/>
      <c r="GH40" s="40"/>
      <c r="GI40" s="42"/>
    </row>
    <row r="41" spans="1:191" x14ac:dyDescent="0.3">
      <c r="A41" s="41" t="s">
        <v>111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58"/>
      <c r="T41" s="58"/>
      <c r="U41" s="58"/>
      <c r="V41" s="58"/>
      <c r="W41" s="58"/>
      <c r="X41" s="58"/>
      <c r="Y41" s="58"/>
      <c r="Z41" s="58"/>
      <c r="AA41" s="58"/>
      <c r="AB41" s="297"/>
      <c r="AC41" s="297"/>
      <c r="AD41" s="297"/>
      <c r="AE41" s="297"/>
      <c r="AF41" s="297"/>
      <c r="AG41" s="297"/>
      <c r="AH41" s="297"/>
      <c r="AI41" s="297"/>
      <c r="AJ41" s="297"/>
      <c r="AK41" s="297"/>
      <c r="AL41" s="297"/>
      <c r="AM41" s="297"/>
      <c r="AN41" s="297"/>
      <c r="AO41" s="297"/>
      <c r="AP41" s="297"/>
      <c r="AQ41" s="297"/>
      <c r="AR41" s="297"/>
      <c r="AS41" s="297"/>
      <c r="AT41" s="297"/>
      <c r="AU41" s="297"/>
      <c r="AV41" s="297"/>
      <c r="AW41" s="297"/>
      <c r="AX41" s="297"/>
      <c r="AY41" s="297"/>
      <c r="AZ41" s="297"/>
      <c r="BA41" s="297"/>
      <c r="BB41" s="297"/>
      <c r="BC41" s="297"/>
      <c r="BD41" s="297"/>
      <c r="BE41" s="297"/>
      <c r="BF41" s="297"/>
      <c r="BG41" s="297"/>
      <c r="BH41" s="297"/>
      <c r="BI41" s="297"/>
      <c r="BJ41" s="297"/>
      <c r="BK41" s="297"/>
      <c r="BL41" s="297"/>
      <c r="BM41" s="297"/>
      <c r="BN41" s="297"/>
      <c r="BO41" s="297"/>
      <c r="BP41" s="297"/>
      <c r="BQ41" s="297"/>
      <c r="BR41" s="297"/>
      <c r="BS41" s="297"/>
      <c r="BT41" s="297"/>
      <c r="BU41" s="297"/>
      <c r="BV41" s="297"/>
      <c r="BW41" s="341" t="s">
        <v>112</v>
      </c>
      <c r="BX41" s="341"/>
      <c r="BY41" s="341"/>
      <c r="BZ41" s="341"/>
      <c r="CA41" s="341"/>
      <c r="CB41" s="341"/>
      <c r="CC41" s="297"/>
      <c r="CD41" s="297"/>
      <c r="CE41" s="297"/>
      <c r="CF41" s="297"/>
      <c r="CG41" s="297"/>
      <c r="CH41" s="297"/>
      <c r="CI41" s="297"/>
      <c r="CJ41" s="297"/>
      <c r="CK41" s="297"/>
      <c r="CL41" s="40"/>
      <c r="CM41" s="41" t="s">
        <v>113</v>
      </c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55"/>
      <c r="CY41" s="41" t="s">
        <v>114</v>
      </c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297"/>
      <c r="DK41" s="297"/>
      <c r="DL41" s="297"/>
      <c r="DM41" s="297"/>
      <c r="DN41" s="297"/>
      <c r="DO41" s="297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  <c r="DZ41" s="297"/>
      <c r="EA41" s="297"/>
      <c r="EB41" s="297"/>
      <c r="EC41" s="297"/>
      <c r="ED41" s="297"/>
      <c r="EE41" s="297"/>
      <c r="EF41" s="297"/>
      <c r="EG41" s="297"/>
      <c r="EH41" s="297"/>
      <c r="EI41" s="297"/>
      <c r="EJ41" s="297"/>
      <c r="EK41" s="297"/>
      <c r="EL41" s="297"/>
      <c r="EM41" s="297"/>
      <c r="EN41" s="297"/>
      <c r="EO41" s="297"/>
      <c r="EP41" s="297"/>
      <c r="EQ41" s="297"/>
      <c r="ER41" s="297"/>
      <c r="ES41" s="297"/>
      <c r="ET41" s="297"/>
      <c r="EU41" s="297"/>
      <c r="EV41" s="297"/>
      <c r="EW41" s="297"/>
      <c r="EX41" s="297"/>
      <c r="EY41" s="297"/>
      <c r="EZ41" s="297"/>
      <c r="FA41" s="297"/>
      <c r="FB41" s="297"/>
      <c r="FC41" s="297"/>
      <c r="FD41" s="297"/>
      <c r="FE41" s="297"/>
      <c r="FF41" s="297"/>
      <c r="FG41" s="297"/>
      <c r="FH41" s="297"/>
      <c r="FI41" s="297"/>
      <c r="FJ41" s="297"/>
      <c r="FK41" s="297"/>
      <c r="FL41" s="297"/>
      <c r="FM41" s="297"/>
      <c r="FN41" s="297"/>
      <c r="FO41" s="297"/>
      <c r="FP41" s="297"/>
      <c r="FQ41" s="297"/>
      <c r="FR41" s="297"/>
      <c r="FS41" s="297"/>
      <c r="FT41" s="297"/>
      <c r="FU41" s="297"/>
      <c r="FV41" s="297"/>
      <c r="FW41" s="297"/>
      <c r="FX41" s="297"/>
      <c r="FY41" s="297"/>
      <c r="FZ41" s="297"/>
      <c r="GA41" s="297"/>
      <c r="GB41" s="297"/>
      <c r="GC41" s="297"/>
      <c r="GD41" s="297"/>
      <c r="GE41" s="297"/>
      <c r="GF41" s="40"/>
      <c r="GG41" s="40"/>
      <c r="GH41" s="40"/>
      <c r="GI41" s="42"/>
    </row>
    <row r="42" spans="1:191" ht="7.95" customHeight="1" x14ac:dyDescent="0.3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345" t="s">
        <v>99</v>
      </c>
      <c r="AS42" s="345"/>
      <c r="AT42" s="345"/>
      <c r="AU42" s="345"/>
      <c r="AV42" s="345"/>
      <c r="AW42" s="345"/>
      <c r="AX42" s="345"/>
      <c r="AY42" s="345"/>
      <c r="AZ42" s="345"/>
      <c r="BA42" s="352" t="s">
        <v>115</v>
      </c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55"/>
      <c r="CY42" s="344" t="s">
        <v>116</v>
      </c>
      <c r="CZ42" s="344"/>
      <c r="DA42" s="344"/>
      <c r="DB42" s="344"/>
      <c r="DC42" s="344"/>
      <c r="DD42" s="344"/>
      <c r="DE42" s="344"/>
      <c r="DF42" s="344"/>
      <c r="DG42" s="344"/>
      <c r="DH42" s="344"/>
      <c r="DI42" s="344"/>
      <c r="DJ42" s="344"/>
      <c r="DK42" s="344"/>
      <c r="DL42" s="344"/>
      <c r="DM42" s="344"/>
      <c r="DN42" s="344"/>
      <c r="DO42" s="344"/>
      <c r="DP42" s="344"/>
      <c r="DQ42" s="344"/>
      <c r="DR42" s="344"/>
      <c r="DS42" s="344"/>
      <c r="DT42" s="344"/>
      <c r="DU42" s="344"/>
      <c r="DV42" s="344"/>
      <c r="DW42" s="344"/>
      <c r="DX42" s="344"/>
      <c r="DY42" s="344"/>
      <c r="DZ42" s="344"/>
      <c r="EA42" s="344"/>
      <c r="EB42" s="353" t="s">
        <v>117</v>
      </c>
      <c r="EC42" s="353"/>
      <c r="ED42" s="353"/>
      <c r="EE42" s="353"/>
      <c r="EF42" s="353"/>
      <c r="EG42" s="353"/>
      <c r="EH42" s="353"/>
      <c r="EI42" s="353"/>
      <c r="EJ42" s="353"/>
      <c r="EK42" s="353"/>
      <c r="EL42" s="353"/>
      <c r="EM42" s="353"/>
      <c r="EN42" s="353"/>
      <c r="EO42" s="353"/>
      <c r="EP42" s="353"/>
      <c r="EQ42" s="353"/>
      <c r="ER42" s="353"/>
      <c r="ES42" s="40"/>
      <c r="ET42" s="40"/>
      <c r="EU42" s="355"/>
      <c r="EV42" s="355"/>
      <c r="EW42" s="355"/>
      <c r="EX42" s="355"/>
      <c r="EY42" s="355"/>
      <c r="EZ42" s="355"/>
      <c r="FA42" s="355"/>
      <c r="FB42" s="356" t="s">
        <v>118</v>
      </c>
      <c r="FC42" s="355"/>
      <c r="FD42" s="355"/>
      <c r="FE42" s="355"/>
      <c r="FF42" s="355"/>
      <c r="FG42" s="40"/>
      <c r="FH42" s="40"/>
      <c r="FI42" s="357" t="s">
        <v>119</v>
      </c>
      <c r="FJ42" s="357"/>
      <c r="FK42" s="357"/>
      <c r="FL42" s="357"/>
      <c r="FM42" s="357"/>
      <c r="FN42" s="357"/>
      <c r="FO42" s="357"/>
      <c r="FP42" s="357"/>
      <c r="FQ42" s="357"/>
      <c r="FR42" s="357"/>
      <c r="FS42" s="357"/>
      <c r="FT42" s="357"/>
      <c r="FU42" s="357"/>
      <c r="FV42" s="357"/>
      <c r="FW42" s="357"/>
      <c r="FX42" s="357"/>
      <c r="FY42" s="357"/>
      <c r="FZ42" s="357"/>
      <c r="GA42" s="357"/>
      <c r="GB42" s="357"/>
      <c r="GC42" s="357"/>
      <c r="GD42" s="357"/>
      <c r="GE42" s="357"/>
      <c r="GF42" s="40"/>
      <c r="GG42" s="40"/>
      <c r="GH42" s="40"/>
      <c r="GI42" s="42"/>
    </row>
    <row r="43" spans="1:191" ht="7.95" customHeight="1" x14ac:dyDescent="0.3">
      <c r="A43" s="352" t="s">
        <v>120</v>
      </c>
      <c r="B43" s="352"/>
      <c r="C43" s="352"/>
      <c r="D43" s="352"/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257"/>
      <c r="AS43" s="257"/>
      <c r="AT43" s="257"/>
      <c r="AU43" s="257"/>
      <c r="AV43" s="257"/>
      <c r="AW43" s="257"/>
      <c r="AX43" s="257"/>
      <c r="AY43" s="257"/>
      <c r="AZ43" s="257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55"/>
      <c r="CY43" s="344"/>
      <c r="CZ43" s="344"/>
      <c r="DA43" s="344"/>
      <c r="DB43" s="344"/>
      <c r="DC43" s="344"/>
      <c r="DD43" s="344"/>
      <c r="DE43" s="344"/>
      <c r="DF43" s="344"/>
      <c r="DG43" s="344"/>
      <c r="DH43" s="344"/>
      <c r="DI43" s="344"/>
      <c r="DJ43" s="344"/>
      <c r="DK43" s="344"/>
      <c r="DL43" s="344"/>
      <c r="DM43" s="344"/>
      <c r="DN43" s="344"/>
      <c r="DO43" s="344"/>
      <c r="DP43" s="344"/>
      <c r="DQ43" s="344"/>
      <c r="DR43" s="344"/>
      <c r="DS43" s="344"/>
      <c r="DT43" s="344"/>
      <c r="DU43" s="344"/>
      <c r="DV43" s="344"/>
      <c r="DW43" s="344"/>
      <c r="DX43" s="344"/>
      <c r="DY43" s="344"/>
      <c r="DZ43" s="344"/>
      <c r="EA43" s="344"/>
      <c r="EB43" s="354"/>
      <c r="EC43" s="354"/>
      <c r="ED43" s="354"/>
      <c r="EE43" s="354"/>
      <c r="EF43" s="354"/>
      <c r="EG43" s="354"/>
      <c r="EH43" s="354"/>
      <c r="EI43" s="354"/>
      <c r="EJ43" s="354"/>
      <c r="EK43" s="354"/>
      <c r="EL43" s="354"/>
      <c r="EM43" s="354"/>
      <c r="EN43" s="354"/>
      <c r="EO43" s="354"/>
      <c r="EP43" s="354"/>
      <c r="EQ43" s="354"/>
      <c r="ER43" s="354"/>
      <c r="ES43" s="40"/>
      <c r="ET43" s="40"/>
      <c r="EU43" s="297"/>
      <c r="EV43" s="297"/>
      <c r="EW43" s="297"/>
      <c r="EX43" s="297"/>
      <c r="EY43" s="297"/>
      <c r="EZ43" s="297"/>
      <c r="FA43" s="297"/>
      <c r="FB43" s="297"/>
      <c r="FC43" s="297"/>
      <c r="FD43" s="297"/>
      <c r="FE43" s="297"/>
      <c r="FF43" s="297"/>
      <c r="FG43" s="40"/>
      <c r="FH43" s="40"/>
      <c r="FI43" s="349"/>
      <c r="FJ43" s="349"/>
      <c r="FK43" s="349"/>
      <c r="FL43" s="349"/>
      <c r="FM43" s="349"/>
      <c r="FN43" s="349"/>
      <c r="FO43" s="349"/>
      <c r="FP43" s="349"/>
      <c r="FQ43" s="349"/>
      <c r="FR43" s="349"/>
      <c r="FS43" s="349"/>
      <c r="FT43" s="349"/>
      <c r="FU43" s="349"/>
      <c r="FV43" s="349"/>
      <c r="FW43" s="349"/>
      <c r="FX43" s="349"/>
      <c r="FY43" s="349"/>
      <c r="FZ43" s="349"/>
      <c r="GA43" s="349"/>
      <c r="GB43" s="349"/>
      <c r="GC43" s="349"/>
      <c r="GD43" s="349"/>
      <c r="GE43" s="349"/>
      <c r="GF43" s="40"/>
      <c r="GG43" s="40"/>
      <c r="GH43" s="40"/>
      <c r="GI43" s="42"/>
    </row>
    <row r="44" spans="1:191" s="62" customFormat="1" ht="6.6" customHeight="1" x14ac:dyDescent="0.3">
      <c r="A44" s="352"/>
      <c r="B44" s="352"/>
      <c r="C44" s="352"/>
      <c r="D44" s="352"/>
      <c r="E44" s="352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352"/>
      <c r="T44" s="352"/>
      <c r="U44" s="352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45"/>
      <c r="BY44" s="45"/>
      <c r="BZ44" s="45"/>
      <c r="CA44" s="45"/>
      <c r="CB44" s="45"/>
      <c r="CC44" s="45"/>
      <c r="CD44" s="45"/>
      <c r="CE44" s="45"/>
      <c r="CF44" s="45"/>
      <c r="CG44" s="45"/>
      <c r="CH44" s="45"/>
      <c r="CI44" s="45"/>
      <c r="CJ44" s="45"/>
      <c r="CK44" s="45"/>
      <c r="CL44" s="45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60"/>
      <c r="CY44" s="45"/>
      <c r="CZ44" s="45"/>
      <c r="DA44" s="45"/>
      <c r="DB44" s="45"/>
      <c r="DC44" s="45"/>
      <c r="DD44" s="45"/>
      <c r="DE44" s="45"/>
      <c r="DF44" s="45"/>
      <c r="DG44" s="45"/>
      <c r="DH44" s="45"/>
      <c r="DI44" s="45"/>
      <c r="DJ44" s="45"/>
      <c r="DK44" s="45"/>
      <c r="DL44" s="45"/>
      <c r="DM44" s="45"/>
      <c r="DN44" s="45"/>
      <c r="DO44" s="45"/>
      <c r="DP44" s="45"/>
      <c r="DQ44" s="45"/>
      <c r="DR44" s="45"/>
      <c r="DS44" s="45"/>
      <c r="DT44" s="45"/>
      <c r="DU44" s="45"/>
      <c r="DV44" s="45"/>
      <c r="DW44" s="45"/>
      <c r="DX44" s="45"/>
      <c r="DY44" s="45"/>
      <c r="DZ44" s="45"/>
      <c r="EA44" s="45"/>
      <c r="EB44" s="234" t="s">
        <v>121</v>
      </c>
      <c r="EC44" s="234"/>
      <c r="ED44" s="234"/>
      <c r="EE44" s="234"/>
      <c r="EF44" s="234"/>
      <c r="EG44" s="234"/>
      <c r="EH44" s="234"/>
      <c r="EI44" s="234"/>
      <c r="EJ44" s="234"/>
      <c r="EK44" s="234"/>
      <c r="EL44" s="234"/>
      <c r="EM44" s="234"/>
      <c r="EN44" s="234"/>
      <c r="EO44" s="234"/>
      <c r="EP44" s="234"/>
      <c r="EQ44" s="234"/>
      <c r="ER44" s="234"/>
      <c r="ES44" s="45"/>
      <c r="ET44" s="45"/>
      <c r="EU44" s="234" t="s">
        <v>122</v>
      </c>
      <c r="EV44" s="234"/>
      <c r="EW44" s="234"/>
      <c r="EX44" s="234"/>
      <c r="EY44" s="234"/>
      <c r="EZ44" s="234"/>
      <c r="FA44" s="234"/>
      <c r="FB44" s="234"/>
      <c r="FC44" s="234"/>
      <c r="FD44" s="234"/>
      <c r="FE44" s="234"/>
      <c r="FF44" s="234"/>
      <c r="FG44" s="45"/>
      <c r="FH44" s="45"/>
      <c r="FI44" s="234"/>
      <c r="FJ44" s="234"/>
      <c r="FK44" s="234"/>
      <c r="FL44" s="234"/>
      <c r="FM44" s="234"/>
      <c r="FN44" s="234"/>
      <c r="FO44" s="234"/>
      <c r="FP44" s="234"/>
      <c r="FQ44" s="234"/>
      <c r="FR44" s="234"/>
      <c r="FS44" s="234"/>
      <c r="FT44" s="234"/>
      <c r="FU44" s="234"/>
      <c r="FV44" s="234"/>
      <c r="FW44" s="234"/>
      <c r="FX44" s="234"/>
      <c r="FY44" s="234"/>
      <c r="FZ44" s="234"/>
      <c r="GA44" s="234"/>
      <c r="GB44" s="234"/>
      <c r="GC44" s="234"/>
      <c r="GD44" s="234"/>
      <c r="GE44" s="234"/>
      <c r="GF44" s="45"/>
      <c r="GG44" s="45"/>
      <c r="GH44" s="45"/>
      <c r="GI44" s="61"/>
    </row>
    <row r="45" spans="1:191" x14ac:dyDescent="0.3">
      <c r="A45" s="349" t="s">
        <v>123</v>
      </c>
      <c r="B45" s="349"/>
      <c r="C45" s="349"/>
      <c r="D45" s="349"/>
      <c r="E45" s="349"/>
      <c r="F45" s="349"/>
      <c r="G45" s="349"/>
      <c r="H45" s="349"/>
      <c r="I45" s="349"/>
      <c r="J45" s="349"/>
      <c r="K45" s="349"/>
      <c r="L45" s="349"/>
      <c r="M45" s="349"/>
      <c r="N45" s="349"/>
      <c r="O45" s="349"/>
      <c r="P45" s="349"/>
      <c r="Q45" s="349"/>
      <c r="R45" s="349"/>
      <c r="S45" s="349"/>
      <c r="T45" s="349"/>
      <c r="U45" s="349"/>
      <c r="V45" s="349"/>
      <c r="W45" s="349"/>
      <c r="X45" s="63"/>
      <c r="Y45" s="350"/>
      <c r="Z45" s="350"/>
      <c r="AA45" s="350"/>
      <c r="AB45" s="350"/>
      <c r="AC45" s="350"/>
      <c r="AD45" s="350"/>
      <c r="AE45" s="350"/>
      <c r="AF45" s="63"/>
      <c r="AG45" s="349" t="s">
        <v>124</v>
      </c>
      <c r="AH45" s="349"/>
      <c r="AI45" s="349"/>
      <c r="AJ45" s="349"/>
      <c r="AK45" s="349"/>
      <c r="AL45" s="349"/>
      <c r="AM45" s="349"/>
      <c r="AN45" s="349"/>
      <c r="AO45" s="349"/>
      <c r="AP45" s="349"/>
      <c r="AQ45" s="349"/>
      <c r="AR45" s="349"/>
      <c r="AS45" s="349"/>
      <c r="AT45" s="349"/>
      <c r="AU45" s="349"/>
      <c r="AV45" s="349"/>
      <c r="AW45" s="349"/>
      <c r="AX45" s="349"/>
      <c r="AY45" s="64"/>
      <c r="AZ45" s="40"/>
      <c r="BA45" s="65" t="s">
        <v>125</v>
      </c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40"/>
      <c r="BM45" s="40"/>
      <c r="BN45" s="40"/>
      <c r="BO45" s="40"/>
      <c r="BP45" s="40"/>
      <c r="BQ45" s="351"/>
      <c r="BR45" s="351"/>
      <c r="BS45" s="351"/>
      <c r="BT45" s="351"/>
      <c r="BU45" s="351"/>
      <c r="BV45" s="351"/>
      <c r="BW45" s="351"/>
      <c r="BX45" s="351"/>
      <c r="BY45" s="351"/>
      <c r="BZ45" s="351"/>
      <c r="CA45" s="40"/>
      <c r="CB45" s="40"/>
      <c r="CC45" s="297"/>
      <c r="CD45" s="297"/>
      <c r="CE45" s="297"/>
      <c r="CF45" s="297"/>
      <c r="CG45" s="297"/>
      <c r="CH45" s="297"/>
      <c r="CI45" s="297"/>
      <c r="CJ45" s="297"/>
      <c r="CK45" s="297"/>
      <c r="CL45" s="297"/>
      <c r="CM45" s="297"/>
      <c r="CN45" s="297"/>
      <c r="CO45" s="297"/>
      <c r="CP45" s="297"/>
      <c r="CQ45" s="297"/>
      <c r="CR45" s="297"/>
      <c r="CS45" s="297"/>
      <c r="CT45" s="297"/>
      <c r="CU45" s="297"/>
      <c r="CV45" s="40"/>
      <c r="CW45" s="40"/>
      <c r="CX45" s="55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2"/>
    </row>
    <row r="46" spans="1:191" s="62" customFormat="1" ht="7.2" customHeight="1" x14ac:dyDescent="0.3">
      <c r="A46" s="358" t="s">
        <v>121</v>
      </c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  <c r="M46" s="358"/>
      <c r="N46" s="358"/>
      <c r="O46" s="358"/>
      <c r="P46" s="358"/>
      <c r="Q46" s="358"/>
      <c r="R46" s="358"/>
      <c r="S46" s="358"/>
      <c r="T46" s="358"/>
      <c r="U46" s="358"/>
      <c r="V46" s="358"/>
      <c r="W46" s="358"/>
      <c r="X46" s="67"/>
      <c r="Y46" s="358" t="s">
        <v>122</v>
      </c>
      <c r="Z46" s="358"/>
      <c r="AA46" s="358"/>
      <c r="AB46" s="358"/>
      <c r="AC46" s="358"/>
      <c r="AD46" s="358"/>
      <c r="AE46" s="358"/>
      <c r="AF46" s="67"/>
      <c r="AG46" s="358" t="s">
        <v>126</v>
      </c>
      <c r="AH46" s="358"/>
      <c r="AI46" s="358"/>
      <c r="AJ46" s="358"/>
      <c r="AK46" s="358"/>
      <c r="AL46" s="358"/>
      <c r="AM46" s="358"/>
      <c r="AN46" s="358"/>
      <c r="AO46" s="358"/>
      <c r="AP46" s="358"/>
      <c r="AQ46" s="358"/>
      <c r="AR46" s="358"/>
      <c r="AS46" s="358"/>
      <c r="AT46" s="358"/>
      <c r="AU46" s="358"/>
      <c r="AV46" s="358"/>
      <c r="AW46" s="358"/>
      <c r="AX46" s="358"/>
      <c r="AY46" s="68"/>
      <c r="AZ46" s="45"/>
      <c r="BA46" s="45"/>
      <c r="BB46" s="45"/>
      <c r="BC46" s="45"/>
      <c r="BD46" s="45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234" t="s">
        <v>122</v>
      </c>
      <c r="BR46" s="234"/>
      <c r="BS46" s="234"/>
      <c r="BT46" s="234"/>
      <c r="BU46" s="234"/>
      <c r="BV46" s="234"/>
      <c r="BW46" s="234"/>
      <c r="BX46" s="234"/>
      <c r="BY46" s="234"/>
      <c r="BZ46" s="234"/>
      <c r="CA46" s="70"/>
      <c r="CB46" s="70"/>
      <c r="CC46" s="234" t="s">
        <v>126</v>
      </c>
      <c r="CD46" s="234"/>
      <c r="CE46" s="234"/>
      <c r="CF46" s="234"/>
      <c r="CG46" s="234"/>
      <c r="CH46" s="234"/>
      <c r="CI46" s="234"/>
      <c r="CJ46" s="234"/>
      <c r="CK46" s="234"/>
      <c r="CL46" s="234"/>
      <c r="CM46" s="234"/>
      <c r="CN46" s="234"/>
      <c r="CO46" s="234"/>
      <c r="CP46" s="234"/>
      <c r="CQ46" s="234"/>
      <c r="CR46" s="234"/>
      <c r="CS46" s="234"/>
      <c r="CT46" s="234"/>
      <c r="CU46" s="234"/>
      <c r="CV46" s="45"/>
      <c r="CW46" s="45"/>
      <c r="CX46" s="60"/>
      <c r="CY46" s="344" t="s">
        <v>127</v>
      </c>
      <c r="CZ46" s="344"/>
      <c r="DA46" s="344"/>
      <c r="DB46" s="344"/>
      <c r="DC46" s="344"/>
      <c r="DD46" s="344"/>
      <c r="DE46" s="344"/>
      <c r="DF46" s="344"/>
      <c r="DG46" s="344"/>
      <c r="DH46" s="344"/>
      <c r="DI46" s="344"/>
      <c r="DJ46" s="344"/>
      <c r="DK46" s="344"/>
      <c r="DL46" s="344"/>
      <c r="DM46" s="344"/>
      <c r="DN46" s="344"/>
      <c r="DO46" s="344"/>
      <c r="DP46" s="344"/>
      <c r="DQ46" s="344"/>
      <c r="DR46" s="344"/>
      <c r="DS46" s="344"/>
      <c r="DT46" s="344"/>
      <c r="DU46" s="344"/>
      <c r="DV46" s="344"/>
      <c r="DW46" s="344"/>
      <c r="DX46" s="344"/>
      <c r="DY46" s="344"/>
      <c r="DZ46" s="344"/>
      <c r="EA46" s="344"/>
      <c r="EB46" s="344"/>
      <c r="EC46" s="344"/>
      <c r="ED46" s="344"/>
      <c r="EE46" s="344"/>
      <c r="EF46" s="344"/>
      <c r="EG46" s="344"/>
      <c r="EH46" s="344"/>
      <c r="EI46" s="344"/>
      <c r="EJ46" s="344"/>
      <c r="EK46" s="344"/>
      <c r="EL46" s="344"/>
      <c r="EM46" s="344"/>
      <c r="EN46" s="344"/>
      <c r="EO46" s="344"/>
      <c r="EP46" s="344"/>
      <c r="EQ46" s="344"/>
      <c r="ER46" s="344"/>
      <c r="ES46" s="344"/>
      <c r="ET46" s="344"/>
      <c r="EU46" s="344"/>
      <c r="EV46" s="344"/>
      <c r="EW46" s="344"/>
      <c r="EX46" s="344"/>
      <c r="EY46" s="344"/>
      <c r="EZ46" s="344"/>
      <c r="FA46" s="344"/>
      <c r="FB46" s="344"/>
      <c r="FC46" s="344"/>
      <c r="FD46" s="344"/>
      <c r="FE46" s="344"/>
      <c r="FF46" s="344"/>
      <c r="FG46" s="344"/>
      <c r="FH46" s="344"/>
      <c r="FI46" s="45"/>
      <c r="FJ46" s="45"/>
      <c r="FK46" s="45"/>
      <c r="FL46" s="45"/>
      <c r="FM46" s="45"/>
      <c r="FN46" s="45"/>
      <c r="FO46" s="45"/>
      <c r="FP46" s="45"/>
      <c r="FQ46" s="45"/>
      <c r="FR46" s="45"/>
      <c r="FS46" s="45"/>
      <c r="FT46" s="45"/>
      <c r="FU46" s="45"/>
      <c r="FV46" s="45"/>
      <c r="FW46" s="45"/>
      <c r="FX46" s="45"/>
      <c r="FY46" s="45"/>
      <c r="FZ46" s="45"/>
      <c r="GA46" s="45"/>
      <c r="GB46" s="45"/>
      <c r="GC46" s="45"/>
      <c r="GD46" s="45"/>
      <c r="GE46" s="45"/>
      <c r="GF46" s="45"/>
      <c r="GG46" s="45"/>
      <c r="GH46" s="45"/>
      <c r="GI46" s="61"/>
    </row>
    <row r="47" spans="1:191" ht="12.6" customHeight="1" x14ac:dyDescent="0.3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55"/>
      <c r="CY47" s="344"/>
      <c r="CZ47" s="344"/>
      <c r="DA47" s="344"/>
      <c r="DB47" s="344"/>
      <c r="DC47" s="344"/>
      <c r="DD47" s="344"/>
      <c r="DE47" s="344"/>
      <c r="DF47" s="344"/>
      <c r="DG47" s="344"/>
      <c r="DH47" s="344"/>
      <c r="DI47" s="344"/>
      <c r="DJ47" s="344"/>
      <c r="DK47" s="344"/>
      <c r="DL47" s="344"/>
      <c r="DM47" s="344"/>
      <c r="DN47" s="344"/>
      <c r="DO47" s="344"/>
      <c r="DP47" s="344"/>
      <c r="DQ47" s="344"/>
      <c r="DR47" s="344"/>
      <c r="DS47" s="344"/>
      <c r="DT47" s="344"/>
      <c r="DU47" s="344"/>
      <c r="DV47" s="344"/>
      <c r="DW47" s="344"/>
      <c r="DX47" s="344"/>
      <c r="DY47" s="344"/>
      <c r="DZ47" s="344"/>
      <c r="EA47" s="344"/>
      <c r="EB47" s="344"/>
      <c r="EC47" s="344"/>
      <c r="ED47" s="344"/>
      <c r="EE47" s="344"/>
      <c r="EF47" s="344"/>
      <c r="EG47" s="344"/>
      <c r="EH47" s="344"/>
      <c r="EI47" s="344"/>
      <c r="EJ47" s="344"/>
      <c r="EK47" s="344"/>
      <c r="EL47" s="344"/>
      <c r="EM47" s="344"/>
      <c r="EN47" s="344"/>
      <c r="EO47" s="344"/>
      <c r="EP47" s="344"/>
      <c r="EQ47" s="344"/>
      <c r="ER47" s="344"/>
      <c r="ES47" s="344"/>
      <c r="ET47" s="344"/>
      <c r="EU47" s="344"/>
      <c r="EV47" s="344"/>
      <c r="EW47" s="344"/>
      <c r="EX47" s="344"/>
      <c r="EY47" s="344"/>
      <c r="EZ47" s="344"/>
      <c r="FA47" s="344"/>
      <c r="FB47" s="344"/>
      <c r="FC47" s="344"/>
      <c r="FD47" s="344"/>
      <c r="FE47" s="344"/>
      <c r="FF47" s="344"/>
      <c r="FG47" s="344"/>
      <c r="FH47" s="344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2"/>
    </row>
    <row r="48" spans="1:191" x14ac:dyDescent="0.3">
      <c r="A48" s="72" t="s">
        <v>128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349" t="s">
        <v>129</v>
      </c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40"/>
      <c r="BA48" s="40"/>
      <c r="BB48" s="350"/>
      <c r="BC48" s="350"/>
      <c r="BD48" s="350"/>
      <c r="BE48" s="350"/>
      <c r="BF48" s="350"/>
      <c r="BG48" s="350"/>
      <c r="BH48" s="350"/>
      <c r="BI48" s="350"/>
      <c r="BJ48" s="350"/>
      <c r="BK48" s="350"/>
      <c r="BL48" s="350"/>
      <c r="BM48" s="350"/>
      <c r="BN48" s="350"/>
      <c r="BO48" s="350"/>
      <c r="BP48" s="40"/>
      <c r="BQ48" s="40"/>
      <c r="BR48" s="349" t="s">
        <v>130</v>
      </c>
      <c r="BS48" s="349"/>
      <c r="BT48" s="349"/>
      <c r="BU48" s="349"/>
      <c r="BV48" s="349"/>
      <c r="BW48" s="349"/>
      <c r="BX48" s="349"/>
      <c r="BY48" s="349"/>
      <c r="BZ48" s="349"/>
      <c r="CA48" s="349"/>
      <c r="CB48" s="349"/>
      <c r="CC48" s="349"/>
      <c r="CD48" s="349"/>
      <c r="CE48" s="349"/>
      <c r="CF48" s="349"/>
      <c r="CG48" s="349"/>
      <c r="CH48" s="349"/>
      <c r="CI48" s="349"/>
      <c r="CJ48" s="349"/>
      <c r="CK48" s="349"/>
      <c r="CL48" s="349"/>
      <c r="CM48" s="349"/>
      <c r="CN48" s="349"/>
      <c r="CO48" s="349"/>
      <c r="CP48" s="349"/>
      <c r="CQ48" s="349"/>
      <c r="CR48" s="40"/>
      <c r="CS48" s="40"/>
      <c r="CT48" s="40"/>
      <c r="CU48" s="40"/>
      <c r="CV48" s="40"/>
      <c r="CW48" s="40"/>
      <c r="CX48" s="73"/>
      <c r="CY48" s="363"/>
      <c r="CZ48" s="363"/>
      <c r="DA48" s="363"/>
      <c r="DB48" s="363"/>
      <c r="DC48" s="363"/>
      <c r="DD48" s="363"/>
      <c r="DE48" s="363"/>
      <c r="DF48" s="363"/>
      <c r="DG48" s="363"/>
      <c r="DH48" s="363"/>
      <c r="DI48" s="363"/>
      <c r="DJ48" s="363"/>
      <c r="DK48" s="363"/>
      <c r="DL48" s="363"/>
      <c r="DM48" s="363"/>
      <c r="DN48" s="363"/>
      <c r="DO48" s="363"/>
      <c r="DP48" s="363"/>
      <c r="DQ48" s="363"/>
      <c r="DR48" s="363"/>
      <c r="DS48" s="363"/>
      <c r="DT48" s="363"/>
      <c r="DU48" s="363"/>
      <c r="DV48" s="363"/>
      <c r="DW48" s="363"/>
      <c r="DX48" s="363"/>
      <c r="DY48" s="363"/>
      <c r="DZ48" s="363"/>
      <c r="EA48" s="363"/>
      <c r="EB48" s="363"/>
      <c r="EC48" s="363"/>
      <c r="ED48" s="363"/>
      <c r="EE48" s="363"/>
      <c r="EF48" s="363"/>
      <c r="EG48" s="363"/>
      <c r="EH48" s="363"/>
      <c r="EI48" s="363"/>
      <c r="EJ48" s="363"/>
      <c r="EK48" s="363"/>
      <c r="EL48" s="363"/>
      <c r="EM48" s="363"/>
      <c r="EN48" s="363"/>
      <c r="EO48" s="363"/>
      <c r="EP48" s="363"/>
      <c r="EQ48" s="363"/>
      <c r="ER48" s="363"/>
      <c r="ES48" s="363"/>
      <c r="ET48" s="363"/>
      <c r="EU48" s="363"/>
      <c r="EV48" s="363"/>
      <c r="EW48" s="363"/>
      <c r="EX48" s="363"/>
      <c r="EY48" s="363"/>
      <c r="EZ48" s="363"/>
      <c r="FA48" s="363"/>
      <c r="FB48" s="363"/>
      <c r="FC48" s="363"/>
      <c r="FD48" s="363"/>
      <c r="FE48" s="363"/>
      <c r="FF48" s="363"/>
      <c r="FG48" s="363"/>
      <c r="FH48" s="363"/>
      <c r="FI48" s="363"/>
      <c r="FJ48" s="363"/>
      <c r="FK48" s="363"/>
      <c r="FL48" s="363"/>
      <c r="FM48" s="363"/>
      <c r="FN48" s="363"/>
      <c r="FO48" s="363"/>
      <c r="FP48" s="363"/>
      <c r="FQ48" s="363"/>
      <c r="FR48" s="363"/>
      <c r="FS48" s="363"/>
      <c r="FT48" s="363"/>
      <c r="FU48" s="363"/>
      <c r="FV48" s="363"/>
      <c r="FW48" s="363"/>
      <c r="FX48" s="363"/>
      <c r="FY48" s="363"/>
      <c r="FZ48" s="363"/>
      <c r="GA48" s="363"/>
      <c r="GB48" s="363"/>
      <c r="GC48" s="363"/>
      <c r="GD48" s="363"/>
      <c r="GE48" s="363"/>
      <c r="GF48" s="40"/>
      <c r="GG48" s="40"/>
      <c r="GH48" s="40"/>
      <c r="GI48" s="42"/>
    </row>
    <row r="49" spans="1:191" s="33" customFormat="1" ht="7.2" customHeight="1" x14ac:dyDescent="0.3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234" t="s">
        <v>121</v>
      </c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4"/>
      <c r="AT49" s="234"/>
      <c r="AU49" s="234"/>
      <c r="AV49" s="234"/>
      <c r="AW49" s="234"/>
      <c r="AX49" s="234"/>
      <c r="AY49" s="234"/>
      <c r="AZ49" s="49"/>
      <c r="BA49" s="49"/>
      <c r="BB49" s="234" t="s">
        <v>122</v>
      </c>
      <c r="BC49" s="234"/>
      <c r="BD49" s="234"/>
      <c r="BE49" s="234"/>
      <c r="BF49" s="234"/>
      <c r="BG49" s="234"/>
      <c r="BH49" s="234"/>
      <c r="BI49" s="234"/>
      <c r="BJ49" s="234"/>
      <c r="BK49" s="234"/>
      <c r="BL49" s="234"/>
      <c r="BM49" s="234"/>
      <c r="BN49" s="234"/>
      <c r="BO49" s="234"/>
      <c r="BP49" s="70"/>
      <c r="BQ49" s="70"/>
      <c r="BR49" s="234" t="s">
        <v>126</v>
      </c>
      <c r="BS49" s="234"/>
      <c r="BT49" s="234"/>
      <c r="BU49" s="234"/>
      <c r="BV49" s="234"/>
      <c r="BW49" s="234"/>
      <c r="BX49" s="234"/>
      <c r="BY49" s="234"/>
      <c r="BZ49" s="234"/>
      <c r="CA49" s="234"/>
      <c r="CB49" s="234"/>
      <c r="CC49" s="234"/>
      <c r="CD49" s="234"/>
      <c r="CE49" s="234"/>
      <c r="CF49" s="234"/>
      <c r="CG49" s="234"/>
      <c r="CH49" s="234"/>
      <c r="CI49" s="234"/>
      <c r="CJ49" s="234"/>
      <c r="CK49" s="234"/>
      <c r="CL49" s="234"/>
      <c r="CM49" s="234"/>
      <c r="CN49" s="234"/>
      <c r="CO49" s="234"/>
      <c r="CP49" s="234"/>
      <c r="CQ49" s="234"/>
      <c r="CR49" s="49"/>
      <c r="CS49" s="49"/>
      <c r="CT49" s="49"/>
      <c r="CU49" s="49"/>
      <c r="CV49" s="49"/>
      <c r="CW49" s="49"/>
      <c r="CX49" s="74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 s="49"/>
      <c r="DQ49" s="49"/>
      <c r="DR49" s="49"/>
      <c r="DS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75"/>
    </row>
    <row r="50" spans="1:191" x14ac:dyDescent="0.3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76" t="s">
        <v>131</v>
      </c>
      <c r="AT50" s="41"/>
      <c r="AU50" s="41"/>
      <c r="AV50" s="41"/>
      <c r="AW50" s="41"/>
      <c r="AX50" s="41"/>
      <c r="AY50" s="41"/>
      <c r="AZ50" s="41"/>
      <c r="BA50" s="41"/>
      <c r="BB50" s="41"/>
      <c r="BC50" s="41" t="s">
        <v>132</v>
      </c>
      <c r="BD50" s="41"/>
      <c r="BE50" s="359" t="str">
        <f>FM7</f>
        <v>01</v>
      </c>
      <c r="BF50" s="349"/>
      <c r="BG50" s="349"/>
      <c r="BH50" s="349"/>
      <c r="BI50" s="349"/>
      <c r="BJ50" s="57" t="s">
        <v>109</v>
      </c>
      <c r="BK50" s="57"/>
      <c r="BL50" s="57"/>
      <c r="BM50" s="349" t="str">
        <f>VLOOKUP(FS7,$GJ$112:$GK$123,2,FALSE)</f>
        <v>августа</v>
      </c>
      <c r="BN50" s="349"/>
      <c r="BO50" s="349"/>
      <c r="BP50" s="349"/>
      <c r="BQ50" s="349"/>
      <c r="BR50" s="349"/>
      <c r="BS50" s="349"/>
      <c r="BT50" s="349"/>
      <c r="BU50" s="349"/>
      <c r="BV50" s="349"/>
      <c r="BW50" s="349"/>
      <c r="BX50" s="349"/>
      <c r="BY50" s="349"/>
      <c r="BZ50" s="349"/>
      <c r="CA50" s="349"/>
      <c r="CB50" s="349"/>
      <c r="CC50" s="349"/>
      <c r="CD50" s="349"/>
      <c r="CE50" s="56"/>
      <c r="CF50" s="56"/>
      <c r="CG50" s="360" t="str">
        <f>FZ7</f>
        <v>2023</v>
      </c>
      <c r="CH50" s="361"/>
      <c r="CI50" s="361"/>
      <c r="CJ50" s="361"/>
      <c r="CK50" s="361"/>
      <c r="CL50" s="361"/>
      <c r="CM50" s="361"/>
      <c r="CN50" s="56"/>
      <c r="CO50" s="41" t="s">
        <v>133</v>
      </c>
      <c r="CP50" s="77"/>
      <c r="CQ50" s="40"/>
      <c r="CR50" s="40"/>
      <c r="CS50" s="40"/>
      <c r="CT50" s="40"/>
      <c r="CU50" s="40"/>
      <c r="CV50" s="40"/>
      <c r="CW50" s="40"/>
      <c r="CX50" s="55"/>
      <c r="CY50" s="41" t="s">
        <v>134</v>
      </c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362"/>
      <c r="EE50" s="362"/>
      <c r="EF50" s="362"/>
      <c r="EG50" s="362"/>
      <c r="EH50" s="362"/>
      <c r="EI50" s="362"/>
      <c r="EJ50" s="362"/>
      <c r="EK50" s="362"/>
      <c r="EL50" s="362"/>
      <c r="EM50" s="362"/>
      <c r="EN50" s="362"/>
      <c r="EO50" s="362"/>
      <c r="EP50" s="362"/>
      <c r="EQ50" s="362"/>
      <c r="ER50" s="362"/>
      <c r="ES50" s="362"/>
      <c r="ET50" s="40"/>
      <c r="EU50" s="40"/>
      <c r="EV50" s="362"/>
      <c r="EW50" s="362"/>
      <c r="EX50" s="362"/>
      <c r="EY50" s="362"/>
      <c r="EZ50" s="362"/>
      <c r="FA50" s="362"/>
      <c r="FB50" s="362"/>
      <c r="FC50" s="362"/>
      <c r="FD50" s="362"/>
      <c r="FE50" s="362"/>
      <c r="FF50" s="362"/>
      <c r="FG50" s="40"/>
      <c r="FH50" s="40"/>
      <c r="FI50" s="362"/>
      <c r="FJ50" s="362"/>
      <c r="FK50" s="362"/>
      <c r="FL50" s="362"/>
      <c r="FM50" s="362"/>
      <c r="FN50" s="362"/>
      <c r="FO50" s="362"/>
      <c r="FP50" s="362"/>
      <c r="FQ50" s="362"/>
      <c r="FR50" s="362"/>
      <c r="FS50" s="362"/>
      <c r="FT50" s="362"/>
      <c r="FU50" s="362"/>
      <c r="FV50" s="362"/>
      <c r="FW50" s="362"/>
      <c r="FX50" s="362"/>
      <c r="FY50" s="362"/>
      <c r="FZ50" s="362"/>
      <c r="GA50" s="362"/>
      <c r="GB50" s="362"/>
      <c r="GC50" s="362"/>
      <c r="GD50" s="362"/>
      <c r="GE50" s="362"/>
      <c r="GF50" s="40"/>
      <c r="GG50" s="40"/>
      <c r="GH50" s="40"/>
      <c r="GI50" s="42"/>
    </row>
    <row r="51" spans="1:191" ht="7.2" customHeight="1" x14ac:dyDescent="0.3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1"/>
      <c r="CS51" s="41"/>
      <c r="CT51" s="40"/>
      <c r="CU51" s="40"/>
      <c r="CV51" s="40"/>
      <c r="CW51" s="40"/>
      <c r="CX51" s="55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316" t="s">
        <v>121</v>
      </c>
      <c r="EE51" s="316"/>
      <c r="EF51" s="316"/>
      <c r="EG51" s="316"/>
      <c r="EH51" s="316"/>
      <c r="EI51" s="316"/>
      <c r="EJ51" s="316"/>
      <c r="EK51" s="316"/>
      <c r="EL51" s="316"/>
      <c r="EM51" s="316"/>
      <c r="EN51" s="316"/>
      <c r="EO51" s="316"/>
      <c r="EP51" s="316"/>
      <c r="EQ51" s="316"/>
      <c r="ER51" s="316"/>
      <c r="ES51" s="316"/>
      <c r="ET51" s="40"/>
      <c r="EU51" s="40"/>
      <c r="EV51" s="316" t="s">
        <v>122</v>
      </c>
      <c r="EW51" s="316"/>
      <c r="EX51" s="316"/>
      <c r="EY51" s="316"/>
      <c r="EZ51" s="316"/>
      <c r="FA51" s="316"/>
      <c r="FB51" s="316"/>
      <c r="FC51" s="316"/>
      <c r="FD51" s="316"/>
      <c r="FE51" s="316"/>
      <c r="FF51" s="316"/>
      <c r="FG51" s="40"/>
      <c r="FH51" s="40"/>
      <c r="FI51" s="316" t="s">
        <v>126</v>
      </c>
      <c r="FJ51" s="316"/>
      <c r="FK51" s="316"/>
      <c r="FL51" s="316"/>
      <c r="FM51" s="316"/>
      <c r="FN51" s="316"/>
      <c r="FO51" s="316"/>
      <c r="FP51" s="316"/>
      <c r="FQ51" s="316"/>
      <c r="FR51" s="316"/>
      <c r="FS51" s="316"/>
      <c r="FT51" s="316"/>
      <c r="FU51" s="316"/>
      <c r="FV51" s="316"/>
      <c r="FW51" s="316"/>
      <c r="FX51" s="316"/>
      <c r="FY51" s="316"/>
      <c r="FZ51" s="316"/>
      <c r="GA51" s="316"/>
      <c r="GB51" s="316"/>
      <c r="GC51" s="316"/>
      <c r="GD51" s="316"/>
      <c r="GE51" s="316"/>
      <c r="GF51" s="40"/>
      <c r="GG51" s="40"/>
      <c r="GH51" s="40"/>
      <c r="GI51" s="42"/>
    </row>
    <row r="52" spans="1:191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</row>
    <row r="53" spans="1:191" ht="15" thickBot="1" x14ac:dyDescent="0.35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372" t="s">
        <v>135</v>
      </c>
      <c r="BY53" s="372"/>
      <c r="BZ53" s="372"/>
      <c r="CA53" s="372"/>
      <c r="CB53" s="372"/>
      <c r="CC53" s="372"/>
      <c r="CD53" s="372"/>
      <c r="CE53" s="372"/>
      <c r="CF53" s="372"/>
      <c r="CG53" s="372"/>
      <c r="CH53" s="372"/>
      <c r="CI53" s="372"/>
      <c r="CJ53" s="372"/>
      <c r="CK53" s="372"/>
      <c r="CL53" s="372"/>
      <c r="CM53" s="372"/>
      <c r="CN53" s="372"/>
      <c r="CO53" s="372"/>
      <c r="CP53" s="372"/>
      <c r="CQ53" s="372"/>
      <c r="CR53" s="372"/>
      <c r="CS53" s="372"/>
      <c r="CT53" s="372"/>
      <c r="CU53" s="372"/>
      <c r="CV53" s="372"/>
      <c r="CW53" s="372"/>
      <c r="CX53" s="372"/>
      <c r="CY53" s="372"/>
      <c r="CZ53" s="372"/>
      <c r="DA53" s="372"/>
      <c r="DB53" s="372"/>
      <c r="DC53" s="372"/>
      <c r="DD53" s="372"/>
      <c r="DE53" s="78"/>
      <c r="DF53" s="78"/>
      <c r="DG53" s="78"/>
      <c r="DH53" s="78"/>
      <c r="DI53" s="78"/>
      <c r="DJ53" s="78"/>
      <c r="DK53" s="78"/>
      <c r="DL53" s="78"/>
      <c r="DM53" s="78"/>
      <c r="DN53" s="78"/>
      <c r="DO53" s="78"/>
      <c r="DP53" s="78"/>
      <c r="DQ53" s="78"/>
      <c r="DR53" s="78"/>
      <c r="DS53" s="78"/>
      <c r="DT53" s="78"/>
      <c r="DU53" s="78"/>
      <c r="DV53" s="78"/>
      <c r="DW53" s="78"/>
      <c r="DX53" s="78"/>
      <c r="DY53" s="78"/>
      <c r="DZ53" s="78"/>
      <c r="EA53" s="78"/>
      <c r="EB53" s="78"/>
      <c r="EC53" s="78"/>
      <c r="ED53" s="78"/>
      <c r="EE53" s="78"/>
      <c r="EF53" s="78"/>
      <c r="EG53" s="78"/>
      <c r="EH53" s="78"/>
      <c r="EI53" s="78"/>
      <c r="EJ53" s="78"/>
      <c r="EK53" s="78"/>
      <c r="EL53" s="78"/>
      <c r="EM53" s="78"/>
      <c r="EN53" s="78"/>
      <c r="EO53" s="78"/>
      <c r="EP53" s="78"/>
      <c r="EQ53" s="78"/>
      <c r="ER53" s="78"/>
      <c r="ES53" s="78"/>
      <c r="ET53" s="79"/>
      <c r="EU53" s="79"/>
      <c r="EV53" s="79"/>
      <c r="EW53" s="79"/>
      <c r="EX53" s="79"/>
      <c r="EY53" s="79"/>
      <c r="EZ53" s="79"/>
      <c r="FA53" s="79"/>
      <c r="FB53" s="79"/>
      <c r="FC53" s="79"/>
      <c r="FD53" s="79"/>
      <c r="FE53" s="79"/>
      <c r="FF53" s="79"/>
      <c r="FG53" s="79"/>
      <c r="FH53" s="79"/>
      <c r="FI53" s="79"/>
      <c r="FJ53" s="79"/>
      <c r="FK53" s="79"/>
      <c r="FL53" s="79"/>
      <c r="FM53" s="79"/>
      <c r="FN53" s="79"/>
      <c r="FO53" s="79"/>
      <c r="FP53" s="79"/>
      <c r="FQ53" s="79"/>
      <c r="FR53" s="79"/>
      <c r="FS53" s="79"/>
      <c r="FT53" s="79"/>
      <c r="FU53" s="79"/>
      <c r="FV53" s="79"/>
      <c r="FW53" s="79"/>
      <c r="FX53" s="79"/>
      <c r="FY53" s="79"/>
      <c r="FZ53" s="79"/>
      <c r="GA53" s="79"/>
      <c r="GB53" s="79"/>
      <c r="GC53" s="79"/>
      <c r="GD53" s="79"/>
      <c r="GE53" s="79"/>
      <c r="GF53" s="79"/>
      <c r="GG53" s="79" t="s">
        <v>136</v>
      </c>
      <c r="GH53" s="79"/>
      <c r="GI53" s="42"/>
    </row>
    <row r="54" spans="1:191" ht="9.6" customHeight="1" x14ac:dyDescent="0.3">
      <c r="A54" s="367" t="s">
        <v>137</v>
      </c>
      <c r="B54" s="367"/>
      <c r="C54" s="367"/>
      <c r="D54" s="367"/>
      <c r="E54" s="367"/>
      <c r="F54" s="367"/>
      <c r="G54" s="367"/>
      <c r="H54" s="367"/>
      <c r="I54" s="367"/>
      <c r="J54" s="367"/>
      <c r="K54" s="367"/>
      <c r="L54" s="367"/>
      <c r="M54" s="367"/>
      <c r="N54" s="367"/>
      <c r="O54" s="367"/>
      <c r="P54" s="367"/>
      <c r="Q54" s="367"/>
      <c r="R54" s="367"/>
      <c r="S54" s="367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373"/>
      <c r="AE54" s="373"/>
      <c r="AF54" s="373"/>
      <c r="AG54" s="373"/>
      <c r="AH54" s="78"/>
      <c r="AI54" s="78" t="s">
        <v>138</v>
      </c>
      <c r="AJ54" s="78"/>
      <c r="AK54" s="78"/>
      <c r="AL54" s="78"/>
      <c r="AM54" s="78"/>
      <c r="AN54" s="78"/>
      <c r="AO54" s="78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78"/>
      <c r="BE54" s="78" t="s">
        <v>56</v>
      </c>
      <c r="BF54" s="78"/>
      <c r="BG54" s="78"/>
      <c r="BH54" s="78"/>
      <c r="BI54" s="373"/>
      <c r="BJ54" s="373"/>
      <c r="BK54" s="373"/>
      <c r="BL54" s="373"/>
      <c r="BM54" s="373"/>
      <c r="BN54" s="373"/>
      <c r="BO54" s="373"/>
      <c r="BP54" s="373"/>
      <c r="BQ54" s="373"/>
      <c r="BR54" s="373"/>
      <c r="BS54" s="373"/>
      <c r="BT54" s="373"/>
      <c r="BU54" s="373"/>
      <c r="BV54" s="373"/>
      <c r="BW54" s="78"/>
      <c r="BX54" s="372"/>
      <c r="BY54" s="372"/>
      <c r="BZ54" s="372"/>
      <c r="CA54" s="372"/>
      <c r="CB54" s="372"/>
      <c r="CC54" s="372"/>
      <c r="CD54" s="372"/>
      <c r="CE54" s="372"/>
      <c r="CF54" s="372"/>
      <c r="CG54" s="372"/>
      <c r="CH54" s="372"/>
      <c r="CI54" s="372"/>
      <c r="CJ54" s="372"/>
      <c r="CK54" s="372"/>
      <c r="CL54" s="372"/>
      <c r="CM54" s="372"/>
      <c r="CN54" s="372"/>
      <c r="CO54" s="372"/>
      <c r="CP54" s="372"/>
      <c r="CQ54" s="372"/>
      <c r="CR54" s="372"/>
      <c r="CS54" s="372"/>
      <c r="CT54" s="372"/>
      <c r="CU54" s="372"/>
      <c r="CV54" s="372"/>
      <c r="CW54" s="372"/>
      <c r="CX54" s="372"/>
      <c r="CY54" s="372"/>
      <c r="CZ54" s="372"/>
      <c r="DA54" s="372"/>
      <c r="DB54" s="372"/>
      <c r="DC54" s="372"/>
      <c r="DD54" s="372"/>
      <c r="DE54" s="78"/>
      <c r="DF54" s="78"/>
      <c r="DG54" s="78"/>
      <c r="DH54" s="78"/>
      <c r="DI54" s="78"/>
      <c r="DJ54" s="78"/>
      <c r="DK54" s="78"/>
      <c r="DL54" s="78"/>
      <c r="DM54" s="78"/>
      <c r="DN54" s="78"/>
      <c r="DO54" s="78"/>
      <c r="DP54" s="78"/>
      <c r="DQ54" s="78"/>
      <c r="DR54" s="78"/>
      <c r="DS54" s="78"/>
      <c r="DT54" s="78"/>
      <c r="DU54" s="78"/>
      <c r="DV54" s="78"/>
      <c r="DW54" s="78"/>
      <c r="DX54" s="78"/>
      <c r="DY54" s="78"/>
      <c r="DZ54" s="78"/>
      <c r="EA54" s="78"/>
      <c r="EB54" s="78"/>
      <c r="EC54" s="78"/>
      <c r="ED54" s="78"/>
      <c r="EE54" s="78"/>
      <c r="EF54" s="78"/>
      <c r="EG54" s="78"/>
      <c r="EH54" s="78"/>
      <c r="EI54" s="78"/>
      <c r="EJ54" s="78"/>
      <c r="EK54" s="78"/>
      <c r="EL54" s="78"/>
      <c r="EM54" s="78"/>
      <c r="EN54" s="78"/>
      <c r="EO54" s="78"/>
      <c r="EP54" s="78"/>
      <c r="EQ54" s="78"/>
      <c r="ER54" s="78"/>
      <c r="ES54" s="79"/>
      <c r="ET54" s="79"/>
      <c r="EU54" s="79"/>
      <c r="EV54" s="79"/>
      <c r="EW54" s="79"/>
      <c r="EX54" s="79"/>
      <c r="EY54" s="79"/>
      <c r="EZ54" s="79"/>
      <c r="FA54" s="79"/>
      <c r="FB54" s="79"/>
      <c r="FC54" s="79"/>
      <c r="FD54" s="79"/>
      <c r="FE54" s="79"/>
      <c r="FF54" s="79"/>
      <c r="FG54" s="79"/>
      <c r="FH54" s="79"/>
      <c r="FI54" s="79"/>
      <c r="FJ54" s="79"/>
      <c r="FK54" s="79"/>
      <c r="FL54" s="79"/>
      <c r="FM54" s="79"/>
      <c r="FN54" s="79"/>
      <c r="FO54" s="79"/>
      <c r="FP54" s="374" t="str">
        <f>FM6</f>
        <v>1045</v>
      </c>
      <c r="FQ54" s="375"/>
      <c r="FR54" s="375"/>
      <c r="FS54" s="375"/>
      <c r="FT54" s="375"/>
      <c r="FU54" s="375"/>
      <c r="FV54" s="375"/>
      <c r="FW54" s="375"/>
      <c r="FX54" s="375"/>
      <c r="FY54" s="375"/>
      <c r="FZ54" s="375"/>
      <c r="GA54" s="375"/>
      <c r="GB54" s="375"/>
      <c r="GC54" s="375"/>
      <c r="GD54" s="375"/>
      <c r="GE54" s="375"/>
      <c r="GF54" s="375"/>
      <c r="GG54" s="375"/>
      <c r="GH54" s="376"/>
      <c r="GI54" s="42"/>
    </row>
    <row r="55" spans="1:191" ht="12.6" customHeight="1" x14ac:dyDescent="0.3">
      <c r="A55" s="78" t="s">
        <v>139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 t="s">
        <v>132</v>
      </c>
      <c r="W55" s="78"/>
      <c r="X55" s="373"/>
      <c r="Y55" s="373"/>
      <c r="Z55" s="373"/>
      <c r="AA55" s="373"/>
      <c r="AB55" s="78" t="s">
        <v>109</v>
      </c>
      <c r="AC55" s="78"/>
      <c r="AD55" s="364" t="s">
        <v>140</v>
      </c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80"/>
      <c r="AV55" s="81"/>
      <c r="AW55" s="365" t="str">
        <f>FZ7</f>
        <v>2023</v>
      </c>
      <c r="AX55" s="366"/>
      <c r="AY55" s="366"/>
      <c r="AZ55" s="366"/>
      <c r="BA55" s="366"/>
      <c r="BB55" s="366"/>
      <c r="BC55" s="366"/>
      <c r="BD55" s="78" t="s">
        <v>110</v>
      </c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  <c r="CY55" s="78"/>
      <c r="CZ55" s="78"/>
      <c r="DA55" s="78"/>
      <c r="DB55" s="78"/>
      <c r="DC55" s="78"/>
      <c r="DD55" s="78"/>
      <c r="DE55" s="78"/>
      <c r="DF55" s="78"/>
      <c r="DG55" s="78"/>
      <c r="DH55" s="78"/>
      <c r="DI55" s="78"/>
      <c r="DJ55" s="78"/>
      <c r="DK55" s="78"/>
      <c r="DL55" s="78"/>
      <c r="DM55" s="78"/>
      <c r="DN55" s="78"/>
      <c r="DO55" s="78"/>
      <c r="DP55" s="78"/>
      <c r="DQ55" s="78"/>
      <c r="DR55" s="78"/>
      <c r="DS55" s="78"/>
      <c r="DT55" s="78"/>
      <c r="DU55" s="78"/>
      <c r="DV55" s="78"/>
      <c r="DW55" s="78"/>
      <c r="DX55" s="78"/>
      <c r="DY55" s="78"/>
      <c r="DZ55" s="78"/>
      <c r="EA55" s="78"/>
      <c r="EB55" s="78"/>
      <c r="EC55" s="78"/>
      <c r="ED55" s="78"/>
      <c r="EE55" s="78"/>
      <c r="EF55" s="78"/>
      <c r="EG55" s="78"/>
      <c r="EH55" s="78"/>
      <c r="EI55" s="78"/>
      <c r="EJ55" s="78"/>
      <c r="EK55" s="78"/>
      <c r="EL55" s="78"/>
      <c r="EM55" s="78"/>
      <c r="EN55" s="78"/>
      <c r="EO55" s="78"/>
      <c r="EP55" s="78"/>
      <c r="EQ55" s="78"/>
      <c r="ER55" s="78"/>
      <c r="ES55" s="78"/>
      <c r="ET55" s="78"/>
      <c r="EU55" s="78"/>
      <c r="EV55" s="78"/>
      <c r="EW55" s="78"/>
      <c r="EX55" s="78"/>
      <c r="EY55" s="78"/>
      <c r="EZ55" s="78"/>
      <c r="FA55" s="78"/>
      <c r="FB55" s="78"/>
      <c r="FC55" s="78"/>
      <c r="FD55" s="78"/>
      <c r="FE55" s="78"/>
      <c r="FF55" s="78"/>
      <c r="FG55" s="78"/>
      <c r="FH55" s="78"/>
      <c r="FI55" s="78"/>
      <c r="FJ55" s="78"/>
      <c r="FK55" s="78"/>
      <c r="FL55" s="78"/>
      <c r="FM55" s="78"/>
      <c r="FN55" s="82" t="s">
        <v>141</v>
      </c>
      <c r="FO55" s="78"/>
      <c r="FP55" s="377"/>
      <c r="FQ55" s="378"/>
      <c r="FR55" s="378"/>
      <c r="FS55" s="378"/>
      <c r="FT55" s="378"/>
      <c r="FU55" s="378"/>
      <c r="FV55" s="378"/>
      <c r="FW55" s="378"/>
      <c r="FX55" s="378"/>
      <c r="FY55" s="378"/>
      <c r="FZ55" s="378"/>
      <c r="GA55" s="378"/>
      <c r="GB55" s="378"/>
      <c r="GC55" s="378"/>
      <c r="GD55" s="378"/>
      <c r="GE55" s="378"/>
      <c r="GF55" s="378"/>
      <c r="GG55" s="378"/>
      <c r="GH55" s="379"/>
      <c r="GI55" s="42"/>
    </row>
    <row r="56" spans="1:191" ht="9.6" customHeight="1" x14ac:dyDescent="0.3">
      <c r="A56" s="367" t="s">
        <v>142</v>
      </c>
      <c r="B56" s="367"/>
      <c r="C56" s="367"/>
      <c r="D56" s="367"/>
      <c r="E56" s="367"/>
      <c r="F56" s="367"/>
      <c r="G56" s="367"/>
      <c r="H56" s="367"/>
      <c r="I56" s="367"/>
      <c r="J56" s="367"/>
      <c r="K56" s="367"/>
      <c r="L56" s="367"/>
      <c r="M56" s="367"/>
      <c r="N56" s="368" t="s">
        <v>44</v>
      </c>
      <c r="O56" s="368"/>
      <c r="P56" s="368"/>
      <c r="Q56" s="368"/>
      <c r="R56" s="368"/>
      <c r="S56" s="368"/>
      <c r="T56" s="368"/>
      <c r="U56" s="368"/>
      <c r="V56" s="368"/>
      <c r="W56" s="368"/>
      <c r="X56" s="368"/>
      <c r="Y56" s="368"/>
      <c r="Z56" s="368"/>
      <c r="AA56" s="368"/>
      <c r="AB56" s="368"/>
      <c r="AC56" s="368"/>
      <c r="AD56" s="368"/>
      <c r="AE56" s="368"/>
      <c r="AF56" s="368"/>
      <c r="AG56" s="368"/>
      <c r="AH56" s="368"/>
      <c r="AI56" s="368"/>
      <c r="AJ56" s="368"/>
      <c r="AK56" s="368"/>
      <c r="AL56" s="368"/>
      <c r="AM56" s="368"/>
      <c r="AN56" s="368"/>
      <c r="AO56" s="368"/>
      <c r="AP56" s="368"/>
      <c r="AQ56" s="368"/>
      <c r="AR56" s="368"/>
      <c r="AS56" s="368"/>
      <c r="AT56" s="368"/>
      <c r="AU56" s="368"/>
      <c r="AV56" s="368"/>
      <c r="AW56" s="368"/>
      <c r="AX56" s="368"/>
      <c r="AY56" s="368"/>
      <c r="AZ56" s="368"/>
      <c r="BA56" s="368"/>
      <c r="BB56" s="368"/>
      <c r="BC56" s="368"/>
      <c r="BD56" s="368"/>
      <c r="BE56" s="368"/>
      <c r="BF56" s="368"/>
      <c r="BG56" s="368"/>
      <c r="BH56" s="368"/>
      <c r="BI56" s="368"/>
      <c r="BJ56" s="368"/>
      <c r="BK56" s="368"/>
      <c r="BL56" s="368"/>
      <c r="BM56" s="368"/>
      <c r="BN56" s="368"/>
      <c r="BO56" s="368"/>
      <c r="BP56" s="368"/>
      <c r="BQ56" s="368"/>
      <c r="BR56" s="368"/>
      <c r="BS56" s="368"/>
      <c r="BT56" s="368"/>
      <c r="BU56" s="368"/>
      <c r="BV56" s="368"/>
      <c r="BW56" s="368"/>
      <c r="BX56" s="368"/>
      <c r="BY56" s="368"/>
      <c r="BZ56" s="368"/>
      <c r="CA56" s="368"/>
      <c r="CB56" s="78"/>
      <c r="CC56" s="370" t="s">
        <v>143</v>
      </c>
      <c r="CD56" s="370"/>
      <c r="CE56" s="370"/>
      <c r="CF56" s="370"/>
      <c r="CG56" s="370"/>
      <c r="CH56" s="370"/>
      <c r="CI56" s="370"/>
      <c r="CJ56" s="370"/>
      <c r="CK56" s="370"/>
      <c r="CL56" s="370"/>
      <c r="CM56" s="370"/>
      <c r="CN56" s="370"/>
      <c r="CO56" s="368" t="s">
        <v>144</v>
      </c>
      <c r="CP56" s="368"/>
      <c r="CQ56" s="368"/>
      <c r="CR56" s="368"/>
      <c r="CS56" s="368"/>
      <c r="CT56" s="368"/>
      <c r="CU56" s="368"/>
      <c r="CV56" s="368"/>
      <c r="CW56" s="368"/>
      <c r="CX56" s="368"/>
      <c r="CY56" s="368"/>
      <c r="CZ56" s="368"/>
      <c r="DA56" s="368"/>
      <c r="DB56" s="368"/>
      <c r="DC56" s="368"/>
      <c r="DD56" s="368"/>
      <c r="DE56" s="368"/>
      <c r="DF56" s="368"/>
      <c r="DG56" s="368"/>
      <c r="DH56" s="368"/>
      <c r="DI56" s="368"/>
      <c r="DJ56" s="368"/>
      <c r="DK56" s="368"/>
      <c r="DL56" s="380" t="s">
        <v>145</v>
      </c>
      <c r="DM56" s="380"/>
      <c r="DN56" s="380"/>
      <c r="DO56" s="380"/>
      <c r="DP56" s="380"/>
      <c r="DQ56" s="380"/>
      <c r="DR56" s="380"/>
      <c r="DS56" s="380"/>
      <c r="DT56" s="380"/>
      <c r="DU56" s="380"/>
      <c r="DV56" s="380"/>
      <c r="DW56" s="380"/>
      <c r="DX56" s="380"/>
      <c r="DY56" s="380"/>
      <c r="DZ56" s="380"/>
      <c r="EA56" s="380"/>
      <c r="EB56" s="380"/>
      <c r="EC56" s="380"/>
      <c r="ED56" s="380"/>
      <c r="EE56" s="380"/>
      <c r="EF56" s="380"/>
      <c r="EG56" s="380"/>
      <c r="EH56" s="380"/>
      <c r="EI56" s="380"/>
      <c r="EJ56" s="380"/>
      <c r="EK56" s="63"/>
      <c r="EL56" s="83"/>
      <c r="EM56" s="83"/>
      <c r="EN56" s="368" t="s">
        <v>146</v>
      </c>
      <c r="EO56" s="368"/>
      <c r="EP56" s="368"/>
      <c r="EQ56" s="368"/>
      <c r="ER56" s="368"/>
      <c r="ES56" s="368"/>
      <c r="ET56" s="368"/>
      <c r="EU56" s="368"/>
      <c r="EV56" s="368"/>
      <c r="EW56" s="368"/>
      <c r="EX56" s="368"/>
      <c r="EY56" s="368"/>
      <c r="EZ56" s="368"/>
      <c r="FA56" s="368"/>
      <c r="FB56" s="381" t="s">
        <v>147</v>
      </c>
      <c r="FC56" s="381"/>
      <c r="FD56" s="381"/>
      <c r="FE56" s="381"/>
      <c r="FF56" s="381"/>
      <c r="FG56" s="381"/>
      <c r="FH56" s="381"/>
      <c r="FI56" s="381"/>
      <c r="FJ56" s="381"/>
      <c r="FK56" s="381"/>
      <c r="FL56" s="381"/>
      <c r="FM56" s="381"/>
      <c r="FN56" s="381"/>
      <c r="FO56" s="78"/>
      <c r="FP56" s="382" t="s">
        <v>316</v>
      </c>
      <c r="FQ56" s="383"/>
      <c r="FR56" s="383"/>
      <c r="FS56" s="383"/>
      <c r="FT56" s="383"/>
      <c r="FU56" s="383"/>
      <c r="FV56" s="383"/>
      <c r="FW56" s="383"/>
      <c r="FX56" s="383"/>
      <c r="FY56" s="383"/>
      <c r="FZ56" s="383"/>
      <c r="GA56" s="383"/>
      <c r="GB56" s="383"/>
      <c r="GC56" s="383"/>
      <c r="GD56" s="383"/>
      <c r="GE56" s="383"/>
      <c r="GF56" s="383"/>
      <c r="GG56" s="383"/>
      <c r="GH56" s="384"/>
      <c r="GI56" s="42"/>
    </row>
    <row r="57" spans="1:191" ht="6.6" customHeight="1" x14ac:dyDescent="0.3">
      <c r="A57" s="367"/>
      <c r="B57" s="367"/>
      <c r="C57" s="367"/>
      <c r="D57" s="367"/>
      <c r="E57" s="367"/>
      <c r="F57" s="367"/>
      <c r="G57" s="367"/>
      <c r="H57" s="367"/>
      <c r="I57" s="367"/>
      <c r="J57" s="367"/>
      <c r="K57" s="367"/>
      <c r="L57" s="367"/>
      <c r="M57" s="367"/>
      <c r="N57" s="369"/>
      <c r="O57" s="369"/>
      <c r="P57" s="369"/>
      <c r="Q57" s="369"/>
      <c r="R57" s="369"/>
      <c r="S57" s="369"/>
      <c r="T57" s="369"/>
      <c r="U57" s="369"/>
      <c r="V57" s="369"/>
      <c r="W57" s="369"/>
      <c r="X57" s="369"/>
      <c r="Y57" s="369"/>
      <c r="Z57" s="369"/>
      <c r="AA57" s="369"/>
      <c r="AB57" s="369"/>
      <c r="AC57" s="369"/>
      <c r="AD57" s="369"/>
      <c r="AE57" s="369"/>
      <c r="AF57" s="369"/>
      <c r="AG57" s="369"/>
      <c r="AH57" s="369"/>
      <c r="AI57" s="369"/>
      <c r="AJ57" s="369"/>
      <c r="AK57" s="369"/>
      <c r="AL57" s="369"/>
      <c r="AM57" s="369"/>
      <c r="AN57" s="369"/>
      <c r="AO57" s="369"/>
      <c r="AP57" s="369"/>
      <c r="AQ57" s="369"/>
      <c r="AR57" s="369"/>
      <c r="AS57" s="369"/>
      <c r="AT57" s="369"/>
      <c r="AU57" s="369"/>
      <c r="AV57" s="369"/>
      <c r="AW57" s="369"/>
      <c r="AX57" s="369"/>
      <c r="AY57" s="369"/>
      <c r="AZ57" s="369"/>
      <c r="BA57" s="369"/>
      <c r="BB57" s="369"/>
      <c r="BC57" s="369"/>
      <c r="BD57" s="369"/>
      <c r="BE57" s="369"/>
      <c r="BF57" s="369"/>
      <c r="BG57" s="369"/>
      <c r="BH57" s="369"/>
      <c r="BI57" s="369"/>
      <c r="BJ57" s="369"/>
      <c r="BK57" s="369"/>
      <c r="BL57" s="369"/>
      <c r="BM57" s="369"/>
      <c r="BN57" s="369"/>
      <c r="BO57" s="369"/>
      <c r="BP57" s="369"/>
      <c r="BQ57" s="369"/>
      <c r="BR57" s="369"/>
      <c r="BS57" s="369"/>
      <c r="BT57" s="369"/>
      <c r="BU57" s="369"/>
      <c r="BV57" s="369"/>
      <c r="BW57" s="369"/>
      <c r="BX57" s="369"/>
      <c r="BY57" s="369"/>
      <c r="BZ57" s="369"/>
      <c r="CA57" s="369"/>
      <c r="CB57" s="78"/>
      <c r="CC57" s="370"/>
      <c r="CD57" s="370"/>
      <c r="CE57" s="370"/>
      <c r="CF57" s="370"/>
      <c r="CG57" s="370"/>
      <c r="CH57" s="370"/>
      <c r="CI57" s="370"/>
      <c r="CJ57" s="370"/>
      <c r="CK57" s="370"/>
      <c r="CL57" s="370"/>
      <c r="CM57" s="370"/>
      <c r="CN57" s="370"/>
      <c r="CO57" s="371"/>
      <c r="CP57" s="371"/>
      <c r="CQ57" s="371"/>
      <c r="CR57" s="371"/>
      <c r="CS57" s="371"/>
      <c r="CT57" s="371"/>
      <c r="CU57" s="371"/>
      <c r="CV57" s="371"/>
      <c r="CW57" s="371"/>
      <c r="CX57" s="371"/>
      <c r="CY57" s="371"/>
      <c r="CZ57" s="371"/>
      <c r="DA57" s="371"/>
      <c r="DB57" s="371"/>
      <c r="DC57" s="371"/>
      <c r="DD57" s="371"/>
      <c r="DE57" s="371"/>
      <c r="DF57" s="371"/>
      <c r="DG57" s="371"/>
      <c r="DH57" s="371"/>
      <c r="DI57" s="371"/>
      <c r="DJ57" s="371"/>
      <c r="DK57" s="371"/>
      <c r="DL57" s="380"/>
      <c r="DM57" s="380"/>
      <c r="DN57" s="380"/>
      <c r="DO57" s="380"/>
      <c r="DP57" s="380"/>
      <c r="DQ57" s="380"/>
      <c r="DR57" s="380"/>
      <c r="DS57" s="380"/>
      <c r="DT57" s="380"/>
      <c r="DU57" s="380"/>
      <c r="DV57" s="380"/>
      <c r="DW57" s="380"/>
      <c r="DX57" s="380"/>
      <c r="DY57" s="380"/>
      <c r="DZ57" s="380"/>
      <c r="EA57" s="380"/>
      <c r="EB57" s="380"/>
      <c r="EC57" s="380"/>
      <c r="ED57" s="380"/>
      <c r="EE57" s="380"/>
      <c r="EF57" s="380"/>
      <c r="EG57" s="380"/>
      <c r="EH57" s="380"/>
      <c r="EI57" s="380"/>
      <c r="EJ57" s="380"/>
      <c r="EK57" s="63"/>
      <c r="EL57" s="83"/>
      <c r="EM57" s="84"/>
      <c r="EN57" s="369"/>
      <c r="EO57" s="369"/>
      <c r="EP57" s="369"/>
      <c r="EQ57" s="369"/>
      <c r="ER57" s="369"/>
      <c r="ES57" s="369"/>
      <c r="ET57" s="369"/>
      <c r="EU57" s="369"/>
      <c r="EV57" s="369"/>
      <c r="EW57" s="369"/>
      <c r="EX57" s="369"/>
      <c r="EY57" s="369"/>
      <c r="EZ57" s="369"/>
      <c r="FA57" s="369"/>
      <c r="FB57" s="388" t="s">
        <v>148</v>
      </c>
      <c r="FC57" s="388"/>
      <c r="FD57" s="388"/>
      <c r="FE57" s="388"/>
      <c r="FF57" s="388"/>
      <c r="FG57" s="388"/>
      <c r="FH57" s="388"/>
      <c r="FI57" s="388"/>
      <c r="FJ57" s="388"/>
      <c r="FK57" s="388"/>
      <c r="FL57" s="388"/>
      <c r="FM57" s="388"/>
      <c r="FN57" s="388"/>
      <c r="FO57" s="78"/>
      <c r="FP57" s="385"/>
      <c r="FQ57" s="386"/>
      <c r="FR57" s="386"/>
      <c r="FS57" s="386"/>
      <c r="FT57" s="386"/>
      <c r="FU57" s="386"/>
      <c r="FV57" s="386"/>
      <c r="FW57" s="386"/>
      <c r="FX57" s="386"/>
      <c r="FY57" s="386"/>
      <c r="FZ57" s="386"/>
      <c r="GA57" s="386"/>
      <c r="GB57" s="386"/>
      <c r="GC57" s="386"/>
      <c r="GD57" s="386"/>
      <c r="GE57" s="386"/>
      <c r="GF57" s="386"/>
      <c r="GG57" s="386"/>
      <c r="GH57" s="387"/>
      <c r="GI57" s="42"/>
    </row>
    <row r="58" spans="1:191" ht="7.95" customHeight="1" x14ac:dyDescent="0.3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389" t="s">
        <v>149</v>
      </c>
      <c r="O58" s="389"/>
      <c r="P58" s="389"/>
      <c r="Q58" s="389"/>
      <c r="R58" s="389"/>
      <c r="S58" s="389"/>
      <c r="T58" s="389"/>
      <c r="U58" s="389"/>
      <c r="V58" s="389"/>
      <c r="W58" s="389"/>
      <c r="X58" s="389"/>
      <c r="Y58" s="389"/>
      <c r="Z58" s="389"/>
      <c r="AA58" s="389"/>
      <c r="AB58" s="389"/>
      <c r="AC58" s="389"/>
      <c r="AD58" s="389"/>
      <c r="AE58" s="389"/>
      <c r="AF58" s="389"/>
      <c r="AG58" s="389"/>
      <c r="AH58" s="389"/>
      <c r="AI58" s="389"/>
      <c r="AJ58" s="389"/>
      <c r="AK58" s="389"/>
      <c r="AL58" s="389"/>
      <c r="AM58" s="389"/>
      <c r="AN58" s="389"/>
      <c r="AO58" s="389"/>
      <c r="AP58" s="389"/>
      <c r="AQ58" s="389"/>
      <c r="AR58" s="389"/>
      <c r="AS58" s="389"/>
      <c r="AT58" s="389"/>
      <c r="AU58" s="389"/>
      <c r="AV58" s="389"/>
      <c r="AW58" s="389"/>
      <c r="AX58" s="389"/>
      <c r="AY58" s="389"/>
      <c r="AZ58" s="389"/>
      <c r="BA58" s="389"/>
      <c r="BB58" s="389"/>
      <c r="BC58" s="389"/>
      <c r="BD58" s="389"/>
      <c r="BE58" s="389"/>
      <c r="BF58" s="389"/>
      <c r="BG58" s="389"/>
      <c r="BH58" s="389"/>
      <c r="BI58" s="389"/>
      <c r="BJ58" s="389"/>
      <c r="BK58" s="389"/>
      <c r="BL58" s="389"/>
      <c r="BM58" s="389"/>
      <c r="BN58" s="389"/>
      <c r="BO58" s="389"/>
      <c r="BP58" s="389"/>
      <c r="BQ58" s="389"/>
      <c r="BR58" s="389"/>
      <c r="BS58" s="389"/>
      <c r="BT58" s="389"/>
      <c r="BU58" s="389"/>
      <c r="BV58" s="389"/>
      <c r="BW58" s="389"/>
      <c r="BX58" s="389"/>
      <c r="BY58" s="389"/>
      <c r="BZ58" s="389"/>
      <c r="CA58" s="389"/>
      <c r="CB58" s="86"/>
      <c r="CC58" s="86"/>
      <c r="CD58" s="86"/>
      <c r="CE58" s="86"/>
      <c r="CF58" s="86"/>
      <c r="CG58" s="86"/>
      <c r="CH58" s="87"/>
      <c r="CI58" s="87"/>
      <c r="CJ58" s="87"/>
      <c r="CK58" s="87"/>
      <c r="CL58" s="87"/>
      <c r="CM58" s="87"/>
      <c r="CN58" s="85"/>
      <c r="CO58" s="390" t="s">
        <v>150</v>
      </c>
      <c r="CP58" s="390"/>
      <c r="CQ58" s="390"/>
      <c r="CR58" s="390"/>
      <c r="CS58" s="390"/>
      <c r="CT58" s="390"/>
      <c r="CU58" s="390"/>
      <c r="CV58" s="390"/>
      <c r="CW58" s="390"/>
      <c r="CX58" s="390"/>
      <c r="CY58" s="390"/>
      <c r="CZ58" s="390"/>
      <c r="DA58" s="390"/>
      <c r="DB58" s="390"/>
      <c r="DC58" s="390"/>
      <c r="DD58" s="390"/>
      <c r="DE58" s="390"/>
      <c r="DF58" s="390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5"/>
      <c r="DU58" s="89"/>
      <c r="DV58" s="89"/>
      <c r="DW58" s="89"/>
      <c r="DX58" s="89"/>
      <c r="DY58" s="89"/>
      <c r="DZ58" s="89"/>
      <c r="EA58" s="89"/>
      <c r="EB58" s="89"/>
      <c r="EC58" s="89"/>
      <c r="ED58" s="89"/>
      <c r="EE58" s="89"/>
      <c r="EF58" s="89"/>
      <c r="EG58" s="89"/>
      <c r="EH58" s="89"/>
      <c r="EI58" s="89"/>
      <c r="EJ58" s="89"/>
      <c r="EK58" s="89"/>
      <c r="EL58" s="89"/>
      <c r="EM58" s="89"/>
      <c r="EN58" s="89"/>
      <c r="EO58" s="89"/>
      <c r="EP58" s="89"/>
      <c r="EQ58" s="89"/>
      <c r="ER58" s="89"/>
      <c r="ES58" s="89"/>
      <c r="ET58" s="89"/>
      <c r="EU58" s="89"/>
      <c r="EV58" s="89"/>
      <c r="EW58" s="89"/>
      <c r="EX58" s="85"/>
      <c r="EY58" s="85"/>
      <c r="EZ58" s="85"/>
      <c r="FA58" s="85"/>
      <c r="FB58" s="388"/>
      <c r="FC58" s="388"/>
      <c r="FD58" s="388"/>
      <c r="FE58" s="388"/>
      <c r="FF58" s="388"/>
      <c r="FG58" s="388"/>
      <c r="FH58" s="388"/>
      <c r="FI58" s="388"/>
      <c r="FJ58" s="388"/>
      <c r="FK58" s="388"/>
      <c r="FL58" s="388"/>
      <c r="FM58" s="388"/>
      <c r="FN58" s="388"/>
      <c r="FO58" s="85"/>
      <c r="FP58" s="391"/>
      <c r="FQ58" s="392"/>
      <c r="FR58" s="392"/>
      <c r="FS58" s="392"/>
      <c r="FT58" s="392"/>
      <c r="FU58" s="392"/>
      <c r="FV58" s="392"/>
      <c r="FW58" s="392"/>
      <c r="FX58" s="392"/>
      <c r="FY58" s="392"/>
      <c r="FZ58" s="392"/>
      <c r="GA58" s="392"/>
      <c r="GB58" s="392"/>
      <c r="GC58" s="392"/>
      <c r="GD58" s="392"/>
      <c r="GE58" s="392"/>
      <c r="GF58" s="392"/>
      <c r="GG58" s="392"/>
      <c r="GH58" s="393"/>
      <c r="GI58" s="42"/>
    </row>
    <row r="59" spans="1:191" x14ac:dyDescent="0.3">
      <c r="A59" s="78" t="s">
        <v>151</v>
      </c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214" t="str">
        <f>P9</f>
        <v>ООО "СтройПроектСервис" 664014, г. Иркутск, ул. Леси Украинки, д. 35-101, ОГРН: 1073812008643, ИНН: 3812100526, телефон: +73952486001, , тел.: +73952486001</v>
      </c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E59" s="214"/>
      <c r="FF59" s="214"/>
      <c r="FG59" s="214"/>
      <c r="FH59" s="214"/>
      <c r="FI59" s="214"/>
      <c r="FJ59" s="214"/>
      <c r="FK59" s="214"/>
      <c r="FL59" s="214"/>
      <c r="FM59" s="214"/>
      <c r="FN59" s="78"/>
      <c r="FO59" s="90"/>
      <c r="FP59" s="394"/>
      <c r="FQ59" s="373"/>
      <c r="FR59" s="373"/>
      <c r="FS59" s="373"/>
      <c r="FT59" s="373"/>
      <c r="FU59" s="373"/>
      <c r="FV59" s="373"/>
      <c r="FW59" s="373"/>
      <c r="FX59" s="373"/>
      <c r="FY59" s="373"/>
      <c r="FZ59" s="373"/>
      <c r="GA59" s="373"/>
      <c r="GB59" s="373"/>
      <c r="GC59" s="373"/>
      <c r="GD59" s="373"/>
      <c r="GE59" s="373"/>
      <c r="GF59" s="373"/>
      <c r="GG59" s="373"/>
      <c r="GH59" s="395"/>
      <c r="GI59" s="42"/>
    </row>
    <row r="60" spans="1:191" ht="7.2" customHeight="1" x14ac:dyDescent="0.3">
      <c r="A60" s="78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398" t="s">
        <v>152</v>
      </c>
      <c r="Y60" s="398"/>
      <c r="Z60" s="398"/>
      <c r="AA60" s="398"/>
      <c r="AB60" s="398"/>
      <c r="AC60" s="398"/>
      <c r="AD60" s="398"/>
      <c r="AE60" s="398"/>
      <c r="AF60" s="398"/>
      <c r="AG60" s="39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  <c r="AR60" s="398"/>
      <c r="AS60" s="398"/>
      <c r="AT60" s="398"/>
      <c r="AU60" s="398"/>
      <c r="AV60" s="398"/>
      <c r="AW60" s="398"/>
      <c r="AX60" s="398"/>
      <c r="AY60" s="398"/>
      <c r="AZ60" s="398"/>
      <c r="BA60" s="398"/>
      <c r="BB60" s="398"/>
      <c r="BC60" s="398"/>
      <c r="BD60" s="398"/>
      <c r="BE60" s="398"/>
      <c r="BF60" s="398"/>
      <c r="BG60" s="398"/>
      <c r="BH60" s="398"/>
      <c r="BI60" s="398"/>
      <c r="BJ60" s="398"/>
      <c r="BK60" s="398"/>
      <c r="BL60" s="398"/>
      <c r="BM60" s="398"/>
      <c r="BN60" s="398"/>
      <c r="BO60" s="398"/>
      <c r="BP60" s="398"/>
      <c r="BQ60" s="398"/>
      <c r="BR60" s="398"/>
      <c r="BS60" s="398"/>
      <c r="BT60" s="398"/>
      <c r="BU60" s="398"/>
      <c r="BV60" s="398"/>
      <c r="BW60" s="398"/>
      <c r="BX60" s="398"/>
      <c r="BY60" s="398"/>
      <c r="BZ60" s="398"/>
      <c r="CA60" s="398"/>
      <c r="CB60" s="398"/>
      <c r="CC60" s="398"/>
      <c r="CD60" s="398"/>
      <c r="CE60" s="398"/>
      <c r="CF60" s="398"/>
      <c r="CG60" s="398"/>
      <c r="CH60" s="398"/>
      <c r="CI60" s="398"/>
      <c r="CJ60" s="398"/>
      <c r="CK60" s="398"/>
      <c r="CL60" s="398"/>
      <c r="CM60" s="398"/>
      <c r="CN60" s="398"/>
      <c r="CO60" s="398"/>
      <c r="CP60" s="398"/>
      <c r="CQ60" s="398"/>
      <c r="CR60" s="398"/>
      <c r="CS60" s="398"/>
      <c r="CT60" s="398"/>
      <c r="CU60" s="398"/>
      <c r="CV60" s="398"/>
      <c r="CW60" s="398"/>
      <c r="CX60" s="398"/>
      <c r="CY60" s="398"/>
      <c r="CZ60" s="398"/>
      <c r="DA60" s="398"/>
      <c r="DB60" s="398"/>
      <c r="DC60" s="398"/>
      <c r="DD60" s="398"/>
      <c r="DE60" s="398"/>
      <c r="DF60" s="398"/>
      <c r="DG60" s="398"/>
      <c r="DH60" s="398"/>
      <c r="DI60" s="398"/>
      <c r="DJ60" s="398"/>
      <c r="DK60" s="398"/>
      <c r="DL60" s="398"/>
      <c r="DM60" s="398"/>
      <c r="DN60" s="398"/>
      <c r="DO60" s="398"/>
      <c r="DP60" s="398"/>
      <c r="DQ60" s="398"/>
      <c r="DR60" s="398"/>
      <c r="DS60" s="398"/>
      <c r="DT60" s="398"/>
      <c r="DU60" s="398"/>
      <c r="DV60" s="398"/>
      <c r="DW60" s="398"/>
      <c r="DX60" s="398"/>
      <c r="DY60" s="398"/>
      <c r="DZ60" s="398"/>
      <c r="EA60" s="398"/>
      <c r="EB60" s="398"/>
      <c r="EC60" s="398"/>
      <c r="ED60" s="398"/>
      <c r="EE60" s="398"/>
      <c r="EF60" s="398"/>
      <c r="EG60" s="398"/>
      <c r="EH60" s="398"/>
      <c r="EI60" s="398"/>
      <c r="EJ60" s="398"/>
      <c r="EK60" s="398"/>
      <c r="EL60" s="398"/>
      <c r="EM60" s="398"/>
      <c r="EN60" s="398"/>
      <c r="EO60" s="398"/>
      <c r="EP60" s="398"/>
      <c r="EQ60" s="398"/>
      <c r="ER60" s="398"/>
      <c r="ES60" s="398"/>
      <c r="ET60" s="398"/>
      <c r="EU60" s="398"/>
      <c r="EV60" s="398"/>
      <c r="EW60" s="398"/>
      <c r="EX60" s="398"/>
      <c r="EY60" s="398"/>
      <c r="EZ60" s="398"/>
      <c r="FA60" s="398"/>
      <c r="FB60" s="398"/>
      <c r="FC60" s="398"/>
      <c r="FD60" s="398"/>
      <c r="FE60" s="398"/>
      <c r="FF60" s="398"/>
      <c r="FG60" s="398"/>
      <c r="FH60" s="398"/>
      <c r="FI60" s="398"/>
      <c r="FJ60" s="398"/>
      <c r="FK60" s="398"/>
      <c r="FL60" s="398"/>
      <c r="FM60" s="398"/>
      <c r="FN60" s="78"/>
      <c r="FO60" s="78"/>
      <c r="FP60" s="399"/>
      <c r="FQ60" s="400"/>
      <c r="FR60" s="400"/>
      <c r="FS60" s="400"/>
      <c r="FT60" s="400"/>
      <c r="FU60" s="400"/>
      <c r="FV60" s="400"/>
      <c r="FW60" s="400"/>
      <c r="FX60" s="400"/>
      <c r="FY60" s="400"/>
      <c r="FZ60" s="400"/>
      <c r="GA60" s="400"/>
      <c r="GB60" s="400"/>
      <c r="GC60" s="400"/>
      <c r="GD60" s="400"/>
      <c r="GE60" s="400"/>
      <c r="GF60" s="400"/>
      <c r="GG60" s="400"/>
      <c r="GH60" s="401"/>
      <c r="GI60" s="42"/>
    </row>
    <row r="61" spans="1:191" ht="10.199999999999999" customHeight="1" x14ac:dyDescent="0.3">
      <c r="A61" s="78" t="s">
        <v>153</v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402" t="s">
        <v>118</v>
      </c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  <c r="AA61" s="402"/>
      <c r="AB61" s="402"/>
      <c r="AC61" s="402"/>
      <c r="AD61" s="402"/>
      <c r="AE61" s="402"/>
      <c r="AF61" s="402"/>
      <c r="AG61" s="402"/>
      <c r="AH61" s="402"/>
      <c r="AI61" s="402"/>
      <c r="AJ61" s="402"/>
      <c r="AK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BC61" s="402"/>
      <c r="BD61" s="402"/>
      <c r="BE61" s="402"/>
      <c r="BF61" s="402"/>
      <c r="BG61" s="402"/>
      <c r="BH61" s="402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2"/>
      <c r="BT61" s="402"/>
      <c r="BU61" s="402"/>
      <c r="BV61" s="402"/>
      <c r="BW61" s="402"/>
      <c r="BX61" s="402"/>
      <c r="BY61" s="402"/>
      <c r="BZ61" s="402"/>
      <c r="CA61" s="50"/>
      <c r="CB61" s="50"/>
      <c r="CC61" s="91" t="s">
        <v>154</v>
      </c>
      <c r="CD61" s="78"/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403" t="s">
        <v>155</v>
      </c>
      <c r="CV61" s="403"/>
      <c r="CW61" s="403"/>
      <c r="CX61" s="403"/>
      <c r="CY61" s="403"/>
      <c r="CZ61" s="403"/>
      <c r="DA61" s="403"/>
      <c r="DB61" s="403"/>
      <c r="DC61" s="403"/>
      <c r="DD61" s="403"/>
      <c r="DE61" s="403"/>
      <c r="DF61" s="403"/>
      <c r="DG61" s="403"/>
      <c r="DH61" s="403"/>
      <c r="DI61" s="403"/>
      <c r="DJ61" s="403"/>
      <c r="DK61" s="403"/>
      <c r="DL61" s="403"/>
      <c r="DM61" s="403"/>
      <c r="DN61" s="403"/>
      <c r="DO61" s="403"/>
      <c r="DP61" s="403"/>
      <c r="DQ61" s="403"/>
      <c r="DR61" s="403"/>
      <c r="DS61" s="403"/>
      <c r="DT61" s="403"/>
      <c r="DU61" s="403"/>
      <c r="DV61" s="403"/>
      <c r="DW61" s="403"/>
      <c r="DX61" s="403"/>
      <c r="DY61" s="403"/>
      <c r="DZ61" s="403"/>
      <c r="EA61" s="403"/>
      <c r="EB61" s="403"/>
      <c r="EC61" s="403"/>
      <c r="ED61" s="403"/>
      <c r="EE61" s="403"/>
      <c r="EF61" s="403"/>
      <c r="EG61" s="403"/>
      <c r="EH61" s="403"/>
      <c r="EI61" s="403"/>
      <c r="EJ61" s="403"/>
      <c r="EK61" s="403"/>
      <c r="EL61" s="403"/>
      <c r="EM61" s="403"/>
      <c r="EN61" s="403"/>
      <c r="EO61" s="403"/>
      <c r="EP61" s="403"/>
      <c r="EQ61" s="403"/>
      <c r="ER61" s="403"/>
      <c r="ES61" s="403"/>
      <c r="ET61" s="403"/>
      <c r="EU61" s="403"/>
      <c r="EV61" s="403"/>
      <c r="EW61" s="403"/>
      <c r="EX61" s="403"/>
      <c r="EY61" s="403"/>
      <c r="EZ61" s="403"/>
      <c r="FA61" s="403"/>
      <c r="FB61" s="92"/>
      <c r="FC61" s="92"/>
      <c r="FD61" s="92"/>
      <c r="FE61" s="92"/>
      <c r="FF61" s="92"/>
      <c r="FG61" s="92"/>
      <c r="FH61" s="92"/>
      <c r="FI61" s="92"/>
      <c r="FJ61" s="92"/>
      <c r="FK61" s="92"/>
      <c r="FL61" s="78"/>
      <c r="FM61" s="78"/>
      <c r="FN61" s="78"/>
      <c r="FO61" s="78"/>
      <c r="FP61" s="391"/>
      <c r="FQ61" s="392"/>
      <c r="FR61" s="392"/>
      <c r="FS61" s="392"/>
      <c r="FT61" s="392"/>
      <c r="FU61" s="392"/>
      <c r="FV61" s="392"/>
      <c r="FW61" s="392"/>
      <c r="FX61" s="392"/>
      <c r="FY61" s="392"/>
      <c r="FZ61" s="392"/>
      <c r="GA61" s="392"/>
      <c r="GB61" s="392"/>
      <c r="GC61" s="392"/>
      <c r="GD61" s="392"/>
      <c r="GE61" s="392"/>
      <c r="GF61" s="392"/>
      <c r="GG61" s="392"/>
      <c r="GH61" s="393"/>
      <c r="GI61" s="42"/>
    </row>
    <row r="62" spans="1:191" ht="9" customHeight="1" x14ac:dyDescent="0.3">
      <c r="A62" s="78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404" t="s">
        <v>156</v>
      </c>
      <c r="M62" s="404"/>
      <c r="N62" s="404"/>
      <c r="O62" s="404"/>
      <c r="P62" s="404"/>
      <c r="Q62" s="404"/>
      <c r="R62" s="404"/>
      <c r="S62" s="404"/>
      <c r="T62" s="404"/>
      <c r="U62" s="404"/>
      <c r="V62" s="404"/>
      <c r="W62" s="404"/>
      <c r="X62" s="404"/>
      <c r="Y62" s="404"/>
      <c r="Z62" s="404"/>
      <c r="AA62" s="404"/>
      <c r="AB62" s="404"/>
      <c r="AC62" s="404"/>
      <c r="AD62" s="404"/>
      <c r="AE62" s="404"/>
      <c r="AF62" s="404"/>
      <c r="AG62" s="404"/>
      <c r="AH62" s="404"/>
      <c r="AI62" s="404"/>
      <c r="AJ62" s="404"/>
      <c r="AK62" s="404"/>
      <c r="AL62" s="404"/>
      <c r="AM62" s="404"/>
      <c r="AN62" s="404"/>
      <c r="AO62" s="404"/>
      <c r="AP62" s="404"/>
      <c r="AQ62" s="404"/>
      <c r="AR62" s="404"/>
      <c r="AS62" s="404"/>
      <c r="AT62" s="404"/>
      <c r="AU62" s="404"/>
      <c r="AV62" s="404"/>
      <c r="AW62" s="404"/>
      <c r="AX62" s="404"/>
      <c r="AY62" s="404"/>
      <c r="AZ62" s="404"/>
      <c r="BA62" s="404"/>
      <c r="BB62" s="404"/>
      <c r="BC62" s="404"/>
      <c r="BD62" s="404"/>
      <c r="BE62" s="404"/>
      <c r="BF62" s="404"/>
      <c r="BG62" s="404"/>
      <c r="BH62" s="404"/>
      <c r="BI62" s="404"/>
      <c r="BJ62" s="404"/>
      <c r="BK62" s="404"/>
      <c r="BL62" s="404"/>
      <c r="BM62" s="404"/>
      <c r="BN62" s="404"/>
      <c r="BO62" s="404"/>
      <c r="BP62" s="404"/>
      <c r="BQ62" s="404"/>
      <c r="BR62" s="404"/>
      <c r="BS62" s="404"/>
      <c r="BT62" s="404"/>
      <c r="BU62" s="404"/>
      <c r="BV62" s="404"/>
      <c r="BW62" s="404"/>
      <c r="BX62" s="404"/>
      <c r="BY62" s="404"/>
      <c r="BZ62" s="404"/>
      <c r="CA62" s="88"/>
      <c r="CB62" s="88"/>
      <c r="CC62" s="78"/>
      <c r="CD62" s="78"/>
      <c r="CE62" s="78"/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8"/>
      <c r="CV62" s="78"/>
      <c r="CW62" s="78"/>
      <c r="CX62" s="78"/>
      <c r="CY62" s="78"/>
      <c r="CZ62" s="78"/>
      <c r="DA62" s="78"/>
      <c r="DB62" s="78"/>
      <c r="DC62" s="78"/>
      <c r="DD62" s="78"/>
      <c r="DE62" s="78"/>
      <c r="DF62" s="78"/>
      <c r="DG62" s="78"/>
      <c r="DH62" s="78"/>
      <c r="DI62" s="78"/>
      <c r="DJ62" s="78"/>
      <c r="DK62" s="78"/>
      <c r="DL62" s="78"/>
      <c r="DM62" s="78"/>
      <c r="DN62" s="78"/>
      <c r="DO62" s="78"/>
      <c r="DP62" s="78"/>
      <c r="DQ62" s="78"/>
      <c r="DR62" s="78"/>
      <c r="DS62" s="78"/>
      <c r="DT62" s="78"/>
      <c r="DU62" s="78"/>
      <c r="DV62" s="78"/>
      <c r="DW62" s="78"/>
      <c r="DX62" s="78"/>
      <c r="DY62" s="78"/>
      <c r="DZ62" s="78"/>
      <c r="EA62" s="78"/>
      <c r="EB62" s="78"/>
      <c r="EC62" s="78"/>
      <c r="ED62" s="78"/>
      <c r="EE62" s="78"/>
      <c r="EF62" s="78"/>
      <c r="EG62" s="78"/>
      <c r="EH62" s="78"/>
      <c r="EI62" s="78"/>
      <c r="EJ62" s="78"/>
      <c r="EK62" s="78"/>
      <c r="EL62" s="78"/>
      <c r="EM62" s="78"/>
      <c r="EN62" s="78"/>
      <c r="EO62" s="78"/>
      <c r="EP62" s="78"/>
      <c r="EQ62" s="78"/>
      <c r="ER62" s="78"/>
      <c r="ES62" s="78"/>
      <c r="ET62" s="78"/>
      <c r="EU62" s="78"/>
      <c r="EV62" s="78"/>
      <c r="EW62" s="78"/>
      <c r="EX62" s="78"/>
      <c r="EY62" s="78"/>
      <c r="EZ62" s="78"/>
      <c r="FA62" s="78"/>
      <c r="FB62" s="78"/>
      <c r="FC62" s="78"/>
      <c r="FD62" s="78"/>
      <c r="FE62" s="78"/>
      <c r="FF62" s="78"/>
      <c r="FG62" s="78"/>
      <c r="FH62" s="78"/>
      <c r="FI62" s="78"/>
      <c r="FJ62" s="78"/>
      <c r="FK62" s="78"/>
      <c r="FL62" s="78"/>
      <c r="FM62" s="78"/>
      <c r="FN62" s="78"/>
      <c r="FO62" s="78"/>
      <c r="FP62" s="391"/>
      <c r="FQ62" s="392"/>
      <c r="FR62" s="392"/>
      <c r="FS62" s="392"/>
      <c r="FT62" s="392"/>
      <c r="FU62" s="392"/>
      <c r="FV62" s="392"/>
      <c r="FW62" s="392"/>
      <c r="FX62" s="392"/>
      <c r="FY62" s="392"/>
      <c r="FZ62" s="392"/>
      <c r="GA62" s="392"/>
      <c r="GB62" s="392"/>
      <c r="GC62" s="392"/>
      <c r="GD62" s="392"/>
      <c r="GE62" s="392"/>
      <c r="GF62" s="392"/>
      <c r="GG62" s="392"/>
      <c r="GH62" s="393"/>
      <c r="GI62" s="42"/>
    </row>
    <row r="63" spans="1:191" x14ac:dyDescent="0.3">
      <c r="A63" s="405" t="s">
        <v>157</v>
      </c>
      <c r="B63" s="405"/>
      <c r="C63" s="405"/>
      <c r="D63" s="405"/>
      <c r="E63" s="405"/>
      <c r="F63" s="405"/>
      <c r="G63" s="405"/>
      <c r="H63" s="405"/>
      <c r="I63" s="405"/>
      <c r="J63" s="405"/>
      <c r="K63" s="405"/>
      <c r="L63" s="405"/>
      <c r="M63" s="405"/>
      <c r="N63" s="405"/>
      <c r="O63" s="405"/>
      <c r="P63" s="405"/>
      <c r="Q63" s="405"/>
      <c r="R63" s="405"/>
      <c r="S63" s="405"/>
      <c r="T63" s="405"/>
      <c r="U63" s="405"/>
      <c r="V63" s="405"/>
      <c r="W63" s="405"/>
      <c r="X63" s="78"/>
      <c r="Y63" s="362" t="s">
        <v>158</v>
      </c>
      <c r="Z63" s="362"/>
      <c r="AA63" s="362"/>
      <c r="AB63" s="362"/>
      <c r="AC63" s="362"/>
      <c r="AD63" s="362"/>
      <c r="AE63" s="362"/>
      <c r="AF63" s="362"/>
      <c r="AG63" s="362"/>
      <c r="AH63" s="362"/>
      <c r="AI63" s="362"/>
      <c r="AJ63" s="362"/>
      <c r="AK63" s="362"/>
      <c r="AL63" s="362"/>
      <c r="AM63" s="362"/>
      <c r="AN63" s="362"/>
      <c r="AO63" s="362"/>
      <c r="AP63" s="362"/>
      <c r="AQ63" s="362"/>
      <c r="AR63" s="362"/>
      <c r="AS63" s="362"/>
      <c r="AT63" s="362"/>
      <c r="AU63" s="362"/>
      <c r="AV63" s="362"/>
      <c r="AW63" s="362"/>
      <c r="AX63" s="362"/>
      <c r="AY63" s="362"/>
      <c r="AZ63" s="362"/>
      <c r="BA63" s="362"/>
      <c r="BB63" s="362"/>
      <c r="BC63" s="362"/>
      <c r="BD63" s="362"/>
      <c r="BE63" s="362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V63" s="362"/>
      <c r="BW63" s="362"/>
      <c r="BX63" s="362"/>
      <c r="BY63" s="362"/>
      <c r="BZ63" s="362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 t="s">
        <v>159</v>
      </c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362" t="s">
        <v>160</v>
      </c>
      <c r="DG63" s="362"/>
      <c r="DH63" s="362"/>
      <c r="DI63" s="362"/>
      <c r="DJ63" s="362"/>
      <c r="DK63" s="362"/>
      <c r="DL63" s="362"/>
      <c r="DM63" s="362"/>
      <c r="DN63" s="362"/>
      <c r="DO63" s="362"/>
      <c r="DP63" s="362"/>
      <c r="DQ63" s="362"/>
      <c r="DR63" s="362"/>
      <c r="DS63" s="362"/>
      <c r="DT63" s="362"/>
      <c r="DU63" s="362"/>
      <c r="DV63" s="362"/>
      <c r="DW63" s="362"/>
      <c r="DX63" s="362"/>
      <c r="DY63" s="362"/>
      <c r="DZ63" s="362"/>
      <c r="EA63" s="362"/>
      <c r="EB63" s="362"/>
      <c r="EC63" s="362"/>
      <c r="ED63" s="362"/>
      <c r="EE63" s="362"/>
      <c r="EF63" s="362"/>
      <c r="EG63" s="362"/>
      <c r="EH63" s="362"/>
      <c r="EI63" s="362"/>
      <c r="EJ63" s="362"/>
      <c r="EK63" s="362"/>
      <c r="EL63" s="362"/>
      <c r="EM63" s="362"/>
      <c r="EN63" s="362"/>
      <c r="EO63" s="362"/>
      <c r="EP63" s="362"/>
      <c r="EQ63" s="362"/>
      <c r="ER63" s="362"/>
      <c r="ES63" s="362"/>
      <c r="ET63" s="362"/>
      <c r="EU63" s="362"/>
      <c r="EV63" s="362"/>
      <c r="EW63" s="362"/>
      <c r="EX63" s="362"/>
      <c r="EY63" s="362"/>
      <c r="EZ63" s="362"/>
      <c r="FA63" s="362"/>
      <c r="FB63" s="362"/>
      <c r="FC63" s="362"/>
      <c r="FD63" s="362"/>
      <c r="FE63" s="362"/>
      <c r="FF63" s="362"/>
      <c r="FG63" s="362"/>
      <c r="FH63" s="362"/>
      <c r="FI63" s="78"/>
      <c r="FJ63" s="78"/>
      <c r="FK63" s="78"/>
      <c r="FL63" s="78"/>
      <c r="FM63" s="78"/>
      <c r="FN63" s="82" t="s">
        <v>161</v>
      </c>
      <c r="FO63" s="78"/>
      <c r="FP63" s="394"/>
      <c r="FQ63" s="373"/>
      <c r="FR63" s="373"/>
      <c r="FS63" s="373"/>
      <c r="FT63" s="373"/>
      <c r="FU63" s="373"/>
      <c r="FV63" s="373"/>
      <c r="FW63" s="373"/>
      <c r="FX63" s="373"/>
      <c r="FY63" s="373"/>
      <c r="FZ63" s="373"/>
      <c r="GA63" s="373"/>
      <c r="GB63" s="373"/>
      <c r="GC63" s="373"/>
      <c r="GD63" s="373"/>
      <c r="GE63" s="373"/>
      <c r="GF63" s="373"/>
      <c r="GG63" s="373"/>
      <c r="GH63" s="395"/>
      <c r="GI63" s="42"/>
    </row>
    <row r="64" spans="1:191" ht="2.4" customHeight="1" x14ac:dyDescent="0.3">
      <c r="A64" s="405"/>
      <c r="B64" s="405"/>
      <c r="C64" s="405"/>
      <c r="D64" s="405"/>
      <c r="E64" s="405"/>
      <c r="F64" s="405"/>
      <c r="G64" s="405"/>
      <c r="H64" s="405"/>
      <c r="I64" s="405"/>
      <c r="J64" s="405"/>
      <c r="K64" s="405"/>
      <c r="L64" s="405"/>
      <c r="M64" s="405"/>
      <c r="N64" s="405"/>
      <c r="O64" s="405"/>
      <c r="P64" s="405"/>
      <c r="Q64" s="405"/>
      <c r="R64" s="405"/>
      <c r="S64" s="405"/>
      <c r="T64" s="405"/>
      <c r="U64" s="405"/>
      <c r="V64" s="405"/>
      <c r="W64" s="405"/>
      <c r="X64" s="78"/>
      <c r="Y64" s="404"/>
      <c r="Z64" s="404"/>
      <c r="AA64" s="404"/>
      <c r="AB64" s="404"/>
      <c r="AC64" s="404"/>
      <c r="AD64" s="404"/>
      <c r="AE64" s="404"/>
      <c r="AF64" s="404"/>
      <c r="AG64" s="404"/>
      <c r="AH64" s="404"/>
      <c r="AI64" s="404"/>
      <c r="AJ64" s="404"/>
      <c r="AK64" s="404"/>
      <c r="AL64" s="404"/>
      <c r="AM64" s="404"/>
      <c r="AN64" s="404"/>
      <c r="AO64" s="404"/>
      <c r="AP64" s="404"/>
      <c r="AQ64" s="404"/>
      <c r="AR64" s="404"/>
      <c r="AS64" s="404"/>
      <c r="AT64" s="404"/>
      <c r="AU64" s="404"/>
      <c r="AV64" s="404"/>
      <c r="AW64" s="404"/>
      <c r="AX64" s="404"/>
      <c r="AY64" s="404"/>
      <c r="AZ64" s="404"/>
      <c r="BA64" s="404"/>
      <c r="BB64" s="404"/>
      <c r="BC64" s="404"/>
      <c r="BD64" s="404"/>
      <c r="BE64" s="404"/>
      <c r="BF64" s="404"/>
      <c r="BG64" s="404"/>
      <c r="BH64" s="404"/>
      <c r="BI64" s="404"/>
      <c r="BJ64" s="404"/>
      <c r="BK64" s="404"/>
      <c r="BL64" s="404"/>
      <c r="BM64" s="404"/>
      <c r="BN64" s="404"/>
      <c r="BO64" s="404"/>
      <c r="BP64" s="404"/>
      <c r="BQ64" s="404"/>
      <c r="BR64" s="404"/>
      <c r="BS64" s="404"/>
      <c r="BT64" s="404"/>
      <c r="BU64" s="404"/>
      <c r="BV64" s="404"/>
      <c r="BW64" s="404"/>
      <c r="BX64" s="404"/>
      <c r="BY64" s="404"/>
      <c r="BZ64" s="404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399"/>
      <c r="FQ64" s="400"/>
      <c r="FR64" s="400"/>
      <c r="FS64" s="400"/>
      <c r="FT64" s="400"/>
      <c r="FU64" s="400"/>
      <c r="FV64" s="400"/>
      <c r="FW64" s="400"/>
      <c r="FX64" s="400"/>
      <c r="FY64" s="400"/>
      <c r="FZ64" s="400"/>
      <c r="GA64" s="400"/>
      <c r="GB64" s="400"/>
      <c r="GC64" s="400"/>
      <c r="GD64" s="400"/>
      <c r="GE64" s="400"/>
      <c r="GF64" s="400"/>
      <c r="GG64" s="400"/>
      <c r="GH64" s="401"/>
      <c r="GI64" s="42"/>
    </row>
    <row r="65" spans="1:191" ht="12.6" customHeight="1" x14ac:dyDescent="0.3">
      <c r="A65" s="367" t="s">
        <v>137</v>
      </c>
      <c r="B65" s="367"/>
      <c r="C65" s="367"/>
      <c r="D65" s="367"/>
      <c r="E65" s="367"/>
      <c r="F65" s="367"/>
      <c r="G65" s="367"/>
      <c r="H65" s="367"/>
      <c r="I65" s="367"/>
      <c r="J65" s="367"/>
      <c r="K65" s="367"/>
      <c r="L65" s="367"/>
      <c r="M65" s="367"/>
      <c r="N65" s="367"/>
      <c r="O65" s="367"/>
      <c r="P65" s="367"/>
      <c r="Q65" s="367"/>
      <c r="R65" s="367"/>
      <c r="S65" s="367"/>
      <c r="T65" s="373"/>
      <c r="U65" s="373"/>
      <c r="V65" s="373"/>
      <c r="W65" s="373"/>
      <c r="X65" s="373"/>
      <c r="Y65" s="373"/>
      <c r="Z65" s="373"/>
      <c r="AA65" s="373"/>
      <c r="AB65" s="373"/>
      <c r="AC65" s="373"/>
      <c r="AD65" s="373"/>
      <c r="AE65" s="373"/>
      <c r="AF65" s="373"/>
      <c r="AG65" s="373"/>
      <c r="AH65" s="78"/>
      <c r="AI65" s="78" t="s">
        <v>138</v>
      </c>
      <c r="AJ65" s="78"/>
      <c r="AK65" s="78"/>
      <c r="AL65" s="78"/>
      <c r="AM65" s="78"/>
      <c r="AN65" s="78"/>
      <c r="AO65" s="78"/>
      <c r="AP65" s="373"/>
      <c r="AQ65" s="373"/>
      <c r="AR65" s="373"/>
      <c r="AS65" s="373"/>
      <c r="AT65" s="373"/>
      <c r="AU65" s="373"/>
      <c r="AV65" s="373"/>
      <c r="AW65" s="373"/>
      <c r="AX65" s="373"/>
      <c r="AY65" s="373"/>
      <c r="AZ65" s="373"/>
      <c r="BA65" s="373"/>
      <c r="BB65" s="373"/>
      <c r="BC65" s="373"/>
      <c r="BD65" s="78"/>
      <c r="BE65" s="78" t="s">
        <v>56</v>
      </c>
      <c r="BF65" s="78"/>
      <c r="BG65" s="78"/>
      <c r="BH65" s="78"/>
      <c r="BI65" s="373"/>
      <c r="BJ65" s="373"/>
      <c r="BK65" s="373"/>
      <c r="BL65" s="373"/>
      <c r="BM65" s="373"/>
      <c r="BN65" s="373"/>
      <c r="BO65" s="373"/>
      <c r="BP65" s="373"/>
      <c r="BQ65" s="373"/>
      <c r="BR65" s="373"/>
      <c r="BS65" s="373"/>
      <c r="BT65" s="373"/>
      <c r="BU65" s="373"/>
      <c r="BV65" s="373"/>
      <c r="BW65" s="93"/>
      <c r="BX65" s="93"/>
      <c r="BY65" s="93"/>
      <c r="BZ65" s="93"/>
      <c r="CA65" s="93"/>
      <c r="CB65" s="93"/>
      <c r="CC65" s="93"/>
      <c r="CD65" s="93"/>
      <c r="CE65" s="93"/>
      <c r="CF65" s="93"/>
      <c r="CG65" s="93"/>
      <c r="CH65" s="93"/>
      <c r="CI65" s="93"/>
      <c r="CJ65" s="93"/>
      <c r="CK65" s="93"/>
      <c r="CL65" s="93"/>
      <c r="CM65" s="93"/>
      <c r="CN65" s="93"/>
      <c r="CO65" s="93"/>
      <c r="CP65" s="93"/>
      <c r="CQ65" s="93"/>
      <c r="CR65" s="93"/>
      <c r="CS65" s="93"/>
      <c r="CT65" s="93"/>
      <c r="CU65" s="93"/>
      <c r="CV65" s="93"/>
      <c r="CW65" s="93"/>
      <c r="CX65" s="93"/>
      <c r="CY65" s="93"/>
      <c r="CZ65" s="93"/>
      <c r="DA65" s="93"/>
      <c r="DB65" s="93"/>
      <c r="DC65" s="93"/>
      <c r="DD65" s="93"/>
      <c r="DE65" s="93"/>
      <c r="DF65" s="93"/>
      <c r="DG65" s="93"/>
      <c r="DH65" s="93"/>
      <c r="DI65" s="93"/>
      <c r="DJ65" s="93"/>
      <c r="DK65" s="93"/>
      <c r="DL65" s="93"/>
      <c r="DM65" s="93"/>
      <c r="DN65" s="93"/>
      <c r="DO65" s="93"/>
      <c r="DP65" s="93"/>
      <c r="DQ65" s="93"/>
      <c r="DR65" s="93"/>
      <c r="DS65" s="93"/>
      <c r="DT65" s="93"/>
      <c r="DU65" s="93"/>
      <c r="DV65" s="93"/>
      <c r="DW65" s="93"/>
      <c r="DX65" s="93"/>
      <c r="DY65" s="78"/>
      <c r="DZ65" s="78"/>
      <c r="EA65" s="78"/>
      <c r="EB65" s="78"/>
      <c r="EC65" s="78"/>
      <c r="ED65" s="78"/>
      <c r="EE65" s="78"/>
      <c r="EF65" s="78"/>
      <c r="EG65" s="78"/>
      <c r="EH65" s="78"/>
      <c r="EI65" s="78"/>
      <c r="EJ65" s="78"/>
      <c r="EK65" s="78"/>
      <c r="EL65" s="78"/>
      <c r="EM65" s="78"/>
      <c r="EN65" s="78"/>
      <c r="EO65" s="78"/>
      <c r="EP65" s="78"/>
      <c r="EQ65" s="78"/>
      <c r="ER65" s="78"/>
      <c r="ES65" s="78"/>
      <c r="ET65" s="78"/>
      <c r="EU65" s="78"/>
      <c r="EV65" s="78"/>
      <c r="EW65" s="78"/>
      <c r="EX65" s="78"/>
      <c r="EY65" s="78"/>
      <c r="EZ65" s="78"/>
      <c r="FA65" s="78"/>
      <c r="FB65" s="78"/>
      <c r="FC65" s="78"/>
      <c r="FD65" s="78"/>
      <c r="FE65" s="78"/>
      <c r="FF65" s="78"/>
      <c r="FG65" s="78"/>
      <c r="FH65" s="78"/>
      <c r="FI65" s="78"/>
      <c r="FJ65" s="78"/>
      <c r="FK65" s="78"/>
      <c r="FL65" s="78"/>
      <c r="FM65" s="78"/>
      <c r="FN65" s="78"/>
      <c r="FO65" s="78"/>
      <c r="FP65" s="391"/>
      <c r="FQ65" s="392"/>
      <c r="FR65" s="392"/>
      <c r="FS65" s="392"/>
      <c r="FT65" s="392"/>
      <c r="FU65" s="392"/>
      <c r="FV65" s="392"/>
      <c r="FW65" s="392"/>
      <c r="FX65" s="392"/>
      <c r="FY65" s="392"/>
      <c r="FZ65" s="392"/>
      <c r="GA65" s="392"/>
      <c r="GB65" s="392"/>
      <c r="GC65" s="392"/>
      <c r="GD65" s="392"/>
      <c r="GE65" s="392"/>
      <c r="GF65" s="392"/>
      <c r="GG65" s="392"/>
      <c r="GH65" s="393"/>
      <c r="GI65" s="42"/>
    </row>
    <row r="66" spans="1:191" ht="13.95" customHeight="1" x14ac:dyDescent="0.3">
      <c r="A66" s="78" t="s">
        <v>162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396" t="s">
        <v>163</v>
      </c>
      <c r="R66" s="396"/>
      <c r="S66" s="396"/>
      <c r="T66" s="396"/>
      <c r="U66" s="396"/>
      <c r="V66" s="396"/>
      <c r="W66" s="396"/>
      <c r="X66" s="396"/>
      <c r="Y66" s="396"/>
      <c r="Z66" s="396"/>
      <c r="AA66" s="396"/>
      <c r="AB66" s="396"/>
      <c r="AC66" s="396"/>
      <c r="AD66" s="396"/>
      <c r="AE66" s="396"/>
      <c r="AF66" s="396"/>
      <c r="AG66" s="396"/>
      <c r="AH66" s="396"/>
      <c r="AI66" s="396"/>
      <c r="AJ66" s="396"/>
      <c r="AK66" s="396"/>
      <c r="AL66" s="396"/>
      <c r="AM66" s="396"/>
      <c r="AN66" s="396"/>
      <c r="AO66" s="396"/>
      <c r="AP66" s="396"/>
      <c r="AQ66" s="396"/>
      <c r="AR66" s="396"/>
      <c r="AS66" s="396"/>
      <c r="AT66" s="396"/>
      <c r="AU66" s="396"/>
      <c r="AV66" s="396"/>
      <c r="AW66" s="396"/>
      <c r="AX66" s="396"/>
      <c r="AY66" s="396"/>
      <c r="AZ66" s="396"/>
      <c r="BA66" s="396"/>
      <c r="BB66" s="396"/>
      <c r="BC66" s="396"/>
      <c r="BD66" s="396"/>
      <c r="BE66" s="396"/>
      <c r="BF66" s="396"/>
      <c r="BG66" s="396"/>
      <c r="BH66" s="396"/>
      <c r="BI66" s="396"/>
      <c r="BJ66" s="396"/>
      <c r="BK66" s="396"/>
      <c r="BL66" s="396"/>
      <c r="BM66" s="396"/>
      <c r="BN66" s="396"/>
      <c r="BO66" s="396"/>
      <c r="BP66" s="396"/>
      <c r="BQ66" s="396"/>
      <c r="BR66" s="396"/>
      <c r="BS66" s="396"/>
      <c r="BT66" s="396"/>
      <c r="BU66" s="396"/>
      <c r="BV66" s="396"/>
      <c r="BW66" s="396"/>
      <c r="BX66" s="396"/>
      <c r="BY66" s="396"/>
      <c r="BZ66" s="396"/>
      <c r="CA66" s="396"/>
      <c r="CB66" s="396"/>
      <c r="CC66" s="78"/>
      <c r="CD66" s="78" t="s">
        <v>164</v>
      </c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397" t="s">
        <v>165</v>
      </c>
      <c r="CU66" s="397"/>
      <c r="CV66" s="397"/>
      <c r="CW66" s="397"/>
      <c r="CX66" s="397"/>
      <c r="CY66" s="397"/>
      <c r="CZ66" s="397"/>
      <c r="DA66" s="397"/>
      <c r="DB66" s="397"/>
      <c r="DC66" s="397"/>
      <c r="DD66" s="397"/>
      <c r="DE66" s="397"/>
      <c r="DF66" s="397"/>
      <c r="DG66" s="397"/>
      <c r="DH66" s="397"/>
      <c r="DI66" s="397"/>
      <c r="DJ66" s="397"/>
      <c r="DK66" s="397"/>
      <c r="DL66" s="397"/>
      <c r="DM66" s="397"/>
      <c r="DN66" s="397"/>
      <c r="DO66" s="397"/>
      <c r="DP66" s="397"/>
      <c r="DQ66" s="397"/>
      <c r="DR66" s="397"/>
      <c r="DS66" s="397"/>
      <c r="DT66" s="397"/>
      <c r="DU66" s="397"/>
      <c r="DV66" s="397"/>
      <c r="DW66" s="397"/>
      <c r="DX66" s="397"/>
      <c r="DY66" s="397"/>
      <c r="DZ66" s="397"/>
      <c r="EA66" s="397"/>
      <c r="EB66" s="397"/>
      <c r="EC66" s="397"/>
      <c r="ED66" s="397"/>
      <c r="EE66" s="397"/>
      <c r="EF66" s="397"/>
      <c r="EG66" s="397"/>
      <c r="EH66" s="397"/>
      <c r="EI66" s="397"/>
      <c r="EJ66" s="397"/>
      <c r="EK66" s="397"/>
      <c r="EL66" s="397"/>
      <c r="EM66" s="397"/>
      <c r="EN66" s="397"/>
      <c r="EO66" s="397"/>
      <c r="EP66" s="397"/>
      <c r="EQ66" s="397"/>
      <c r="ER66" s="397"/>
      <c r="ES66" s="397"/>
      <c r="ET66" s="397"/>
      <c r="EU66" s="397"/>
      <c r="EV66" s="397"/>
      <c r="EW66" s="397"/>
      <c r="EX66" s="397"/>
      <c r="EY66" s="397"/>
      <c r="EZ66" s="397"/>
      <c r="FA66" s="397"/>
      <c r="FB66" s="397"/>
      <c r="FC66" s="397"/>
      <c r="FD66" s="78"/>
      <c r="FE66" s="78"/>
      <c r="FF66" s="78"/>
      <c r="FG66" s="78"/>
      <c r="FH66" s="78"/>
      <c r="FI66" s="78"/>
      <c r="FJ66" s="78"/>
      <c r="FK66" s="78"/>
      <c r="FL66" s="78"/>
      <c r="FM66" s="78"/>
      <c r="FN66" s="82" t="s">
        <v>166</v>
      </c>
      <c r="FO66" s="78"/>
      <c r="FP66" s="394"/>
      <c r="FQ66" s="373"/>
      <c r="FR66" s="373"/>
      <c r="FS66" s="373"/>
      <c r="FT66" s="373"/>
      <c r="FU66" s="373"/>
      <c r="FV66" s="373"/>
      <c r="FW66" s="373"/>
      <c r="FX66" s="373"/>
      <c r="FY66" s="373"/>
      <c r="FZ66" s="373"/>
      <c r="GA66" s="373"/>
      <c r="GB66" s="373"/>
      <c r="GC66" s="373"/>
      <c r="GD66" s="373"/>
      <c r="GE66" s="373"/>
      <c r="GF66" s="373"/>
      <c r="GG66" s="373"/>
      <c r="GH66" s="395"/>
      <c r="GI66" s="42"/>
    </row>
    <row r="67" spans="1:191" ht="7.95" customHeight="1" x14ac:dyDescent="0.3">
      <c r="A67" s="78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404" t="s">
        <v>167</v>
      </c>
      <c r="R67" s="404"/>
      <c r="S67" s="404"/>
      <c r="T67" s="404"/>
      <c r="U67" s="404"/>
      <c r="V67" s="404"/>
      <c r="W67" s="404"/>
      <c r="X67" s="404"/>
      <c r="Y67" s="404"/>
      <c r="Z67" s="404"/>
      <c r="AA67" s="404"/>
      <c r="AB67" s="404"/>
      <c r="AC67" s="404"/>
      <c r="AD67" s="404"/>
      <c r="AE67" s="404"/>
      <c r="AF67" s="404"/>
      <c r="AG67" s="404"/>
      <c r="AH67" s="404"/>
      <c r="AI67" s="404"/>
      <c r="AJ67" s="404"/>
      <c r="AK67" s="404"/>
      <c r="AL67" s="404"/>
      <c r="AM67" s="404"/>
      <c r="AN67" s="404"/>
      <c r="AO67" s="404"/>
      <c r="AP67" s="404"/>
      <c r="AQ67" s="404"/>
      <c r="AR67" s="404"/>
      <c r="AS67" s="404"/>
      <c r="AT67" s="404"/>
      <c r="AU67" s="404"/>
      <c r="AV67" s="404"/>
      <c r="AW67" s="404"/>
      <c r="AX67" s="404"/>
      <c r="AY67" s="404"/>
      <c r="AZ67" s="404"/>
      <c r="BA67" s="404"/>
      <c r="BB67" s="404"/>
      <c r="BC67" s="404"/>
      <c r="BD67" s="404"/>
      <c r="BE67" s="404"/>
      <c r="BF67" s="404"/>
      <c r="BG67" s="404"/>
      <c r="BH67" s="404"/>
      <c r="BI67" s="404"/>
      <c r="BJ67" s="404"/>
      <c r="BK67" s="404"/>
      <c r="BL67" s="404"/>
      <c r="BM67" s="404"/>
      <c r="BN67" s="404"/>
      <c r="BO67" s="404"/>
      <c r="BP67" s="404"/>
      <c r="BQ67" s="404"/>
      <c r="BR67" s="404"/>
      <c r="BS67" s="404"/>
      <c r="BT67" s="404"/>
      <c r="BU67" s="404"/>
      <c r="BV67" s="404"/>
      <c r="BW67" s="404"/>
      <c r="BX67" s="404"/>
      <c r="BY67" s="404"/>
      <c r="BZ67" s="404"/>
      <c r="CA67" s="404"/>
      <c r="CB67" s="404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404" t="s">
        <v>167</v>
      </c>
      <c r="CU67" s="404"/>
      <c r="CV67" s="404"/>
      <c r="CW67" s="404"/>
      <c r="CX67" s="404"/>
      <c r="CY67" s="404"/>
      <c r="CZ67" s="404"/>
      <c r="DA67" s="404"/>
      <c r="DB67" s="404"/>
      <c r="DC67" s="404"/>
      <c r="DD67" s="404"/>
      <c r="DE67" s="404"/>
      <c r="DF67" s="404"/>
      <c r="DG67" s="404"/>
      <c r="DH67" s="404"/>
      <c r="DI67" s="404"/>
      <c r="DJ67" s="404"/>
      <c r="DK67" s="404"/>
      <c r="DL67" s="404"/>
      <c r="DM67" s="404"/>
      <c r="DN67" s="404"/>
      <c r="DO67" s="404"/>
      <c r="DP67" s="404"/>
      <c r="DQ67" s="404"/>
      <c r="DR67" s="404"/>
      <c r="DS67" s="404"/>
      <c r="DT67" s="404"/>
      <c r="DU67" s="404"/>
      <c r="DV67" s="404"/>
      <c r="DW67" s="404"/>
      <c r="DX67" s="404"/>
      <c r="DY67" s="404"/>
      <c r="DZ67" s="404"/>
      <c r="EA67" s="404"/>
      <c r="EB67" s="404"/>
      <c r="EC67" s="404"/>
      <c r="ED67" s="404"/>
      <c r="EE67" s="404"/>
      <c r="EF67" s="404"/>
      <c r="EG67" s="404"/>
      <c r="EH67" s="404"/>
      <c r="EI67" s="404"/>
      <c r="EJ67" s="404"/>
      <c r="EK67" s="404"/>
      <c r="EL67" s="404"/>
      <c r="EM67" s="404"/>
      <c r="EN67" s="404"/>
      <c r="EO67" s="404"/>
      <c r="EP67" s="404"/>
      <c r="EQ67" s="404"/>
      <c r="ER67" s="404"/>
      <c r="ES67" s="404"/>
      <c r="ET67" s="404"/>
      <c r="EU67" s="404"/>
      <c r="EV67" s="404"/>
      <c r="EW67" s="404"/>
      <c r="EX67" s="404"/>
      <c r="EY67" s="404"/>
      <c r="EZ67" s="404"/>
      <c r="FA67" s="404"/>
      <c r="FB67" s="404"/>
      <c r="FC67" s="404"/>
      <c r="FD67" s="78"/>
      <c r="FE67" s="78"/>
      <c r="FF67" s="78"/>
      <c r="FG67" s="78"/>
      <c r="FH67" s="78"/>
      <c r="FI67" s="78"/>
      <c r="FJ67" s="78"/>
      <c r="FK67" s="78"/>
      <c r="FL67" s="78"/>
      <c r="FM67" s="78"/>
      <c r="FN67" s="78"/>
      <c r="FO67" s="78"/>
      <c r="FP67" s="399"/>
      <c r="FQ67" s="400"/>
      <c r="FR67" s="400"/>
      <c r="FS67" s="400"/>
      <c r="FT67" s="400"/>
      <c r="FU67" s="400"/>
      <c r="FV67" s="400"/>
      <c r="FW67" s="400"/>
      <c r="FX67" s="400"/>
      <c r="FY67" s="400"/>
      <c r="FZ67" s="400"/>
      <c r="GA67" s="400"/>
      <c r="GB67" s="400"/>
      <c r="GC67" s="400"/>
      <c r="GD67" s="400"/>
      <c r="GE67" s="400"/>
      <c r="GF67" s="400"/>
      <c r="GG67" s="400"/>
      <c r="GH67" s="401"/>
      <c r="GI67" s="42"/>
    </row>
    <row r="68" spans="1:191" x14ac:dyDescent="0.3">
      <c r="A68" s="78" t="s">
        <v>168</v>
      </c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300" t="s">
        <v>169</v>
      </c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  <c r="AF68" s="300"/>
      <c r="AG68" s="300"/>
      <c r="AH68" s="300"/>
      <c r="AI68" s="300"/>
      <c r="AJ68" s="300"/>
      <c r="AK68" s="300"/>
      <c r="AL68" s="300"/>
      <c r="AM68" s="300"/>
      <c r="AN68" s="300"/>
      <c r="AO68" s="300"/>
      <c r="AP68" s="300"/>
      <c r="AQ68" s="300"/>
      <c r="AR68" s="300"/>
      <c r="AS68" s="300"/>
      <c r="AT68" s="300"/>
      <c r="AU68" s="300"/>
      <c r="AV68" s="300"/>
      <c r="AW68" s="300"/>
      <c r="AX68" s="300"/>
      <c r="AY68" s="300"/>
      <c r="AZ68" s="300"/>
      <c r="BA68" s="300"/>
      <c r="BB68" s="300"/>
      <c r="BC68" s="300"/>
      <c r="BD68" s="300"/>
      <c r="BE68" s="300"/>
      <c r="BF68" s="300"/>
      <c r="BG68" s="300"/>
      <c r="BH68" s="300"/>
      <c r="BI68" s="300"/>
      <c r="BJ68" s="300"/>
      <c r="BK68" s="300"/>
      <c r="BL68" s="300"/>
      <c r="BM68" s="300"/>
      <c r="BN68" s="300"/>
      <c r="BO68" s="300"/>
      <c r="BP68" s="300"/>
      <c r="BQ68" s="300"/>
      <c r="BR68" s="300"/>
      <c r="BS68" s="300"/>
      <c r="BT68" s="300"/>
      <c r="BU68" s="300"/>
      <c r="BV68" s="78"/>
      <c r="BW68" s="78" t="s">
        <v>170</v>
      </c>
      <c r="BX68" s="78"/>
      <c r="BY68" s="78"/>
      <c r="BZ68" s="78"/>
      <c r="CA68" s="78"/>
      <c r="CB68" s="78"/>
      <c r="CC68" s="78"/>
      <c r="CD68" s="78"/>
      <c r="CE68" s="78"/>
      <c r="CF68" s="78"/>
      <c r="CG68" s="78"/>
      <c r="CH68" s="369" t="s">
        <v>171</v>
      </c>
      <c r="CI68" s="369"/>
      <c r="CJ68" s="369"/>
      <c r="CK68" s="369"/>
      <c r="CL68" s="369"/>
      <c r="CM68" s="369"/>
      <c r="CN68" s="369"/>
      <c r="CO68" s="369"/>
      <c r="CP68" s="369"/>
      <c r="CQ68" s="369"/>
      <c r="CR68" s="369"/>
      <c r="CS68" s="369"/>
      <c r="CT68" s="369"/>
      <c r="CU68" s="369"/>
      <c r="CV68" s="369"/>
      <c r="CW68" s="369"/>
      <c r="CX68" s="369"/>
      <c r="CY68" s="369"/>
      <c r="CZ68" s="78"/>
      <c r="DA68" s="94" t="s">
        <v>145</v>
      </c>
      <c r="DB68" s="78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95"/>
      <c r="DP68" s="95"/>
      <c r="DQ68" s="95"/>
      <c r="DR68" s="95"/>
      <c r="DS68" s="95"/>
      <c r="DT68" s="95"/>
      <c r="DU68" s="95"/>
      <c r="DV68" s="371" t="s">
        <v>172</v>
      </c>
      <c r="DW68" s="371"/>
      <c r="DX68" s="371"/>
      <c r="DY68" s="371"/>
      <c r="DZ68" s="371"/>
      <c r="EA68" s="371"/>
      <c r="EB68" s="371"/>
      <c r="EC68" s="371"/>
      <c r="ED68" s="371"/>
      <c r="EE68" s="371"/>
      <c r="EF68" s="371"/>
      <c r="EG68" s="371"/>
      <c r="EH68" s="371"/>
      <c r="EI68" s="371"/>
      <c r="EJ68" s="371"/>
      <c r="EK68" s="371"/>
      <c r="EL68" s="371"/>
      <c r="EM68" s="371"/>
      <c r="EN68" s="371"/>
      <c r="EO68" s="371"/>
      <c r="EP68" s="371"/>
      <c r="EQ68" s="371"/>
      <c r="ER68" s="371"/>
      <c r="ES68" s="371"/>
      <c r="ET68" s="371"/>
      <c r="EU68" s="371"/>
      <c r="EV68" s="371"/>
      <c r="EW68" s="371"/>
      <c r="EX68" s="96"/>
      <c r="EY68" s="96"/>
      <c r="EZ68" s="96"/>
      <c r="FA68" s="96"/>
      <c r="FB68" s="96"/>
      <c r="FC68" s="96"/>
      <c r="FD68" s="96"/>
      <c r="FE68" s="96"/>
      <c r="FF68" s="96"/>
      <c r="FG68" s="96"/>
      <c r="FH68" s="96"/>
      <c r="FI68" s="96"/>
      <c r="FJ68" s="96"/>
      <c r="FK68" s="96"/>
      <c r="FL68" s="96"/>
      <c r="FM68" s="96"/>
      <c r="FN68" s="82" t="s">
        <v>173</v>
      </c>
      <c r="FO68" s="78"/>
      <c r="FP68" s="394"/>
      <c r="FQ68" s="373"/>
      <c r="FR68" s="373"/>
      <c r="FS68" s="373"/>
      <c r="FT68" s="373"/>
      <c r="FU68" s="373"/>
      <c r="FV68" s="373"/>
      <c r="FW68" s="373"/>
      <c r="FX68" s="373"/>
      <c r="FY68" s="373"/>
      <c r="FZ68" s="373"/>
      <c r="GA68" s="373"/>
      <c r="GB68" s="373"/>
      <c r="GC68" s="373"/>
      <c r="GD68" s="373"/>
      <c r="GE68" s="373"/>
      <c r="GF68" s="373"/>
      <c r="GG68" s="373"/>
      <c r="GH68" s="395"/>
      <c r="GI68" s="42"/>
    </row>
    <row r="69" spans="1:191" ht="9" customHeight="1" x14ac:dyDescent="0.3">
      <c r="A69" s="78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404" t="s">
        <v>174</v>
      </c>
      <c r="R69" s="404"/>
      <c r="S69" s="404"/>
      <c r="T69" s="404"/>
      <c r="U69" s="404"/>
      <c r="V69" s="404"/>
      <c r="W69" s="404"/>
      <c r="X69" s="404"/>
      <c r="Y69" s="404"/>
      <c r="Z69" s="404"/>
      <c r="AA69" s="404"/>
      <c r="AB69" s="404"/>
      <c r="AC69" s="404"/>
      <c r="AD69" s="404"/>
      <c r="AE69" s="404"/>
      <c r="AF69" s="404"/>
      <c r="AG69" s="404"/>
      <c r="AH69" s="404"/>
      <c r="AI69" s="404"/>
      <c r="AJ69" s="404"/>
      <c r="AK69" s="404"/>
      <c r="AL69" s="404"/>
      <c r="AM69" s="404"/>
      <c r="AN69" s="404"/>
      <c r="AO69" s="404"/>
      <c r="AP69" s="404"/>
      <c r="AQ69" s="404"/>
      <c r="AR69" s="404"/>
      <c r="AS69" s="404"/>
      <c r="AT69" s="404"/>
      <c r="AU69" s="404"/>
      <c r="AV69" s="404"/>
      <c r="AW69" s="404"/>
      <c r="AX69" s="404"/>
      <c r="AY69" s="404"/>
      <c r="AZ69" s="404"/>
      <c r="BA69" s="404"/>
      <c r="BB69" s="404"/>
      <c r="BC69" s="404"/>
      <c r="BD69" s="404"/>
      <c r="BE69" s="404"/>
      <c r="BF69" s="404"/>
      <c r="BG69" s="404"/>
      <c r="BH69" s="404"/>
      <c r="BI69" s="404"/>
      <c r="BJ69" s="404"/>
      <c r="BK69" s="404"/>
      <c r="BL69" s="404"/>
      <c r="BM69" s="404"/>
      <c r="BN69" s="404"/>
      <c r="BO69" s="404"/>
      <c r="BP69" s="404"/>
      <c r="BQ69" s="404"/>
      <c r="BR69" s="404"/>
      <c r="BS69" s="404"/>
      <c r="BT69" s="404"/>
      <c r="BU69" s="404"/>
      <c r="BV69" s="78"/>
      <c r="BW69" s="78"/>
      <c r="BX69" s="78"/>
      <c r="BY69" s="78"/>
      <c r="BZ69" s="78"/>
      <c r="CA69" s="78"/>
      <c r="CB69" s="78"/>
      <c r="CC69" s="78"/>
      <c r="CD69" s="78"/>
      <c r="CE69" s="78"/>
      <c r="CF69" s="78"/>
      <c r="CG69" s="78"/>
      <c r="CH69" s="404" t="s">
        <v>150</v>
      </c>
      <c r="CI69" s="404"/>
      <c r="CJ69" s="404"/>
      <c r="CK69" s="404"/>
      <c r="CL69" s="404"/>
      <c r="CM69" s="404"/>
      <c r="CN69" s="404"/>
      <c r="CO69" s="404"/>
      <c r="CP69" s="404"/>
      <c r="CQ69" s="404"/>
      <c r="CR69" s="404"/>
      <c r="CS69" s="404"/>
      <c r="CT69" s="404"/>
      <c r="CU69" s="404"/>
      <c r="CV69" s="404"/>
      <c r="CW69" s="404"/>
      <c r="CX69" s="404"/>
      <c r="CY69" s="404"/>
      <c r="CZ69" s="78"/>
      <c r="DA69" s="78"/>
      <c r="DB69" s="78"/>
      <c r="DC69" s="78"/>
      <c r="DD69" s="78"/>
      <c r="DE69" s="78"/>
      <c r="DF69" s="78"/>
      <c r="DG69" s="78"/>
      <c r="DH69" s="78"/>
      <c r="DI69" s="78"/>
      <c r="DJ69" s="78"/>
      <c r="DK69" s="78"/>
      <c r="DL69" s="78"/>
      <c r="DM69" s="78"/>
      <c r="DN69" s="78"/>
      <c r="DO69" s="78"/>
      <c r="DP69" s="78"/>
      <c r="DQ69" s="78"/>
      <c r="DR69" s="78"/>
      <c r="DS69" s="78"/>
      <c r="DT69" s="78"/>
      <c r="DU69" s="78"/>
      <c r="DV69" s="78"/>
      <c r="DW69" s="78"/>
      <c r="DX69" s="78"/>
      <c r="DY69" s="78"/>
      <c r="DZ69" s="78"/>
      <c r="EA69" s="78"/>
      <c r="EB69" s="78"/>
      <c r="EC69" s="78"/>
      <c r="ED69" s="78"/>
      <c r="EE69" s="78"/>
      <c r="EF69" s="78"/>
      <c r="EG69" s="78"/>
      <c r="EH69" s="78"/>
      <c r="EI69" s="78"/>
      <c r="EJ69" s="78"/>
      <c r="EK69" s="78"/>
      <c r="EL69" s="78"/>
      <c r="EM69" s="78"/>
      <c r="EN69" s="78"/>
      <c r="EO69" s="78"/>
      <c r="EP69" s="78"/>
      <c r="EQ69" s="78"/>
      <c r="ER69" s="78"/>
      <c r="ES69" s="78"/>
      <c r="ET69" s="78"/>
      <c r="EU69" s="78"/>
      <c r="EV69" s="78"/>
      <c r="EW69" s="78"/>
      <c r="EX69" s="97"/>
      <c r="EY69" s="97"/>
      <c r="EZ69" s="97"/>
      <c r="FA69" s="97"/>
      <c r="FB69" s="97"/>
      <c r="FC69" s="97"/>
      <c r="FD69" s="97"/>
      <c r="FE69" s="97"/>
      <c r="FF69" s="97"/>
      <c r="FG69" s="97"/>
      <c r="FH69" s="97"/>
      <c r="FI69" s="97"/>
      <c r="FJ69" s="97"/>
      <c r="FK69" s="97"/>
      <c r="FL69" s="97"/>
      <c r="FM69" s="97"/>
      <c r="FN69" s="97"/>
      <c r="FO69" s="78"/>
      <c r="FP69" s="399"/>
      <c r="FQ69" s="400"/>
      <c r="FR69" s="400"/>
      <c r="FS69" s="400"/>
      <c r="FT69" s="400"/>
      <c r="FU69" s="400"/>
      <c r="FV69" s="400"/>
      <c r="FW69" s="400"/>
      <c r="FX69" s="400"/>
      <c r="FY69" s="400"/>
      <c r="FZ69" s="400"/>
      <c r="GA69" s="400"/>
      <c r="GB69" s="400"/>
      <c r="GC69" s="400"/>
      <c r="GD69" s="400"/>
      <c r="GE69" s="400"/>
      <c r="GF69" s="400"/>
      <c r="GG69" s="400"/>
      <c r="GH69" s="401"/>
      <c r="GI69" s="42"/>
    </row>
    <row r="70" spans="1:191" ht="11.4" customHeight="1" thickBot="1" x14ac:dyDescent="0.35">
      <c r="A70" s="300" t="s">
        <v>151</v>
      </c>
      <c r="B70" s="300"/>
      <c r="C70" s="300"/>
      <c r="D70" s="300"/>
      <c r="E70" s="300"/>
      <c r="F70" s="300"/>
      <c r="G70" s="300"/>
      <c r="H70" s="300"/>
      <c r="I70" s="300"/>
      <c r="J70" s="300"/>
      <c r="K70" s="300"/>
      <c r="L70" s="300"/>
      <c r="M70" s="300"/>
      <c r="N70" s="300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  <c r="AF70" s="300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96"/>
      <c r="AX70" s="96"/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78"/>
      <c r="BS70" s="78"/>
      <c r="BT70" s="78"/>
      <c r="BU70" s="78"/>
      <c r="BV70" s="78"/>
      <c r="BW70" s="96" t="s">
        <v>175</v>
      </c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409" t="s">
        <v>169</v>
      </c>
      <c r="CI70" s="409"/>
      <c r="CJ70" s="409"/>
      <c r="CK70" s="409"/>
      <c r="CL70" s="409"/>
      <c r="CM70" s="409"/>
      <c r="CN70" s="409"/>
      <c r="CO70" s="409"/>
      <c r="CP70" s="409"/>
      <c r="CQ70" s="409"/>
      <c r="CR70" s="409"/>
      <c r="CS70" s="409"/>
      <c r="CT70" s="409"/>
      <c r="CU70" s="409"/>
      <c r="CV70" s="409"/>
      <c r="CW70" s="409"/>
      <c r="CX70" s="409"/>
      <c r="CY70" s="409"/>
      <c r="CZ70" s="78"/>
      <c r="DA70" s="94" t="s">
        <v>145</v>
      </c>
      <c r="DB70" s="78"/>
      <c r="DC70" s="95"/>
      <c r="DD70" s="95"/>
      <c r="DE70" s="95"/>
      <c r="DF70" s="95"/>
      <c r="DG70" s="95"/>
      <c r="DH70" s="95"/>
      <c r="DI70" s="95"/>
      <c r="DJ70" s="95"/>
      <c r="DK70" s="95"/>
      <c r="DL70" s="95"/>
      <c r="DM70" s="95"/>
      <c r="DN70" s="95"/>
      <c r="DO70" s="95"/>
      <c r="DP70" s="95"/>
      <c r="DQ70" s="95"/>
      <c r="DR70" s="95"/>
      <c r="DS70" s="95"/>
      <c r="DT70" s="95"/>
      <c r="DU70" s="95"/>
      <c r="DV70" s="410"/>
      <c r="DW70" s="410"/>
      <c r="DX70" s="410"/>
      <c r="DY70" s="410"/>
      <c r="DZ70" s="410"/>
      <c r="EA70" s="410"/>
      <c r="EB70" s="410"/>
      <c r="EC70" s="410"/>
      <c r="ED70" s="410"/>
      <c r="EE70" s="410"/>
      <c r="EF70" s="410"/>
      <c r="EG70" s="410"/>
      <c r="EH70" s="410"/>
      <c r="EI70" s="410"/>
      <c r="EJ70" s="410"/>
      <c r="EK70" s="410"/>
      <c r="EL70" s="410"/>
      <c r="EM70" s="410"/>
      <c r="EN70" s="410"/>
      <c r="EO70" s="410"/>
      <c r="EP70" s="410"/>
      <c r="EQ70" s="410"/>
      <c r="ER70" s="410"/>
      <c r="ES70" s="410"/>
      <c r="ET70" s="410"/>
      <c r="EU70" s="410"/>
      <c r="EV70" s="410"/>
      <c r="EW70" s="410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 t="s">
        <v>173</v>
      </c>
      <c r="FO70" s="78"/>
      <c r="FP70" s="406"/>
      <c r="FQ70" s="407"/>
      <c r="FR70" s="407"/>
      <c r="FS70" s="407"/>
      <c r="FT70" s="407"/>
      <c r="FU70" s="407"/>
      <c r="FV70" s="407"/>
      <c r="FW70" s="407"/>
      <c r="FX70" s="407"/>
      <c r="FY70" s="407"/>
      <c r="FZ70" s="407"/>
      <c r="GA70" s="407"/>
      <c r="GB70" s="407"/>
      <c r="GC70" s="407"/>
      <c r="GD70" s="407"/>
      <c r="GE70" s="407"/>
      <c r="GF70" s="407"/>
      <c r="GG70" s="407"/>
      <c r="GH70" s="408"/>
      <c r="GI70" s="42"/>
    </row>
    <row r="71" spans="1:191" ht="7.2" customHeight="1" x14ac:dyDescent="0.3">
      <c r="A71" s="404" t="s">
        <v>176</v>
      </c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  <c r="P71" s="404"/>
      <c r="Q71" s="404"/>
      <c r="R71" s="404"/>
      <c r="S71" s="404"/>
      <c r="T71" s="404"/>
      <c r="U71" s="404"/>
      <c r="V71" s="404"/>
      <c r="W71" s="404"/>
      <c r="X71" s="404"/>
      <c r="Y71" s="404"/>
      <c r="Z71" s="404"/>
      <c r="AA71" s="404"/>
      <c r="AB71" s="404"/>
      <c r="AC71" s="404"/>
      <c r="AD71" s="404"/>
      <c r="AE71" s="404"/>
      <c r="AF71" s="404"/>
      <c r="AG71" s="78"/>
      <c r="AH71" s="78"/>
      <c r="AI71" s="78"/>
      <c r="AJ71" s="78"/>
      <c r="AK71" s="78"/>
      <c r="AL71" s="78"/>
      <c r="AM71" s="78"/>
      <c r="AN71" s="78"/>
      <c r="AO71" s="405" t="s">
        <v>177</v>
      </c>
      <c r="AP71" s="405"/>
      <c r="AQ71" s="405"/>
      <c r="AR71" s="405"/>
      <c r="AS71" s="405"/>
      <c r="AT71" s="405"/>
      <c r="AU71" s="405"/>
      <c r="AV71" s="405"/>
      <c r="AW71" s="405"/>
      <c r="AX71" s="405"/>
      <c r="AY71" s="405"/>
      <c r="AZ71" s="405"/>
      <c r="BA71" s="405"/>
      <c r="BB71" s="405"/>
      <c r="BC71" s="405"/>
      <c r="BD71" s="405"/>
      <c r="BE71" s="405"/>
      <c r="BF71" s="405"/>
      <c r="BG71" s="405"/>
      <c r="BH71" s="405"/>
      <c r="BI71" s="405"/>
      <c r="BJ71" s="405"/>
      <c r="BK71" s="405"/>
      <c r="BL71" s="405"/>
      <c r="BM71" s="405"/>
      <c r="BN71" s="405"/>
      <c r="BO71" s="405"/>
      <c r="BP71" s="405"/>
      <c r="BQ71" s="405"/>
      <c r="BR71" s="405"/>
      <c r="BS71" s="405"/>
      <c r="BT71" s="405"/>
      <c r="BU71" s="78"/>
      <c r="BV71" s="78"/>
      <c r="BW71" s="78"/>
      <c r="BX71" s="78"/>
      <c r="BY71" s="78"/>
      <c r="BZ71" s="78"/>
      <c r="CA71" s="78"/>
      <c r="CB71" s="78"/>
      <c r="CC71" s="78"/>
      <c r="CD71" s="78"/>
      <c r="CE71" s="78"/>
      <c r="CF71" s="78"/>
      <c r="CG71" s="78"/>
      <c r="CH71" s="404" t="s">
        <v>150</v>
      </c>
      <c r="CI71" s="404"/>
      <c r="CJ71" s="404"/>
      <c r="CK71" s="404"/>
      <c r="CL71" s="404"/>
      <c r="CM71" s="404"/>
      <c r="CN71" s="404"/>
      <c r="CO71" s="404"/>
      <c r="CP71" s="404"/>
      <c r="CQ71" s="404"/>
      <c r="CR71" s="404"/>
      <c r="CS71" s="404"/>
      <c r="CT71" s="404"/>
      <c r="CU71" s="404"/>
      <c r="CV71" s="404"/>
      <c r="CW71" s="404"/>
      <c r="CX71" s="404"/>
      <c r="CY71" s="404"/>
      <c r="CZ71" s="78"/>
      <c r="DA71" s="78"/>
      <c r="DB71" s="78"/>
      <c r="DC71" s="78"/>
      <c r="DD71" s="78"/>
      <c r="DE71" s="78"/>
      <c r="DF71" s="78"/>
      <c r="DG71" s="78"/>
      <c r="DH71" s="78"/>
      <c r="DI71" s="78"/>
      <c r="DJ71" s="78"/>
      <c r="DK71" s="78"/>
      <c r="DL71" s="78"/>
      <c r="DM71" s="78"/>
      <c r="DN71" s="78"/>
      <c r="DO71" s="78"/>
      <c r="DP71" s="78"/>
      <c r="DQ71" s="78"/>
      <c r="DR71" s="78"/>
      <c r="DS71" s="78"/>
      <c r="DT71" s="78"/>
      <c r="DU71" s="78"/>
      <c r="DV71" s="78"/>
      <c r="DW71" s="78"/>
      <c r="DX71" s="78"/>
      <c r="DY71" s="78"/>
      <c r="DZ71" s="78"/>
      <c r="EA71" s="78"/>
      <c r="EB71" s="78"/>
      <c r="EC71" s="78"/>
      <c r="ED71" s="78"/>
      <c r="EE71" s="78"/>
      <c r="EF71" s="78"/>
      <c r="EG71" s="78"/>
      <c r="EH71" s="78"/>
      <c r="EI71" s="78"/>
      <c r="EJ71" s="78"/>
      <c r="EK71" s="78"/>
      <c r="EL71" s="78"/>
      <c r="EM71" s="78"/>
      <c r="EN71" s="78"/>
      <c r="EO71" s="78"/>
      <c r="EP71" s="78"/>
      <c r="EQ71" s="78"/>
      <c r="ER71" s="78"/>
      <c r="ES71" s="78"/>
      <c r="ET71" s="78"/>
      <c r="EU71" s="78"/>
      <c r="EV71" s="97"/>
      <c r="EW71" s="97"/>
      <c r="EX71" s="97"/>
      <c r="EY71" s="97"/>
      <c r="EZ71" s="97"/>
      <c r="FA71" s="97"/>
      <c r="FB71" s="97"/>
      <c r="FC71" s="97"/>
      <c r="FD71" s="97"/>
      <c r="FE71" s="97"/>
      <c r="FF71" s="97"/>
      <c r="FG71" s="97"/>
      <c r="FH71" s="97"/>
      <c r="FI71" s="97"/>
      <c r="FJ71" s="97"/>
      <c r="FK71" s="97"/>
      <c r="FL71" s="97"/>
      <c r="FM71" s="97"/>
      <c r="FN71" s="97"/>
      <c r="FO71" s="78"/>
      <c r="FP71" s="78"/>
      <c r="FQ71" s="78"/>
      <c r="FR71" s="78"/>
      <c r="FS71" s="78"/>
      <c r="FT71" s="78"/>
      <c r="FU71" s="78"/>
      <c r="FV71" s="78"/>
      <c r="FW71" s="78"/>
      <c r="FX71" s="78"/>
      <c r="FY71" s="78"/>
      <c r="FZ71" s="78"/>
      <c r="GA71" s="78"/>
      <c r="GB71" s="78"/>
      <c r="GC71" s="78"/>
      <c r="GD71" s="78"/>
      <c r="GE71" s="78"/>
      <c r="GF71" s="78"/>
      <c r="GG71" s="78"/>
      <c r="GH71" s="78"/>
      <c r="GI71" s="42"/>
    </row>
    <row r="72" spans="1:191" ht="4.2" customHeight="1" thickBot="1" x14ac:dyDescent="0.35">
      <c r="A72" s="78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418"/>
      <c r="AP72" s="418"/>
      <c r="AQ72" s="418"/>
      <c r="AR72" s="418"/>
      <c r="AS72" s="418"/>
      <c r="AT72" s="418"/>
      <c r="AU72" s="418"/>
      <c r="AV72" s="418"/>
      <c r="AW72" s="418"/>
      <c r="AX72" s="418"/>
      <c r="AY72" s="418"/>
      <c r="AZ72" s="418"/>
      <c r="BA72" s="418"/>
      <c r="BB72" s="418"/>
      <c r="BC72" s="418"/>
      <c r="BD72" s="418"/>
      <c r="BE72" s="418"/>
      <c r="BF72" s="418"/>
      <c r="BG72" s="418"/>
      <c r="BH72" s="418"/>
      <c r="BI72" s="418"/>
      <c r="BJ72" s="418"/>
      <c r="BK72" s="418"/>
      <c r="BL72" s="418"/>
      <c r="BM72" s="418"/>
      <c r="BN72" s="418"/>
      <c r="BO72" s="418"/>
      <c r="BP72" s="418"/>
      <c r="BQ72" s="418"/>
      <c r="BR72" s="418"/>
      <c r="BS72" s="418"/>
      <c r="BT72" s="418"/>
      <c r="BU72" s="78"/>
      <c r="BV72" s="78"/>
      <c r="BW72" s="78"/>
      <c r="BX72" s="78"/>
      <c r="BY72" s="78"/>
      <c r="BZ72" s="78"/>
      <c r="CA72" s="78"/>
      <c r="CB72" s="78"/>
      <c r="CC72" s="78"/>
      <c r="CD72" s="78"/>
      <c r="CE72" s="78"/>
      <c r="CF72" s="78"/>
      <c r="CG72" s="78"/>
      <c r="CH72" s="78"/>
      <c r="CI72" s="78"/>
      <c r="CJ72" s="78"/>
      <c r="CK72" s="78"/>
      <c r="CL72" s="78"/>
      <c r="CM72" s="78"/>
      <c r="CN72" s="78"/>
      <c r="CO72" s="78"/>
      <c r="CP72" s="78"/>
      <c r="CQ72" s="78"/>
      <c r="CR72" s="78"/>
      <c r="CS72" s="78"/>
      <c r="CT72" s="78"/>
      <c r="CU72" s="78"/>
      <c r="CV72" s="78"/>
      <c r="CW72" s="78"/>
      <c r="CX72" s="78"/>
      <c r="CY72" s="78"/>
      <c r="CZ72" s="78"/>
      <c r="DA72" s="78"/>
      <c r="DB72" s="78"/>
      <c r="DC72" s="78"/>
      <c r="DD72" s="78"/>
      <c r="DE72" s="78"/>
      <c r="DF72" s="78"/>
      <c r="DG72" s="78"/>
      <c r="DH72" s="78"/>
      <c r="DI72" s="78"/>
      <c r="DJ72" s="78"/>
      <c r="DK72" s="78"/>
      <c r="DL72" s="78"/>
      <c r="DM72" s="78"/>
      <c r="DN72" s="78"/>
      <c r="DO72" s="78"/>
      <c r="DP72" s="78"/>
      <c r="DQ72" s="78"/>
      <c r="DR72" s="78"/>
      <c r="DS72" s="78"/>
      <c r="DT72" s="78"/>
      <c r="DU72" s="78"/>
      <c r="DV72" s="78"/>
      <c r="DW72" s="78"/>
      <c r="DX72" s="78"/>
      <c r="DY72" s="78"/>
      <c r="DZ72" s="78"/>
      <c r="EA72" s="78"/>
      <c r="EB72" s="78"/>
      <c r="EC72" s="78"/>
      <c r="ED72" s="78"/>
      <c r="EE72" s="78"/>
      <c r="EF72" s="78"/>
      <c r="EG72" s="78"/>
      <c r="EH72" s="78"/>
      <c r="EI72" s="78"/>
      <c r="EJ72" s="78"/>
      <c r="EK72" s="78"/>
      <c r="EL72" s="78"/>
      <c r="EM72" s="78"/>
      <c r="EN72" s="78"/>
      <c r="EO72" s="78"/>
      <c r="EP72" s="78"/>
      <c r="EQ72" s="78"/>
      <c r="ER72" s="78"/>
      <c r="ES72" s="78"/>
      <c r="ET72" s="78"/>
      <c r="EU72" s="78"/>
      <c r="EV72" s="97"/>
      <c r="EW72" s="97"/>
      <c r="EX72" s="97"/>
      <c r="EY72" s="97"/>
      <c r="EZ72" s="97"/>
      <c r="FA72" s="97"/>
      <c r="FB72" s="97"/>
      <c r="FC72" s="97"/>
      <c r="FD72" s="97"/>
      <c r="FE72" s="97"/>
      <c r="FF72" s="97"/>
      <c r="FG72" s="97"/>
      <c r="FH72" s="97"/>
      <c r="FI72" s="97"/>
      <c r="FJ72" s="97"/>
      <c r="FK72" s="97"/>
      <c r="FL72" s="97"/>
      <c r="FM72" s="97"/>
      <c r="FN72" s="97"/>
      <c r="FO72" s="78"/>
      <c r="FP72" s="78"/>
      <c r="FQ72" s="78"/>
      <c r="FR72" s="78"/>
      <c r="FS72" s="78"/>
      <c r="FT72" s="78"/>
      <c r="FU72" s="78"/>
      <c r="FV72" s="78"/>
      <c r="FW72" s="78"/>
      <c r="FX72" s="78"/>
      <c r="FY72" s="78"/>
      <c r="FZ72" s="78"/>
      <c r="GA72" s="78"/>
      <c r="GB72" s="78"/>
      <c r="GC72" s="78"/>
      <c r="GD72" s="78"/>
      <c r="GE72" s="78"/>
      <c r="GF72" s="78"/>
      <c r="GG72" s="78"/>
      <c r="GH72" s="78"/>
      <c r="GI72" s="42"/>
    </row>
    <row r="73" spans="1:191" ht="19.2" customHeight="1" thickTop="1" x14ac:dyDescent="0.3">
      <c r="A73" s="419" t="s">
        <v>178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  <c r="N73" s="420"/>
      <c r="O73" s="420"/>
      <c r="P73" s="420"/>
      <c r="Q73" s="420"/>
      <c r="R73" s="420"/>
      <c r="S73" s="420"/>
      <c r="T73" s="420"/>
      <c r="U73" s="420"/>
      <c r="V73" s="420"/>
      <c r="W73" s="420"/>
      <c r="X73" s="420"/>
      <c r="Y73" s="420"/>
      <c r="Z73" s="420"/>
      <c r="AA73" s="420"/>
      <c r="AB73" s="420"/>
      <c r="AC73" s="420"/>
      <c r="AD73" s="420"/>
      <c r="AE73" s="420"/>
      <c r="AF73" s="420"/>
      <c r="AG73" s="420"/>
      <c r="AH73" s="421"/>
      <c r="AI73" s="419" t="s">
        <v>179</v>
      </c>
      <c r="AJ73" s="420"/>
      <c r="AK73" s="420"/>
      <c r="AL73" s="420"/>
      <c r="AM73" s="420"/>
      <c r="AN73" s="420"/>
      <c r="AO73" s="420"/>
      <c r="AP73" s="420"/>
      <c r="AQ73" s="420"/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1"/>
      <c r="BU73" s="419" t="s">
        <v>43</v>
      </c>
      <c r="BV73" s="420"/>
      <c r="BW73" s="420"/>
      <c r="BX73" s="420"/>
      <c r="BY73" s="420"/>
      <c r="BZ73" s="420"/>
      <c r="CA73" s="420"/>
      <c r="CB73" s="420"/>
      <c r="CC73" s="420"/>
      <c r="CD73" s="420"/>
      <c r="CE73" s="420"/>
      <c r="CF73" s="420"/>
      <c r="CG73" s="420"/>
      <c r="CH73" s="420"/>
      <c r="CI73" s="420"/>
      <c r="CJ73" s="420"/>
      <c r="CK73" s="420"/>
      <c r="CL73" s="421"/>
      <c r="CM73" s="419" t="s">
        <v>180</v>
      </c>
      <c r="CN73" s="420"/>
      <c r="CO73" s="420"/>
      <c r="CP73" s="420"/>
      <c r="CQ73" s="420"/>
      <c r="CR73" s="420"/>
      <c r="CS73" s="420"/>
      <c r="CT73" s="420"/>
      <c r="CU73" s="420"/>
      <c r="CV73" s="420"/>
      <c r="CW73" s="420"/>
      <c r="CX73" s="420"/>
      <c r="CY73" s="420"/>
      <c r="CZ73" s="420"/>
      <c r="DA73" s="420"/>
      <c r="DB73" s="421"/>
      <c r="DC73" s="419" t="s">
        <v>181</v>
      </c>
      <c r="DD73" s="420"/>
      <c r="DE73" s="420"/>
      <c r="DF73" s="420"/>
      <c r="DG73" s="420"/>
      <c r="DH73" s="420"/>
      <c r="DI73" s="420"/>
      <c r="DJ73" s="420"/>
      <c r="DK73" s="420"/>
      <c r="DL73" s="420"/>
      <c r="DM73" s="420"/>
      <c r="DN73" s="420"/>
      <c r="DO73" s="420"/>
      <c r="DP73" s="420"/>
      <c r="DQ73" s="420"/>
      <c r="DR73" s="420"/>
      <c r="DS73" s="420"/>
      <c r="DT73" s="420"/>
      <c r="DU73" s="420"/>
      <c r="DV73" s="420"/>
      <c r="DW73" s="420"/>
      <c r="DX73" s="420"/>
      <c r="DY73" s="420"/>
      <c r="DZ73" s="420"/>
      <c r="EA73" s="420"/>
      <c r="EB73" s="420"/>
      <c r="EC73" s="420"/>
      <c r="ED73" s="420"/>
      <c r="EE73" s="420"/>
      <c r="EF73" s="420"/>
      <c r="EG73" s="420"/>
      <c r="EH73" s="420"/>
      <c r="EI73" s="421"/>
      <c r="EJ73" s="411" t="s">
        <v>182</v>
      </c>
      <c r="EK73" s="411"/>
      <c r="EL73" s="411"/>
      <c r="EM73" s="411"/>
      <c r="EN73" s="411"/>
      <c r="EO73" s="411"/>
      <c r="EP73" s="411"/>
      <c r="EQ73" s="411"/>
      <c r="ER73" s="411"/>
      <c r="ES73" s="411"/>
      <c r="ET73" s="411"/>
      <c r="EU73" s="412" t="s">
        <v>183</v>
      </c>
      <c r="EV73" s="412"/>
      <c r="EW73" s="412"/>
      <c r="EX73" s="412"/>
      <c r="EY73" s="412"/>
      <c r="EZ73" s="412"/>
      <c r="FA73" s="412"/>
      <c r="FB73" s="412"/>
      <c r="FC73" s="412"/>
      <c r="FD73" s="412"/>
      <c r="FE73" s="412"/>
      <c r="FF73" s="412"/>
      <c r="FG73" s="412"/>
      <c r="FH73" s="411" t="s">
        <v>184</v>
      </c>
      <c r="FI73" s="411"/>
      <c r="FJ73" s="411"/>
      <c r="FK73" s="411"/>
      <c r="FL73" s="411"/>
      <c r="FM73" s="411"/>
      <c r="FN73" s="411"/>
      <c r="FO73" s="411"/>
      <c r="FP73" s="411"/>
      <c r="FQ73" s="411"/>
      <c r="FR73" s="411"/>
      <c r="FS73" s="411"/>
      <c r="FT73" s="411"/>
      <c r="FU73" s="412" t="s">
        <v>185</v>
      </c>
      <c r="FV73" s="412"/>
      <c r="FW73" s="412"/>
      <c r="FX73" s="412"/>
      <c r="FY73" s="412"/>
      <c r="FZ73" s="412"/>
      <c r="GA73" s="412"/>
      <c r="GB73" s="412"/>
      <c r="GC73" s="412"/>
      <c r="GD73" s="412"/>
      <c r="GE73" s="412"/>
      <c r="GF73" s="412"/>
      <c r="GG73" s="412"/>
      <c r="GH73" s="412"/>
      <c r="GI73" s="42"/>
    </row>
    <row r="74" spans="1:191" ht="7.95" customHeight="1" x14ac:dyDescent="0.3">
      <c r="A74" s="413">
        <v>1</v>
      </c>
      <c r="B74" s="414"/>
      <c r="C74" s="414"/>
      <c r="D74" s="414"/>
      <c r="E74" s="414"/>
      <c r="F74" s="414"/>
      <c r="G74" s="414"/>
      <c r="H74" s="414"/>
      <c r="I74" s="414"/>
      <c r="J74" s="414"/>
      <c r="K74" s="414"/>
      <c r="L74" s="414"/>
      <c r="M74" s="414"/>
      <c r="N74" s="414"/>
      <c r="O74" s="414"/>
      <c r="P74" s="414"/>
      <c r="Q74" s="414"/>
      <c r="R74" s="414"/>
      <c r="S74" s="414"/>
      <c r="T74" s="414"/>
      <c r="U74" s="414"/>
      <c r="V74" s="414"/>
      <c r="W74" s="414"/>
      <c r="X74" s="414"/>
      <c r="Y74" s="414"/>
      <c r="Z74" s="414"/>
      <c r="AA74" s="414"/>
      <c r="AB74" s="414"/>
      <c r="AC74" s="414"/>
      <c r="AD74" s="414"/>
      <c r="AE74" s="414"/>
      <c r="AF74" s="414"/>
      <c r="AG74" s="414"/>
      <c r="AH74" s="415"/>
      <c r="AI74" s="413">
        <v>2</v>
      </c>
      <c r="AJ74" s="416"/>
      <c r="AK74" s="416"/>
      <c r="AL74" s="416"/>
      <c r="AM74" s="416"/>
      <c r="AN74" s="416"/>
      <c r="AO74" s="416"/>
      <c r="AP74" s="416"/>
      <c r="AQ74" s="416"/>
      <c r="AR74" s="416"/>
      <c r="AS74" s="416"/>
      <c r="AT74" s="416"/>
      <c r="AU74" s="416"/>
      <c r="AV74" s="416"/>
      <c r="AW74" s="416"/>
      <c r="AX74" s="416"/>
      <c r="AY74" s="416"/>
      <c r="AZ74" s="416"/>
      <c r="BA74" s="416"/>
      <c r="BB74" s="416"/>
      <c r="BC74" s="416"/>
      <c r="BD74" s="416"/>
      <c r="BE74" s="416"/>
      <c r="BF74" s="416"/>
      <c r="BG74" s="416"/>
      <c r="BH74" s="416"/>
      <c r="BI74" s="416"/>
      <c r="BJ74" s="416"/>
      <c r="BK74" s="416"/>
      <c r="BL74" s="416"/>
      <c r="BM74" s="416"/>
      <c r="BN74" s="416"/>
      <c r="BO74" s="416"/>
      <c r="BP74" s="416"/>
      <c r="BQ74" s="416"/>
      <c r="BR74" s="416"/>
      <c r="BS74" s="416"/>
      <c r="BT74" s="417"/>
      <c r="BU74" s="413">
        <v>3</v>
      </c>
      <c r="BV74" s="416"/>
      <c r="BW74" s="416"/>
      <c r="BX74" s="416"/>
      <c r="BY74" s="416"/>
      <c r="BZ74" s="416"/>
      <c r="CA74" s="416"/>
      <c r="CB74" s="416"/>
      <c r="CC74" s="416"/>
      <c r="CD74" s="416"/>
      <c r="CE74" s="416"/>
      <c r="CF74" s="416"/>
      <c r="CG74" s="416"/>
      <c r="CH74" s="416"/>
      <c r="CI74" s="416"/>
      <c r="CJ74" s="416"/>
      <c r="CK74" s="416"/>
      <c r="CL74" s="417"/>
      <c r="CM74" s="413">
        <v>4</v>
      </c>
      <c r="CN74" s="416"/>
      <c r="CO74" s="416"/>
      <c r="CP74" s="416"/>
      <c r="CQ74" s="416"/>
      <c r="CR74" s="416"/>
      <c r="CS74" s="416"/>
      <c r="CT74" s="416"/>
      <c r="CU74" s="416"/>
      <c r="CV74" s="416"/>
      <c r="CW74" s="416"/>
      <c r="CX74" s="416"/>
      <c r="CY74" s="416"/>
      <c r="CZ74" s="416"/>
      <c r="DA74" s="416"/>
      <c r="DB74" s="417"/>
      <c r="DC74" s="413">
        <v>5</v>
      </c>
      <c r="DD74" s="416"/>
      <c r="DE74" s="416"/>
      <c r="DF74" s="416"/>
      <c r="DG74" s="416"/>
      <c r="DH74" s="416"/>
      <c r="DI74" s="416"/>
      <c r="DJ74" s="416"/>
      <c r="DK74" s="416"/>
      <c r="DL74" s="416"/>
      <c r="DM74" s="416"/>
      <c r="DN74" s="416"/>
      <c r="DO74" s="416"/>
      <c r="DP74" s="416"/>
      <c r="DQ74" s="416"/>
      <c r="DR74" s="416"/>
      <c r="DS74" s="416"/>
      <c r="DT74" s="416"/>
      <c r="DU74" s="416"/>
      <c r="DV74" s="416"/>
      <c r="DW74" s="416"/>
      <c r="DX74" s="416"/>
      <c r="DY74" s="416"/>
      <c r="DZ74" s="416"/>
      <c r="EA74" s="416"/>
      <c r="EB74" s="416"/>
      <c r="EC74" s="416"/>
      <c r="ED74" s="416"/>
      <c r="EE74" s="416"/>
      <c r="EF74" s="416"/>
      <c r="EG74" s="416"/>
      <c r="EH74" s="416"/>
      <c r="EI74" s="417"/>
      <c r="EJ74" s="447">
        <v>6</v>
      </c>
      <c r="EK74" s="447"/>
      <c r="EL74" s="447"/>
      <c r="EM74" s="447"/>
      <c r="EN74" s="447"/>
      <c r="EO74" s="447"/>
      <c r="EP74" s="447"/>
      <c r="EQ74" s="447"/>
      <c r="ER74" s="447"/>
      <c r="ES74" s="447"/>
      <c r="ET74" s="447"/>
      <c r="EU74" s="447">
        <v>7</v>
      </c>
      <c r="EV74" s="447"/>
      <c r="EW74" s="447"/>
      <c r="EX74" s="447"/>
      <c r="EY74" s="447"/>
      <c r="EZ74" s="447"/>
      <c r="FA74" s="447"/>
      <c r="FB74" s="447"/>
      <c r="FC74" s="447"/>
      <c r="FD74" s="447"/>
      <c r="FE74" s="447"/>
      <c r="FF74" s="447"/>
      <c r="FG74" s="447"/>
      <c r="FH74" s="447">
        <v>8</v>
      </c>
      <c r="FI74" s="447"/>
      <c r="FJ74" s="447"/>
      <c r="FK74" s="447"/>
      <c r="FL74" s="447"/>
      <c r="FM74" s="447"/>
      <c r="FN74" s="447"/>
      <c r="FO74" s="447"/>
      <c r="FP74" s="447"/>
      <c r="FQ74" s="447"/>
      <c r="FR74" s="447"/>
      <c r="FS74" s="447"/>
      <c r="FT74" s="447"/>
      <c r="FU74" s="447">
        <v>9</v>
      </c>
      <c r="FV74" s="447"/>
      <c r="FW74" s="447"/>
      <c r="FX74" s="447"/>
      <c r="FY74" s="447"/>
      <c r="FZ74" s="447"/>
      <c r="GA74" s="447"/>
      <c r="GB74" s="447"/>
      <c r="GC74" s="447"/>
      <c r="GD74" s="447"/>
      <c r="GE74" s="447"/>
      <c r="GF74" s="447"/>
      <c r="GG74" s="447"/>
      <c r="GH74" s="447"/>
      <c r="GI74" s="42"/>
    </row>
    <row r="75" spans="1:191" x14ac:dyDescent="0.3">
      <c r="A75" s="422" t="s">
        <v>186</v>
      </c>
      <c r="B75" s="423"/>
      <c r="C75" s="423"/>
      <c r="D75" s="423"/>
      <c r="E75" s="423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  <c r="AA75" s="423"/>
      <c r="AB75" s="423"/>
      <c r="AC75" s="423"/>
      <c r="AD75" s="423"/>
      <c r="AE75" s="423"/>
      <c r="AF75" s="423"/>
      <c r="AG75" s="423"/>
      <c r="AH75" s="424"/>
      <c r="AI75" s="425"/>
      <c r="AJ75" s="426"/>
      <c r="AK75" s="426"/>
      <c r="AL75" s="426"/>
      <c r="AM75" s="426"/>
      <c r="AN75" s="426"/>
      <c r="AO75" s="426"/>
      <c r="AP75" s="426"/>
      <c r="AQ75" s="426"/>
      <c r="AR75" s="426"/>
      <c r="AS75" s="426"/>
      <c r="AT75" s="426"/>
      <c r="AU75" s="426"/>
      <c r="AV75" s="426"/>
      <c r="AW75" s="426"/>
      <c r="AX75" s="426"/>
      <c r="AY75" s="426"/>
      <c r="AZ75" s="426"/>
      <c r="BA75" s="426"/>
      <c r="BB75" s="426"/>
      <c r="BC75" s="426"/>
      <c r="BD75" s="426"/>
      <c r="BE75" s="426"/>
      <c r="BF75" s="426"/>
      <c r="BG75" s="426"/>
      <c r="BH75" s="426"/>
      <c r="BI75" s="426"/>
      <c r="BJ75" s="426"/>
      <c r="BK75" s="426"/>
      <c r="BL75" s="426"/>
      <c r="BM75" s="426"/>
      <c r="BN75" s="426"/>
      <c r="BO75" s="426"/>
      <c r="BP75" s="426"/>
      <c r="BQ75" s="426"/>
      <c r="BR75" s="426"/>
      <c r="BS75" s="426"/>
      <c r="BT75" s="427"/>
      <c r="BU75" s="425"/>
      <c r="BV75" s="426"/>
      <c r="BW75" s="426"/>
      <c r="BX75" s="426"/>
      <c r="BY75" s="426"/>
      <c r="BZ75" s="426"/>
      <c r="CA75" s="426"/>
      <c r="CB75" s="426"/>
      <c r="CC75" s="426"/>
      <c r="CD75" s="426"/>
      <c r="CE75" s="426"/>
      <c r="CF75" s="426"/>
      <c r="CG75" s="426"/>
      <c r="CH75" s="426"/>
      <c r="CI75" s="426"/>
      <c r="CJ75" s="426"/>
      <c r="CK75" s="426"/>
      <c r="CL75" s="426"/>
      <c r="CM75" s="428"/>
      <c r="CN75" s="429"/>
      <c r="CO75" s="429"/>
      <c r="CP75" s="429"/>
      <c r="CQ75" s="429"/>
      <c r="CR75" s="429"/>
      <c r="CS75" s="429"/>
      <c r="CT75" s="429"/>
      <c r="CU75" s="429"/>
      <c r="CV75" s="429"/>
      <c r="CW75" s="429"/>
      <c r="CX75" s="429"/>
      <c r="CY75" s="429"/>
      <c r="CZ75" s="429"/>
      <c r="DA75" s="429"/>
      <c r="DB75" s="430"/>
      <c r="DC75" s="431"/>
      <c r="DD75" s="431"/>
      <c r="DE75" s="431"/>
      <c r="DF75" s="431"/>
      <c r="DG75" s="431"/>
      <c r="DH75" s="431"/>
      <c r="DI75" s="431"/>
      <c r="DJ75" s="431"/>
      <c r="DK75" s="431"/>
      <c r="DL75" s="431"/>
      <c r="DM75" s="431"/>
      <c r="DN75" s="431"/>
      <c r="DO75" s="431"/>
      <c r="DP75" s="431"/>
      <c r="DQ75" s="431"/>
      <c r="DR75" s="431"/>
      <c r="DS75" s="431"/>
      <c r="DT75" s="431"/>
      <c r="DU75" s="431"/>
      <c r="DV75" s="431"/>
      <c r="DW75" s="431"/>
      <c r="DX75" s="431"/>
      <c r="DY75" s="431"/>
      <c r="DZ75" s="431"/>
      <c r="EA75" s="431"/>
      <c r="EB75" s="431"/>
      <c r="EC75" s="431"/>
      <c r="ED75" s="431"/>
      <c r="EE75" s="431"/>
      <c r="EF75" s="431"/>
      <c r="EG75" s="431"/>
      <c r="EH75" s="431"/>
      <c r="EI75" s="431"/>
      <c r="EJ75" s="425"/>
      <c r="EK75" s="432"/>
      <c r="EL75" s="432"/>
      <c r="EM75" s="432"/>
      <c r="EN75" s="432"/>
      <c r="EO75" s="432"/>
      <c r="EP75" s="432"/>
      <c r="EQ75" s="432"/>
      <c r="ER75" s="432"/>
      <c r="ES75" s="432"/>
      <c r="ET75" s="433"/>
      <c r="EU75" s="432"/>
      <c r="EV75" s="432"/>
      <c r="EW75" s="432"/>
      <c r="EX75" s="432"/>
      <c r="EY75" s="432"/>
      <c r="EZ75" s="432"/>
      <c r="FA75" s="432"/>
      <c r="FB75" s="432"/>
      <c r="FC75" s="432"/>
      <c r="FD75" s="432"/>
      <c r="FE75" s="432"/>
      <c r="FF75" s="432"/>
      <c r="FG75" s="432"/>
      <c r="FH75" s="425"/>
      <c r="FI75" s="432"/>
      <c r="FJ75" s="432"/>
      <c r="FK75" s="432"/>
      <c r="FL75" s="432"/>
      <c r="FM75" s="432"/>
      <c r="FN75" s="432"/>
      <c r="FO75" s="432"/>
      <c r="FP75" s="432"/>
      <c r="FQ75" s="432"/>
      <c r="FR75" s="432"/>
      <c r="FS75" s="432"/>
      <c r="FT75" s="433"/>
      <c r="FU75" s="434"/>
      <c r="FV75" s="434"/>
      <c r="FW75" s="434"/>
      <c r="FX75" s="434"/>
      <c r="FY75" s="434"/>
      <c r="FZ75" s="434"/>
      <c r="GA75" s="434"/>
      <c r="GB75" s="434"/>
      <c r="GC75" s="434"/>
      <c r="GD75" s="434"/>
      <c r="GE75" s="434"/>
      <c r="GF75" s="434"/>
      <c r="GG75" s="434"/>
      <c r="GH75" s="435"/>
      <c r="GI75" s="42"/>
    </row>
    <row r="76" spans="1:191" ht="8.4" customHeight="1" x14ac:dyDescent="0.3">
      <c r="A76" s="96" t="s">
        <v>187</v>
      </c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261" t="s">
        <v>188</v>
      </c>
      <c r="AT76" s="261"/>
      <c r="AU76" s="261"/>
      <c r="AV76" s="261"/>
      <c r="AW76" s="261"/>
      <c r="AX76" s="261"/>
      <c r="AY76" s="96"/>
      <c r="AZ76" s="96"/>
      <c r="BA76" s="96"/>
      <c r="BB76" s="96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98"/>
      <c r="BO76" s="78"/>
      <c r="BP76" s="96" t="s">
        <v>187</v>
      </c>
      <c r="BQ76" s="96"/>
      <c r="BR76" s="96"/>
      <c r="BS76" s="96"/>
      <c r="BT76" s="96"/>
      <c r="BU76" s="96"/>
      <c r="BV76" s="96"/>
      <c r="BW76" s="96"/>
      <c r="BX76" s="96"/>
      <c r="BY76" s="96"/>
      <c r="BZ76" s="96"/>
      <c r="CA76" s="96"/>
      <c r="CB76" s="96"/>
      <c r="CC76" s="96"/>
      <c r="CD76" s="96"/>
      <c r="CE76" s="96"/>
      <c r="CF76" s="96"/>
      <c r="CG76" s="96"/>
      <c r="CH76" s="96"/>
      <c r="CI76" s="96"/>
      <c r="CJ76" s="96"/>
      <c r="CK76" s="96"/>
      <c r="CL76" s="96"/>
      <c r="CM76" s="96"/>
      <c r="CN76" s="96"/>
      <c r="CO76" s="96"/>
      <c r="CP76" s="96"/>
      <c r="CQ76" s="96"/>
      <c r="CR76" s="96"/>
      <c r="CS76" s="78"/>
      <c r="CT76" s="78"/>
      <c r="CU76" s="78"/>
      <c r="CV76" s="78"/>
      <c r="CW76" s="78"/>
      <c r="CX76" s="78"/>
      <c r="CY76" s="78"/>
      <c r="CZ76" s="78"/>
      <c r="DA76" s="78"/>
      <c r="DB76" s="261" t="s">
        <v>188</v>
      </c>
      <c r="DC76" s="261"/>
      <c r="DD76" s="261"/>
      <c r="DE76" s="261"/>
      <c r="DF76" s="261"/>
      <c r="DG76" s="261"/>
      <c r="DH76" s="261"/>
      <c r="DI76" s="261"/>
      <c r="DJ76" s="261"/>
      <c r="DK76" s="78"/>
      <c r="DL76" s="78"/>
      <c r="DM76" s="78"/>
      <c r="DN76" s="78"/>
      <c r="DO76" s="78"/>
      <c r="DP76" s="78"/>
      <c r="DQ76" s="78"/>
      <c r="DR76" s="78"/>
      <c r="DS76" s="78"/>
      <c r="DT76" s="78"/>
      <c r="DU76" s="96"/>
      <c r="DV76" s="96" t="s">
        <v>72</v>
      </c>
      <c r="DW76" s="78"/>
      <c r="DX76" s="96"/>
      <c r="DY76" s="96"/>
      <c r="DZ76" s="96"/>
      <c r="EA76" s="96"/>
      <c r="EB76" s="96"/>
      <c r="EC76" s="96"/>
      <c r="ED76" s="96"/>
      <c r="EE76" s="96"/>
      <c r="EF76" s="96"/>
      <c r="EG76" s="96"/>
      <c r="EH76" s="96"/>
      <c r="EI76" s="96"/>
      <c r="EJ76" s="436"/>
      <c r="EK76" s="314"/>
      <c r="EL76" s="314"/>
      <c r="EM76" s="314"/>
      <c r="EN76" s="314"/>
      <c r="EO76" s="314"/>
      <c r="EP76" s="314"/>
      <c r="EQ76" s="314"/>
      <c r="ER76" s="314"/>
      <c r="ES76" s="314"/>
      <c r="ET76" s="437"/>
      <c r="EU76" s="314" t="s">
        <v>189</v>
      </c>
      <c r="EV76" s="314"/>
      <c r="EW76" s="314"/>
      <c r="EX76" s="314"/>
      <c r="EY76" s="314"/>
      <c r="EZ76" s="314"/>
      <c r="FA76" s="314"/>
      <c r="FB76" s="314"/>
      <c r="FC76" s="314"/>
      <c r="FD76" s="314"/>
      <c r="FE76" s="314"/>
      <c r="FF76" s="314"/>
      <c r="FG76" s="314"/>
      <c r="FH76" s="314"/>
      <c r="FI76" s="314"/>
      <c r="FJ76" s="314"/>
      <c r="FK76" s="314"/>
      <c r="FL76" s="314"/>
      <c r="FM76" s="314"/>
      <c r="FN76" s="314"/>
      <c r="FO76" s="314"/>
      <c r="FP76" s="314"/>
      <c r="FQ76" s="314"/>
      <c r="FR76" s="314"/>
      <c r="FS76" s="314"/>
      <c r="FT76" s="314"/>
      <c r="FU76" s="441"/>
      <c r="FV76" s="442"/>
      <c r="FW76" s="442"/>
      <c r="FX76" s="442"/>
      <c r="FY76" s="442"/>
      <c r="FZ76" s="442"/>
      <c r="GA76" s="442"/>
      <c r="GB76" s="442"/>
      <c r="GC76" s="442"/>
      <c r="GD76" s="442"/>
      <c r="GE76" s="442"/>
      <c r="GF76" s="442"/>
      <c r="GG76" s="442"/>
      <c r="GH76" s="443"/>
      <c r="GI76" s="42"/>
    </row>
    <row r="77" spans="1:191" ht="8.4" customHeight="1" thickBot="1" x14ac:dyDescent="0.35">
      <c r="A77" s="78" t="s">
        <v>190</v>
      </c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450"/>
      <c r="AB77" s="450"/>
      <c r="AC77" s="450"/>
      <c r="AD77" s="450"/>
      <c r="AE77" s="450"/>
      <c r="AF77" s="450"/>
      <c r="AG77" s="450"/>
      <c r="AH77" s="450"/>
      <c r="AI77" s="450"/>
      <c r="AJ77" s="450"/>
      <c r="AK77" s="450"/>
      <c r="AL77" s="450"/>
      <c r="AM77" s="450"/>
      <c r="AN77" s="450"/>
      <c r="AO77" s="450"/>
      <c r="AP77" s="450"/>
      <c r="AQ77" s="450"/>
      <c r="AR77" s="450"/>
      <c r="AS77" s="380" t="s">
        <v>191</v>
      </c>
      <c r="AT77" s="380"/>
      <c r="AU77" s="380"/>
      <c r="AV77" s="380"/>
      <c r="AW77" s="380"/>
      <c r="AX77" s="380"/>
      <c r="AY77" s="449"/>
      <c r="AZ77" s="449"/>
      <c r="BA77" s="449"/>
      <c r="BB77" s="449"/>
      <c r="BC77" s="449"/>
      <c r="BD77" s="449"/>
      <c r="BE77" s="449"/>
      <c r="BF77" s="449"/>
      <c r="BG77" s="449"/>
      <c r="BH77" s="449"/>
      <c r="BI77" s="449"/>
      <c r="BJ77" s="449"/>
      <c r="BK77" s="449"/>
      <c r="BL77" s="449"/>
      <c r="BM77" s="449"/>
      <c r="BN77" s="99"/>
      <c r="BO77" s="78"/>
      <c r="BP77" s="78" t="s">
        <v>190</v>
      </c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451"/>
      <c r="CT77" s="451"/>
      <c r="CU77" s="451"/>
      <c r="CV77" s="451"/>
      <c r="CW77" s="451"/>
      <c r="CX77" s="451"/>
      <c r="CY77" s="451"/>
      <c r="CZ77" s="451"/>
      <c r="DA77" s="451"/>
      <c r="DB77" s="380" t="s">
        <v>191</v>
      </c>
      <c r="DC77" s="380"/>
      <c r="DD77" s="380"/>
      <c r="DE77" s="380"/>
      <c r="DF77" s="380"/>
      <c r="DG77" s="380"/>
      <c r="DH77" s="380"/>
      <c r="DI77" s="380"/>
      <c r="DJ77" s="380"/>
      <c r="DK77" s="300"/>
      <c r="DL77" s="300"/>
      <c r="DM77" s="300"/>
      <c r="DN77" s="300"/>
      <c r="DO77" s="300"/>
      <c r="DP77" s="300"/>
      <c r="DQ77" s="300"/>
      <c r="DR77" s="300"/>
      <c r="DS77" s="300"/>
      <c r="DT77" s="300"/>
      <c r="DU77" s="78"/>
      <c r="DV77" s="78" t="s">
        <v>192</v>
      </c>
      <c r="DW77" s="78"/>
      <c r="DX77" s="78"/>
      <c r="DY77" s="78"/>
      <c r="DZ77" s="78"/>
      <c r="EA77" s="78"/>
      <c r="EB77" s="78"/>
      <c r="EC77" s="78"/>
      <c r="ED77" s="78"/>
      <c r="EE77" s="78"/>
      <c r="EF77" s="78"/>
      <c r="EG77" s="78"/>
      <c r="EH77" s="78"/>
      <c r="EI77" s="78"/>
      <c r="EJ77" s="438"/>
      <c r="EK77" s="439"/>
      <c r="EL77" s="439"/>
      <c r="EM77" s="439"/>
      <c r="EN77" s="439"/>
      <c r="EO77" s="439"/>
      <c r="EP77" s="439"/>
      <c r="EQ77" s="439"/>
      <c r="ER77" s="439"/>
      <c r="ES77" s="439"/>
      <c r="ET77" s="440"/>
      <c r="EU77" s="78"/>
      <c r="EV77" s="78"/>
      <c r="EW77" s="78"/>
      <c r="EX77" s="78"/>
      <c r="EY77" s="78"/>
      <c r="EZ77" s="78"/>
      <c r="FA77" s="78"/>
      <c r="FB77" s="78"/>
      <c r="FC77" s="78"/>
      <c r="FD77" s="78"/>
      <c r="FE77" s="78"/>
      <c r="FF77" s="78"/>
      <c r="FG77" s="78"/>
      <c r="FH77" s="78"/>
      <c r="FI77" s="78"/>
      <c r="FJ77" s="78"/>
      <c r="FK77" s="78"/>
      <c r="FL77" s="78"/>
      <c r="FM77" s="78"/>
      <c r="FN77" s="78"/>
      <c r="FO77" s="78"/>
      <c r="FP77" s="78"/>
      <c r="FQ77" s="78"/>
      <c r="FR77" s="78"/>
      <c r="FS77" s="78"/>
      <c r="FT77" s="78"/>
      <c r="FU77" s="444"/>
      <c r="FV77" s="445"/>
      <c r="FW77" s="445"/>
      <c r="FX77" s="445"/>
      <c r="FY77" s="445"/>
      <c r="FZ77" s="445"/>
      <c r="GA77" s="445"/>
      <c r="GB77" s="445"/>
      <c r="GC77" s="445"/>
      <c r="GD77" s="445"/>
      <c r="GE77" s="445"/>
      <c r="GF77" s="445"/>
      <c r="GG77" s="445"/>
      <c r="GH77" s="446"/>
      <c r="GI77" s="42"/>
    </row>
    <row r="78" spans="1:191" ht="7.2" customHeight="1" x14ac:dyDescent="0.3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448" t="s">
        <v>193</v>
      </c>
      <c r="AB78" s="448"/>
      <c r="AC78" s="448"/>
      <c r="AD78" s="448"/>
      <c r="AE78" s="448"/>
      <c r="AF78" s="448"/>
      <c r="AG78" s="448"/>
      <c r="AH78" s="448"/>
      <c r="AI78" s="448"/>
      <c r="AJ78" s="448"/>
      <c r="AK78" s="448"/>
      <c r="AL78" s="448"/>
      <c r="AM78" s="448"/>
      <c r="AN78" s="448"/>
      <c r="AO78" s="448"/>
      <c r="AP78" s="448"/>
      <c r="AQ78" s="448"/>
      <c r="AR78" s="448"/>
      <c r="AS78" s="85"/>
      <c r="AT78" s="85"/>
      <c r="AU78" s="100"/>
      <c r="AV78" s="100"/>
      <c r="AW78" s="100"/>
      <c r="AX78" s="100"/>
      <c r="AY78" s="448" t="s">
        <v>99</v>
      </c>
      <c r="AZ78" s="448"/>
      <c r="BA78" s="448"/>
      <c r="BB78" s="448"/>
      <c r="BC78" s="448"/>
      <c r="BD78" s="448"/>
      <c r="BE78" s="448"/>
      <c r="BF78" s="448"/>
      <c r="BG78" s="448"/>
      <c r="BH78" s="448"/>
      <c r="BI78" s="448"/>
      <c r="BJ78" s="448"/>
      <c r="BK78" s="448"/>
      <c r="BL78" s="448"/>
      <c r="BM78" s="448"/>
      <c r="BN78" s="101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448" t="s">
        <v>193</v>
      </c>
      <c r="CT78" s="448"/>
      <c r="CU78" s="448"/>
      <c r="CV78" s="448"/>
      <c r="CW78" s="448"/>
      <c r="CX78" s="448"/>
      <c r="CY78" s="448"/>
      <c r="CZ78" s="448"/>
      <c r="DA78" s="448"/>
      <c r="DB78" s="85"/>
      <c r="DC78" s="100"/>
      <c r="DD78" s="100"/>
      <c r="DE78" s="100"/>
      <c r="DF78" s="100"/>
      <c r="DG78" s="100"/>
      <c r="DH78" s="100"/>
      <c r="DI78" s="100"/>
      <c r="DJ78" s="85"/>
      <c r="DK78" s="448" t="s">
        <v>99</v>
      </c>
      <c r="DL78" s="448"/>
      <c r="DM78" s="448"/>
      <c r="DN78" s="448"/>
      <c r="DO78" s="448"/>
      <c r="DP78" s="448"/>
      <c r="DQ78" s="448"/>
      <c r="DR78" s="448"/>
      <c r="DS78" s="448"/>
      <c r="DT78" s="448"/>
      <c r="DU78" s="85"/>
      <c r="DV78" s="85"/>
      <c r="DW78" s="85"/>
      <c r="DX78" s="85"/>
      <c r="DY78" s="85"/>
      <c r="DZ78" s="85"/>
      <c r="EA78" s="85"/>
      <c r="EB78" s="85"/>
      <c r="EC78" s="85"/>
      <c r="ED78" s="85"/>
      <c r="EE78" s="85"/>
      <c r="EF78" s="85"/>
      <c r="EG78" s="85"/>
      <c r="EH78" s="85"/>
      <c r="EI78" s="85"/>
      <c r="EJ78" s="85"/>
      <c r="EK78" s="85"/>
      <c r="EL78" s="85"/>
      <c r="EM78" s="85"/>
      <c r="EN78" s="85"/>
      <c r="EO78" s="85"/>
      <c r="EP78" s="85"/>
      <c r="EQ78" s="85"/>
      <c r="ER78" s="85"/>
      <c r="ES78" s="85"/>
      <c r="ET78" s="85"/>
      <c r="EU78" s="85"/>
      <c r="EV78" s="85"/>
      <c r="EW78" s="85"/>
      <c r="EX78" s="85"/>
      <c r="EY78" s="85"/>
      <c r="EZ78" s="85"/>
      <c r="FA78" s="85"/>
      <c r="FB78" s="85"/>
      <c r="FC78" s="85"/>
      <c r="FD78" s="85"/>
      <c r="FE78" s="85"/>
      <c r="FF78" s="85"/>
      <c r="FG78" s="85"/>
      <c r="FH78" s="85"/>
      <c r="FI78" s="85"/>
      <c r="FJ78" s="85"/>
      <c r="FK78" s="85"/>
      <c r="FL78" s="85"/>
      <c r="FM78" s="85"/>
      <c r="FN78" s="85"/>
      <c r="FO78" s="85"/>
      <c r="FP78" s="85"/>
      <c r="FQ78" s="85"/>
      <c r="FR78" s="85"/>
      <c r="FS78" s="85"/>
      <c r="FT78" s="85"/>
      <c r="FU78" s="85"/>
      <c r="FV78" s="85"/>
      <c r="FW78" s="85"/>
      <c r="FX78" s="85"/>
      <c r="FY78" s="85"/>
      <c r="FZ78" s="85"/>
      <c r="GA78" s="85"/>
      <c r="GB78" s="85"/>
      <c r="GC78" s="85"/>
      <c r="GD78" s="85"/>
      <c r="GE78" s="85"/>
      <c r="GF78" s="85"/>
      <c r="GG78" s="85"/>
      <c r="GH78" s="85"/>
      <c r="GI78" s="42"/>
    </row>
    <row r="79" spans="1:191" ht="9.6" customHeight="1" x14ac:dyDescent="0.3">
      <c r="A79" s="78" t="s">
        <v>194</v>
      </c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449"/>
      <c r="R79" s="449"/>
      <c r="S79" s="449"/>
      <c r="T79" s="449"/>
      <c r="U79" s="449"/>
      <c r="V79" s="449"/>
      <c r="W79" s="449"/>
      <c r="X79" s="449"/>
      <c r="Y79" s="449"/>
      <c r="Z79" s="449"/>
      <c r="AA79" s="449"/>
      <c r="AB79" s="449"/>
      <c r="AC79" s="449"/>
      <c r="AD79" s="449"/>
      <c r="AE79" s="449"/>
      <c r="AF79" s="449"/>
      <c r="AG79" s="449"/>
      <c r="AH79" s="449"/>
      <c r="AI79" s="449"/>
      <c r="AJ79" s="449"/>
      <c r="AK79" s="449"/>
      <c r="AL79" s="449"/>
      <c r="AM79" s="449"/>
      <c r="AN79" s="449"/>
      <c r="AO79" s="449"/>
      <c r="AP79" s="449"/>
      <c r="AQ79" s="449"/>
      <c r="AR79" s="449"/>
      <c r="AS79" s="449"/>
      <c r="AT79" s="78"/>
      <c r="AU79" s="78" t="s">
        <v>195</v>
      </c>
      <c r="AV79" s="78"/>
      <c r="AW79" s="78"/>
      <c r="AX79" s="78"/>
      <c r="AY79" s="78"/>
      <c r="AZ79" s="78"/>
      <c r="BA79" s="78"/>
      <c r="BB79" s="78" t="s">
        <v>196</v>
      </c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98"/>
      <c r="BO79" s="78"/>
      <c r="BP79" s="78" t="s">
        <v>194</v>
      </c>
      <c r="BQ79" s="78"/>
      <c r="BR79" s="78"/>
      <c r="BS79" s="78"/>
      <c r="BT79" s="78"/>
      <c r="BU79" s="78"/>
      <c r="BV79" s="78"/>
      <c r="BW79" s="78"/>
      <c r="BX79" s="78"/>
      <c r="BY79" s="78"/>
      <c r="BZ79" s="78"/>
      <c r="CA79" s="78"/>
      <c r="CB79" s="78"/>
      <c r="CC79" s="78"/>
      <c r="CD79" s="78"/>
      <c r="CE79" s="78"/>
      <c r="CF79" s="362"/>
      <c r="CG79" s="362"/>
      <c r="CH79" s="362"/>
      <c r="CI79" s="362"/>
      <c r="CJ79" s="362"/>
      <c r="CK79" s="362"/>
      <c r="CL79" s="362"/>
      <c r="CM79" s="362"/>
      <c r="CN79" s="362"/>
      <c r="CO79" s="362"/>
      <c r="CP79" s="362"/>
      <c r="CQ79" s="362"/>
      <c r="CR79" s="362"/>
      <c r="CS79" s="362"/>
      <c r="CT79" s="362"/>
      <c r="CU79" s="362"/>
      <c r="CV79" s="362"/>
      <c r="CW79" s="362"/>
      <c r="CX79" s="362"/>
      <c r="CY79" s="362"/>
      <c r="CZ79" s="362"/>
      <c r="DA79" s="362"/>
      <c r="DB79" s="362"/>
      <c r="DC79" s="91" t="s">
        <v>195</v>
      </c>
      <c r="DD79" s="78"/>
      <c r="DE79" s="78"/>
      <c r="DF79" s="78"/>
      <c r="DG79" s="78"/>
      <c r="DH79" s="78"/>
      <c r="DI79" s="78"/>
      <c r="DJ79" s="78"/>
      <c r="DK79" s="78"/>
      <c r="DL79" s="78"/>
      <c r="DM79" s="78"/>
      <c r="DN79" s="78"/>
      <c r="DO79" s="78"/>
      <c r="DP79" s="78"/>
      <c r="DQ79" s="78"/>
      <c r="DR79" s="78"/>
      <c r="DS79" s="78"/>
      <c r="DT79" s="78"/>
      <c r="DU79" s="78"/>
      <c r="DV79" s="78"/>
      <c r="DW79" s="78"/>
      <c r="DX79" s="78"/>
      <c r="DY79" s="78"/>
      <c r="DZ79" s="78"/>
      <c r="EA79" s="78"/>
      <c r="EB79" s="102" t="s">
        <v>197</v>
      </c>
      <c r="EC79" s="78"/>
      <c r="ED79" s="78"/>
      <c r="EE79" s="78"/>
      <c r="EF79" s="78"/>
      <c r="EG79" s="78"/>
      <c r="EH79" s="78"/>
      <c r="EI79" s="78"/>
      <c r="EJ79" s="78"/>
      <c r="EK79" s="78"/>
      <c r="EL79" s="78"/>
      <c r="EM79" s="78"/>
      <c r="EN79" s="78"/>
      <c r="EO79" s="78"/>
      <c r="EP79" s="78"/>
      <c r="EQ79" s="78"/>
      <c r="ER79" s="78"/>
      <c r="ES79" s="78"/>
      <c r="ET79" s="78"/>
      <c r="EU79" s="78"/>
      <c r="EV79" s="78"/>
      <c r="EW79" s="78"/>
      <c r="EX79" s="78"/>
      <c r="EY79" s="78"/>
      <c r="EZ79" s="78"/>
      <c r="FA79" s="78"/>
      <c r="FB79" s="78"/>
      <c r="FC79" s="78"/>
      <c r="FD79" s="78"/>
      <c r="FE79" s="452"/>
      <c r="FF79" s="452"/>
      <c r="FG79" s="452"/>
      <c r="FH79" s="452"/>
      <c r="FI79" s="452"/>
      <c r="FJ79" s="452"/>
      <c r="FK79" s="452"/>
      <c r="FL79" s="452"/>
      <c r="FM79" s="452"/>
      <c r="FN79" s="452"/>
      <c r="FO79" s="452"/>
      <c r="FP79" s="452"/>
      <c r="FQ79" s="452"/>
      <c r="FR79" s="452"/>
      <c r="FS79" s="452"/>
      <c r="FT79" s="452"/>
      <c r="FU79" s="452"/>
      <c r="FV79" s="452"/>
      <c r="FW79" s="452"/>
      <c r="FX79" s="452"/>
      <c r="FY79" s="452"/>
      <c r="FZ79" s="452"/>
      <c r="GA79" s="452"/>
      <c r="GB79" s="452"/>
      <c r="GC79" s="452"/>
      <c r="GD79" s="452"/>
      <c r="GE79" s="452"/>
      <c r="GF79" s="452"/>
      <c r="GG79" s="452"/>
      <c r="GH79" s="452"/>
      <c r="GI79" s="42"/>
    </row>
    <row r="80" spans="1:191" s="33" customFormat="1" ht="6.6" customHeight="1" x14ac:dyDescent="0.3">
      <c r="A80" s="367" t="s">
        <v>198</v>
      </c>
      <c r="B80" s="367"/>
      <c r="C80" s="367"/>
      <c r="D80" s="367"/>
      <c r="E80" s="367"/>
      <c r="F80" s="367"/>
      <c r="G80" s="367"/>
      <c r="H80" s="103"/>
      <c r="I80" s="103"/>
      <c r="J80" s="103"/>
      <c r="K80" s="103"/>
      <c r="L80" s="103"/>
      <c r="M80" s="103"/>
      <c r="N80" s="103"/>
      <c r="O80" s="103"/>
      <c r="P80" s="103"/>
      <c r="Q80" s="404" t="s">
        <v>99</v>
      </c>
      <c r="R80" s="404"/>
      <c r="S80" s="404"/>
      <c r="T80" s="404"/>
      <c r="U80" s="404"/>
      <c r="V80" s="404"/>
      <c r="W80" s="404"/>
      <c r="X80" s="404"/>
      <c r="Y80" s="404"/>
      <c r="Z80" s="404"/>
      <c r="AA80" s="404"/>
      <c r="AB80" s="404"/>
      <c r="AC80" s="404"/>
      <c r="AD80" s="404"/>
      <c r="AE80" s="404"/>
      <c r="AF80" s="404"/>
      <c r="AG80" s="404"/>
      <c r="AH80" s="404"/>
      <c r="AI80" s="404"/>
      <c r="AJ80" s="404"/>
      <c r="AK80" s="404"/>
      <c r="AL80" s="404"/>
      <c r="AM80" s="404"/>
      <c r="AN80" s="404"/>
      <c r="AO80" s="404"/>
      <c r="AP80" s="404"/>
      <c r="AQ80" s="404"/>
      <c r="AR80" s="404"/>
      <c r="AS80" s="404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  <c r="BM80" s="103"/>
      <c r="BN80" s="104"/>
      <c r="BO80" s="103"/>
      <c r="BP80" s="103"/>
      <c r="BQ80" s="103"/>
      <c r="BR80" s="103"/>
      <c r="BS80" s="103"/>
      <c r="BT80" s="103"/>
      <c r="BU80" s="103"/>
      <c r="BV80" s="103"/>
      <c r="BW80" s="103"/>
      <c r="BX80" s="103"/>
      <c r="BY80" s="103"/>
      <c r="BZ80" s="103"/>
      <c r="CA80" s="103"/>
      <c r="CB80" s="103"/>
      <c r="CC80" s="103"/>
      <c r="CD80" s="103"/>
      <c r="CE80" s="103"/>
      <c r="CF80" s="404" t="s">
        <v>99</v>
      </c>
      <c r="CG80" s="404"/>
      <c r="CH80" s="404"/>
      <c r="CI80" s="404"/>
      <c r="CJ80" s="404"/>
      <c r="CK80" s="404"/>
      <c r="CL80" s="404"/>
      <c r="CM80" s="404"/>
      <c r="CN80" s="404"/>
      <c r="CO80" s="404"/>
      <c r="CP80" s="404"/>
      <c r="CQ80" s="404"/>
      <c r="CR80" s="404"/>
      <c r="CS80" s="404"/>
      <c r="CT80" s="404"/>
      <c r="CU80" s="404"/>
      <c r="CV80" s="404"/>
      <c r="CW80" s="404"/>
      <c r="CX80" s="404"/>
      <c r="CY80" s="404"/>
      <c r="CZ80" s="404"/>
      <c r="DA80" s="404"/>
      <c r="DB80" s="404"/>
      <c r="DC80" s="103"/>
      <c r="DD80" s="103"/>
      <c r="DE80" s="103"/>
      <c r="DF80" s="103"/>
      <c r="DG80" s="103"/>
      <c r="DH80" s="103"/>
      <c r="DI80" s="103"/>
      <c r="DJ80" s="103"/>
      <c r="DK80" s="103"/>
      <c r="DL80" s="103"/>
      <c r="DM80" s="103"/>
      <c r="DN80" s="103"/>
      <c r="DO80" s="103"/>
      <c r="DP80" s="103"/>
      <c r="DQ80" s="103"/>
      <c r="DR80" s="103"/>
      <c r="DS80" s="103"/>
      <c r="DT80" s="103"/>
      <c r="DU80" s="103"/>
      <c r="DV80" s="103"/>
      <c r="DW80" s="103"/>
      <c r="DX80" s="103"/>
      <c r="DY80" s="103"/>
      <c r="DZ80" s="103"/>
      <c r="EA80" s="103"/>
      <c r="EB80" s="105"/>
      <c r="EC80" s="103"/>
      <c r="ED80" s="103"/>
      <c r="EE80" s="103"/>
      <c r="EF80" s="103"/>
      <c r="EG80" s="103"/>
      <c r="EH80" s="103"/>
      <c r="EI80" s="103"/>
      <c r="EJ80" s="103"/>
      <c r="EK80" s="103"/>
      <c r="EL80" s="103"/>
      <c r="EM80" s="103"/>
      <c r="EN80" s="103"/>
      <c r="EO80" s="103"/>
      <c r="EP80" s="103"/>
      <c r="EQ80" s="103"/>
      <c r="ER80" s="103"/>
      <c r="ES80" s="103"/>
      <c r="ET80" s="103"/>
      <c r="EU80" s="103"/>
      <c r="EV80" s="103"/>
      <c r="EW80" s="103"/>
      <c r="EX80" s="103"/>
      <c r="EY80" s="103"/>
      <c r="EZ80" s="103"/>
      <c r="FA80" s="103"/>
      <c r="FB80" s="103"/>
      <c r="FC80" s="103"/>
      <c r="FD80" s="103"/>
      <c r="FE80" s="103"/>
      <c r="FF80" s="103"/>
      <c r="FG80" s="103"/>
      <c r="FH80" s="103"/>
      <c r="FI80" s="103"/>
      <c r="FJ80" s="103"/>
      <c r="FK80" s="103"/>
      <c r="FL80" s="103"/>
      <c r="FM80" s="103"/>
      <c r="FN80" s="103"/>
      <c r="FO80" s="103"/>
      <c r="FP80" s="103"/>
      <c r="FQ80" s="103"/>
      <c r="FR80" s="103"/>
      <c r="FS80" s="103"/>
      <c r="FT80" s="103"/>
      <c r="FU80" s="103"/>
      <c r="FV80" s="103"/>
      <c r="FW80" s="103"/>
      <c r="FX80" s="103"/>
      <c r="FY80" s="103"/>
      <c r="FZ80" s="103"/>
      <c r="GA80" s="103"/>
      <c r="GB80" s="103"/>
      <c r="GC80" s="103"/>
      <c r="GD80" s="103"/>
      <c r="GE80" s="103"/>
      <c r="GF80" s="103"/>
      <c r="GG80" s="103"/>
      <c r="GH80" s="103"/>
      <c r="GI80" s="75"/>
    </row>
    <row r="81" spans="1:191" ht="10.199999999999999" customHeight="1" x14ac:dyDescent="0.3">
      <c r="A81" s="367"/>
      <c r="B81" s="367"/>
      <c r="C81" s="367"/>
      <c r="D81" s="367"/>
      <c r="E81" s="367"/>
      <c r="F81" s="367"/>
      <c r="G81" s="367"/>
      <c r="H81" s="256" t="str">
        <f>AB48</f>
        <v>Кладовщик</v>
      </c>
      <c r="I81" s="256"/>
      <c r="J81" s="256"/>
      <c r="K81" s="256"/>
      <c r="L81" s="256"/>
      <c r="M81" s="256"/>
      <c r="N81" s="256"/>
      <c r="O81" s="256"/>
      <c r="P81" s="256"/>
      <c r="Q81" s="256"/>
      <c r="R81" s="256"/>
      <c r="S81" s="256"/>
      <c r="T81" s="78"/>
      <c r="U81" s="350"/>
      <c r="V81" s="350"/>
      <c r="W81" s="350"/>
      <c r="X81" s="350"/>
      <c r="Y81" s="350"/>
      <c r="Z81" s="350"/>
      <c r="AA81" s="350"/>
      <c r="AB81" s="350"/>
      <c r="AC81" s="350"/>
      <c r="AD81" s="350"/>
      <c r="AE81" s="350"/>
      <c r="AF81" s="78"/>
      <c r="AG81" s="78"/>
      <c r="AH81" s="402" t="str">
        <f>BR48</f>
        <v>Петров С.Н.</v>
      </c>
      <c r="AI81" s="402"/>
      <c r="AJ81" s="402"/>
      <c r="AK81" s="402"/>
      <c r="AL81" s="402"/>
      <c r="AM81" s="402"/>
      <c r="AN81" s="402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98"/>
      <c r="BO81" s="78"/>
      <c r="BP81" s="367" t="s">
        <v>199</v>
      </c>
      <c r="BQ81" s="367"/>
      <c r="BR81" s="367"/>
      <c r="BS81" s="367"/>
      <c r="BT81" s="367"/>
      <c r="BU81" s="367"/>
      <c r="BV81" s="367"/>
      <c r="BW81" s="367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453"/>
      <c r="CQ81" s="453"/>
      <c r="CR81" s="453"/>
      <c r="CS81" s="453"/>
      <c r="CT81" s="453"/>
      <c r="CU81" s="453"/>
      <c r="CV81" s="453"/>
      <c r="CW81" s="453"/>
      <c r="CX81" s="453"/>
      <c r="CY81" s="453"/>
      <c r="CZ81" s="453"/>
      <c r="DA81" s="78"/>
      <c r="DB81" s="78"/>
      <c r="DC81" s="455" t="str">
        <f>FI42</f>
        <v>Сундеев В.И.</v>
      </c>
      <c r="DD81" s="455"/>
      <c r="DE81" s="455"/>
      <c r="DF81" s="455"/>
      <c r="DG81" s="455"/>
      <c r="DH81" s="455"/>
      <c r="DI81" s="455"/>
      <c r="DJ81" s="455"/>
      <c r="DK81" s="455"/>
      <c r="DL81" s="455"/>
      <c r="DM81" s="455"/>
      <c r="DN81" s="455"/>
      <c r="DO81" s="455"/>
      <c r="DP81" s="455"/>
      <c r="DQ81" s="455"/>
      <c r="DR81" s="455"/>
      <c r="DS81" s="455"/>
      <c r="DT81" s="455"/>
      <c r="DU81" s="455"/>
      <c r="DV81" s="455"/>
      <c r="DW81" s="455"/>
      <c r="DX81" s="455"/>
      <c r="DY81" s="80"/>
      <c r="DZ81" s="78"/>
      <c r="EA81" s="78"/>
      <c r="EB81" s="456" t="s">
        <v>200</v>
      </c>
      <c r="EC81" s="367"/>
      <c r="ED81" s="367"/>
      <c r="EE81" s="367"/>
      <c r="EF81" s="367"/>
      <c r="EG81" s="367"/>
      <c r="EH81" s="367"/>
      <c r="EI81" s="367"/>
      <c r="EJ81" s="367"/>
      <c r="EK81" s="367"/>
      <c r="EL81" s="367"/>
      <c r="EM81" s="367"/>
      <c r="EN81" s="367"/>
      <c r="EO81" s="367"/>
      <c r="EP81" s="367"/>
      <c r="EQ81" s="367"/>
      <c r="ER81" s="367"/>
      <c r="ES81" s="367"/>
      <c r="ET81" s="367"/>
      <c r="EU81" s="367"/>
      <c r="EV81" s="367"/>
      <c r="EW81" s="78"/>
      <c r="EX81" s="367"/>
      <c r="EY81" s="367"/>
      <c r="EZ81" s="367"/>
      <c r="FA81" s="367"/>
      <c r="FB81" s="367"/>
      <c r="FC81" s="367"/>
      <c r="FD81" s="367"/>
      <c r="FE81" s="367"/>
      <c r="FF81" s="367"/>
      <c r="FG81" s="367"/>
      <c r="FH81" s="367"/>
      <c r="FI81" s="367"/>
      <c r="FJ81" s="367"/>
      <c r="FK81" s="367"/>
      <c r="FL81" s="367"/>
      <c r="FM81" s="367"/>
      <c r="FN81" s="367"/>
      <c r="FO81" s="367"/>
      <c r="FP81" s="367"/>
      <c r="FQ81" s="367"/>
      <c r="FR81" s="367"/>
      <c r="FS81" s="367"/>
      <c r="FT81" s="367"/>
      <c r="FU81" s="367"/>
      <c r="FV81" s="367"/>
      <c r="FW81" s="367"/>
      <c r="FX81" s="367"/>
      <c r="FY81" s="367"/>
      <c r="FZ81" s="367"/>
      <c r="GA81" s="367"/>
      <c r="GB81" s="367"/>
      <c r="GC81" s="367"/>
      <c r="GD81" s="367"/>
      <c r="GE81" s="367"/>
      <c r="GF81" s="367"/>
      <c r="GG81" s="367"/>
      <c r="GH81" s="367"/>
      <c r="GI81" s="42"/>
    </row>
    <row r="82" spans="1:191" ht="3" customHeight="1" x14ac:dyDescent="0.3">
      <c r="A82" s="78"/>
      <c r="B82" s="78"/>
      <c r="C82" s="78"/>
      <c r="D82" s="78"/>
      <c r="E82" s="78"/>
      <c r="F82" s="78"/>
      <c r="G82" s="78"/>
      <c r="H82" s="78"/>
      <c r="I82" s="398" t="s">
        <v>121</v>
      </c>
      <c r="J82" s="398"/>
      <c r="K82" s="398"/>
      <c r="L82" s="398"/>
      <c r="M82" s="398"/>
      <c r="N82" s="398"/>
      <c r="O82" s="398"/>
      <c r="P82" s="398"/>
      <c r="Q82" s="398"/>
      <c r="R82" s="398"/>
      <c r="S82" s="106"/>
      <c r="T82" s="106"/>
      <c r="U82" s="404" t="s">
        <v>122</v>
      </c>
      <c r="V82" s="404"/>
      <c r="W82" s="404"/>
      <c r="X82" s="404"/>
      <c r="Y82" s="404"/>
      <c r="Z82" s="404"/>
      <c r="AA82" s="404"/>
      <c r="AB82" s="404"/>
      <c r="AC82" s="404"/>
      <c r="AD82" s="404"/>
      <c r="AE82" s="404"/>
      <c r="AF82" s="106"/>
      <c r="AG82" s="106"/>
      <c r="AH82" s="404" t="s">
        <v>126</v>
      </c>
      <c r="AI82" s="404"/>
      <c r="AJ82" s="404"/>
      <c r="AK82" s="404"/>
      <c r="AL82" s="404"/>
      <c r="AM82" s="404"/>
      <c r="AN82" s="404"/>
      <c r="AO82" s="404"/>
      <c r="AP82" s="404"/>
      <c r="AQ82" s="404"/>
      <c r="AR82" s="404"/>
      <c r="AS82" s="404"/>
      <c r="AT82" s="404"/>
      <c r="AU82" s="404"/>
      <c r="AV82" s="404"/>
      <c r="AW82" s="404"/>
      <c r="AX82" s="404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98"/>
      <c r="BO82" s="78"/>
      <c r="BP82" s="367"/>
      <c r="BQ82" s="367"/>
      <c r="BR82" s="367"/>
      <c r="BS82" s="367"/>
      <c r="BT82" s="367"/>
      <c r="BU82" s="367"/>
      <c r="BV82" s="367"/>
      <c r="BW82" s="367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/>
      <c r="CZ82" s="454"/>
      <c r="DA82" s="107"/>
      <c r="DB82" s="107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86"/>
      <c r="DZ82" s="78"/>
      <c r="EA82" s="78"/>
      <c r="EB82" s="456"/>
      <c r="EC82" s="367"/>
      <c r="ED82" s="367"/>
      <c r="EE82" s="367"/>
      <c r="EF82" s="367"/>
      <c r="EG82" s="367"/>
      <c r="EH82" s="367"/>
      <c r="EI82" s="367"/>
      <c r="EJ82" s="367"/>
      <c r="EK82" s="367"/>
      <c r="EL82" s="367"/>
      <c r="EM82" s="367"/>
      <c r="EN82" s="367"/>
      <c r="EO82" s="367"/>
      <c r="EP82" s="367"/>
      <c r="EQ82" s="367"/>
      <c r="ER82" s="367"/>
      <c r="ES82" s="367"/>
      <c r="ET82" s="367"/>
      <c r="EU82" s="367"/>
      <c r="EV82" s="367"/>
      <c r="EW82" s="78"/>
      <c r="EX82" s="367"/>
      <c r="EY82" s="367"/>
      <c r="EZ82" s="367"/>
      <c r="FA82" s="367"/>
      <c r="FB82" s="367"/>
      <c r="FC82" s="367"/>
      <c r="FD82" s="367"/>
      <c r="FE82" s="367"/>
      <c r="FF82" s="367"/>
      <c r="FG82" s="367"/>
      <c r="FH82" s="367"/>
      <c r="FI82" s="367"/>
      <c r="FJ82" s="367"/>
      <c r="FK82" s="367"/>
      <c r="FL82" s="367"/>
      <c r="FM82" s="367"/>
      <c r="FN82" s="367"/>
      <c r="FO82" s="367"/>
      <c r="FP82" s="367"/>
      <c r="FQ82" s="367"/>
      <c r="FR82" s="367"/>
      <c r="FS82" s="367"/>
      <c r="FT82" s="367"/>
      <c r="FU82" s="367"/>
      <c r="FV82" s="367"/>
      <c r="FW82" s="367"/>
      <c r="FX82" s="367"/>
      <c r="FY82" s="367"/>
      <c r="FZ82" s="367"/>
      <c r="GA82" s="367"/>
      <c r="GB82" s="367"/>
      <c r="GC82" s="367"/>
      <c r="GD82" s="367"/>
      <c r="GE82" s="367"/>
      <c r="GF82" s="367"/>
      <c r="GG82" s="367"/>
      <c r="GH82" s="367"/>
      <c r="GI82" s="42"/>
    </row>
    <row r="83" spans="1:191" ht="2.4" customHeight="1" x14ac:dyDescent="0.3">
      <c r="A83" s="78"/>
      <c r="B83" s="78"/>
      <c r="C83" s="78"/>
      <c r="D83" s="78"/>
      <c r="E83" s="78"/>
      <c r="F83" s="78"/>
      <c r="G83" s="78"/>
      <c r="H83" s="78"/>
      <c r="I83" s="398"/>
      <c r="J83" s="398"/>
      <c r="K83" s="398"/>
      <c r="L83" s="398"/>
      <c r="M83" s="398"/>
      <c r="N83" s="398"/>
      <c r="O83" s="398"/>
      <c r="P83" s="398"/>
      <c r="Q83" s="398"/>
      <c r="R83" s="398"/>
      <c r="S83" s="96"/>
      <c r="T83" s="96"/>
      <c r="U83" s="398"/>
      <c r="V83" s="398"/>
      <c r="W83" s="398"/>
      <c r="X83" s="398"/>
      <c r="Y83" s="398"/>
      <c r="Z83" s="398"/>
      <c r="AA83" s="398"/>
      <c r="AB83" s="398"/>
      <c r="AC83" s="398"/>
      <c r="AD83" s="398"/>
      <c r="AE83" s="398"/>
      <c r="AF83" s="96"/>
      <c r="AG83" s="96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  <c r="AR83" s="398"/>
      <c r="AS83" s="398"/>
      <c r="AT83" s="398"/>
      <c r="AU83" s="398"/>
      <c r="AV83" s="398"/>
      <c r="AW83" s="398"/>
      <c r="AX83" s="39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9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86"/>
      <c r="CM83" s="86"/>
      <c r="CN83" s="86"/>
      <c r="CO83" s="86"/>
      <c r="CP83" s="404" t="s">
        <v>122</v>
      </c>
      <c r="CQ83" s="404"/>
      <c r="CR83" s="404"/>
      <c r="CS83" s="404"/>
      <c r="CT83" s="404"/>
      <c r="CU83" s="404"/>
      <c r="CV83" s="404"/>
      <c r="CW83" s="404"/>
      <c r="CX83" s="404"/>
      <c r="CY83" s="404"/>
      <c r="CZ83" s="404"/>
      <c r="DA83" s="96"/>
      <c r="DB83" s="96"/>
      <c r="DC83" s="404" t="s">
        <v>126</v>
      </c>
      <c r="DD83" s="404"/>
      <c r="DE83" s="404"/>
      <c r="DF83" s="404"/>
      <c r="DG83" s="404"/>
      <c r="DH83" s="404"/>
      <c r="DI83" s="404"/>
      <c r="DJ83" s="404"/>
      <c r="DK83" s="404"/>
      <c r="DL83" s="404"/>
      <c r="DM83" s="404"/>
      <c r="DN83" s="404"/>
      <c r="DO83" s="404"/>
      <c r="DP83" s="404"/>
      <c r="DQ83" s="404"/>
      <c r="DR83" s="404"/>
      <c r="DS83" s="404"/>
      <c r="DT83" s="404"/>
      <c r="DU83" s="404"/>
      <c r="DV83" s="404"/>
      <c r="DW83" s="404"/>
      <c r="DX83" s="404"/>
      <c r="DY83" s="86"/>
      <c r="DZ83" s="78"/>
      <c r="EA83" s="78"/>
      <c r="EB83" s="456"/>
      <c r="EC83" s="367"/>
      <c r="ED83" s="367"/>
      <c r="EE83" s="367"/>
      <c r="EF83" s="367"/>
      <c r="EG83" s="367"/>
      <c r="EH83" s="367"/>
      <c r="EI83" s="367"/>
      <c r="EJ83" s="367"/>
      <c r="EK83" s="367"/>
      <c r="EL83" s="367"/>
      <c r="EM83" s="367"/>
      <c r="EN83" s="367"/>
      <c r="EO83" s="367"/>
      <c r="EP83" s="367"/>
      <c r="EQ83" s="367"/>
      <c r="ER83" s="367"/>
      <c r="ES83" s="367"/>
      <c r="ET83" s="367"/>
      <c r="EU83" s="367"/>
      <c r="EV83" s="367"/>
      <c r="EW83" s="78"/>
      <c r="EX83" s="457"/>
      <c r="EY83" s="457"/>
      <c r="EZ83" s="457"/>
      <c r="FA83" s="457"/>
      <c r="FB83" s="457"/>
      <c r="FC83" s="457"/>
      <c r="FD83" s="457"/>
      <c r="FE83" s="457"/>
      <c r="FF83" s="457"/>
      <c r="FG83" s="457"/>
      <c r="FH83" s="457"/>
      <c r="FI83" s="457"/>
      <c r="FJ83" s="457"/>
      <c r="FK83" s="457"/>
      <c r="FL83" s="457"/>
      <c r="FM83" s="457"/>
      <c r="FN83" s="457"/>
      <c r="FO83" s="457"/>
      <c r="FP83" s="457"/>
      <c r="FQ83" s="457"/>
      <c r="FR83" s="457"/>
      <c r="FS83" s="457"/>
      <c r="FT83" s="457"/>
      <c r="FU83" s="457"/>
      <c r="FV83" s="457"/>
      <c r="FW83" s="457"/>
      <c r="FX83" s="457"/>
      <c r="FY83" s="457"/>
      <c r="FZ83" s="457"/>
      <c r="GA83" s="457"/>
      <c r="GB83" s="457"/>
      <c r="GC83" s="457"/>
      <c r="GD83" s="457"/>
      <c r="GE83" s="457"/>
      <c r="GF83" s="457"/>
      <c r="GG83" s="457"/>
      <c r="GH83" s="457"/>
      <c r="GI83" s="42"/>
    </row>
    <row r="84" spans="1:191" ht="2.4" customHeight="1" x14ac:dyDescent="0.3">
      <c r="A84" s="367" t="s">
        <v>201</v>
      </c>
      <c r="B84" s="367"/>
      <c r="C84" s="367"/>
      <c r="D84" s="367"/>
      <c r="E84" s="367"/>
      <c r="F84" s="367"/>
      <c r="G84" s="367"/>
      <c r="H84" s="367"/>
      <c r="I84" s="367"/>
      <c r="J84" s="367"/>
      <c r="K84" s="367"/>
      <c r="L84" s="367"/>
      <c r="M84" s="367"/>
      <c r="N84" s="367"/>
      <c r="O84" s="367"/>
      <c r="P84" s="367"/>
      <c r="Q84" s="367"/>
      <c r="R84" s="367"/>
      <c r="S84" s="367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9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398"/>
      <c r="CQ84" s="398"/>
      <c r="CR84" s="398"/>
      <c r="CS84" s="398"/>
      <c r="CT84" s="398"/>
      <c r="CU84" s="398"/>
      <c r="CV84" s="398"/>
      <c r="CW84" s="398"/>
      <c r="CX84" s="398"/>
      <c r="CY84" s="398"/>
      <c r="CZ84" s="398"/>
      <c r="DA84" s="96"/>
      <c r="DB84" s="96"/>
      <c r="DC84" s="398"/>
      <c r="DD84" s="398"/>
      <c r="DE84" s="398"/>
      <c r="DF84" s="398"/>
      <c r="DG84" s="398"/>
      <c r="DH84" s="398"/>
      <c r="DI84" s="398"/>
      <c r="DJ84" s="398"/>
      <c r="DK84" s="398"/>
      <c r="DL84" s="398"/>
      <c r="DM84" s="398"/>
      <c r="DN84" s="398"/>
      <c r="DO84" s="398"/>
      <c r="DP84" s="398"/>
      <c r="DQ84" s="398"/>
      <c r="DR84" s="398"/>
      <c r="DS84" s="398"/>
      <c r="DT84" s="398"/>
      <c r="DU84" s="398"/>
      <c r="DV84" s="398"/>
      <c r="DW84" s="398"/>
      <c r="DX84" s="398"/>
      <c r="DY84" s="78"/>
      <c r="DZ84" s="78"/>
      <c r="EA84" s="78"/>
      <c r="EB84" s="102"/>
      <c r="EC84" s="367"/>
      <c r="ED84" s="367"/>
      <c r="EE84" s="367"/>
      <c r="EF84" s="367"/>
      <c r="EG84" s="367"/>
      <c r="EH84" s="367"/>
      <c r="EI84" s="367"/>
      <c r="EJ84" s="367"/>
      <c r="EK84" s="367"/>
      <c r="EL84" s="367"/>
      <c r="EM84" s="367"/>
      <c r="EN84" s="367"/>
      <c r="EO84" s="367"/>
      <c r="EP84" s="367"/>
      <c r="EQ84" s="367"/>
      <c r="ER84" s="367"/>
      <c r="ES84" s="367"/>
      <c r="ET84" s="367"/>
      <c r="EU84" s="367"/>
      <c r="EV84" s="367"/>
      <c r="EW84" s="367"/>
      <c r="EX84" s="367"/>
      <c r="EY84" s="367"/>
      <c r="EZ84" s="367"/>
      <c r="FA84" s="367"/>
      <c r="FB84" s="367"/>
      <c r="FC84" s="367"/>
      <c r="FD84" s="367"/>
      <c r="FE84" s="367"/>
      <c r="FF84" s="367"/>
      <c r="FG84" s="367"/>
      <c r="FH84" s="367"/>
      <c r="FI84" s="367"/>
      <c r="FJ84" s="367"/>
      <c r="FK84" s="367"/>
      <c r="FL84" s="367"/>
      <c r="FM84" s="367"/>
      <c r="FN84" s="367"/>
      <c r="FO84" s="367"/>
      <c r="FP84" s="367"/>
      <c r="FQ84" s="367"/>
      <c r="FR84" s="367"/>
      <c r="FS84" s="367"/>
      <c r="FT84" s="367"/>
      <c r="FU84" s="367"/>
      <c r="FV84" s="367"/>
      <c r="FW84" s="367"/>
      <c r="FX84" s="367"/>
      <c r="FY84" s="367"/>
      <c r="FZ84" s="367"/>
      <c r="GA84" s="367"/>
      <c r="GB84" s="367"/>
      <c r="GC84" s="367"/>
      <c r="GD84" s="367"/>
      <c r="GE84" s="367"/>
      <c r="GF84" s="367"/>
      <c r="GG84" s="367"/>
      <c r="GH84" s="367"/>
      <c r="GI84" s="42"/>
    </row>
    <row r="85" spans="1:191" x14ac:dyDescent="0.3">
      <c r="A85" s="367"/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108"/>
      <c r="BD85" s="108"/>
      <c r="BE85" s="458" t="s">
        <v>202</v>
      </c>
      <c r="BF85" s="458"/>
      <c r="BG85" s="458"/>
      <c r="BH85" s="458"/>
      <c r="BI85" s="458"/>
      <c r="BJ85" s="458"/>
      <c r="BK85" s="458"/>
      <c r="BL85" s="458"/>
      <c r="BM85" s="458"/>
      <c r="BN85" s="98"/>
      <c r="BO85" s="78"/>
      <c r="BP85" s="78"/>
      <c r="BQ85" s="78"/>
      <c r="BR85" s="78"/>
      <c r="BS85" s="78"/>
      <c r="BT85" s="78"/>
      <c r="BU85" s="78"/>
      <c r="BV85" s="78"/>
      <c r="BW85" s="78"/>
      <c r="BX85" s="78"/>
      <c r="BY85" s="78"/>
      <c r="BZ85" s="78"/>
      <c r="CA85" s="78"/>
      <c r="CB85" s="78"/>
      <c r="CC85" s="78"/>
      <c r="CD85" s="78"/>
      <c r="CE85" s="78"/>
      <c r="CF85" s="78"/>
      <c r="CG85" s="78"/>
      <c r="CH85" s="78"/>
      <c r="CI85" s="78"/>
      <c r="CJ85" s="78"/>
      <c r="CK85" s="78"/>
      <c r="CL85" s="78"/>
      <c r="CM85" s="78"/>
      <c r="CN85" s="78"/>
      <c r="CO85" s="78"/>
      <c r="CP85" s="78"/>
      <c r="CQ85" s="78"/>
      <c r="CR85" s="78"/>
      <c r="CS85" s="78"/>
      <c r="CT85" s="78"/>
      <c r="CU85" s="78"/>
      <c r="CV85" s="78"/>
      <c r="CW85" s="78"/>
      <c r="CX85" s="78"/>
      <c r="CY85" s="78"/>
      <c r="CZ85" s="78"/>
      <c r="DA85" s="78"/>
      <c r="DB85" s="78"/>
      <c r="DC85" s="78"/>
      <c r="DD85" s="78"/>
      <c r="DE85" s="78"/>
      <c r="DF85" s="78"/>
      <c r="DG85" s="78"/>
      <c r="DH85" s="78"/>
      <c r="DI85" s="78"/>
      <c r="DJ85" s="78"/>
      <c r="DK85" s="78"/>
      <c r="DL85" s="78"/>
      <c r="DM85" s="78"/>
      <c r="DN85" s="78"/>
      <c r="DO85" s="78"/>
      <c r="DP85" s="78"/>
      <c r="DQ85" s="78"/>
      <c r="DR85" s="458" t="s">
        <v>202</v>
      </c>
      <c r="DS85" s="458"/>
      <c r="DT85" s="458"/>
      <c r="DU85" s="458"/>
      <c r="DV85" s="458"/>
      <c r="DW85" s="458"/>
      <c r="DX85" s="458"/>
      <c r="DY85" s="458"/>
      <c r="DZ85" s="458"/>
      <c r="EA85" s="78"/>
      <c r="EB85" s="102"/>
      <c r="EC85" s="457"/>
      <c r="ED85" s="457"/>
      <c r="EE85" s="457"/>
      <c r="EF85" s="457"/>
      <c r="EG85" s="457"/>
      <c r="EH85" s="457"/>
      <c r="EI85" s="457"/>
      <c r="EJ85" s="457"/>
      <c r="EK85" s="457"/>
      <c r="EL85" s="457"/>
      <c r="EM85" s="457"/>
      <c r="EN85" s="457"/>
      <c r="EO85" s="457"/>
      <c r="EP85" s="457"/>
      <c r="EQ85" s="457"/>
      <c r="ER85" s="457"/>
      <c r="ES85" s="457"/>
      <c r="ET85" s="457"/>
      <c r="EU85" s="457"/>
      <c r="EV85" s="457"/>
      <c r="EW85" s="457"/>
      <c r="EX85" s="457"/>
      <c r="EY85" s="457"/>
      <c r="EZ85" s="457"/>
      <c r="FA85" s="457"/>
      <c r="FB85" s="457"/>
      <c r="FC85" s="457"/>
      <c r="FD85" s="457"/>
      <c r="FE85" s="457"/>
      <c r="FF85" s="457"/>
      <c r="FG85" s="457"/>
      <c r="FH85" s="457"/>
      <c r="FI85" s="457"/>
      <c r="FJ85" s="457"/>
      <c r="FK85" s="457"/>
      <c r="FL85" s="457"/>
      <c r="FM85" s="457"/>
      <c r="FN85" s="457"/>
      <c r="FO85" s="457"/>
      <c r="FP85" s="457"/>
      <c r="FQ85" s="457"/>
      <c r="FR85" s="457"/>
      <c r="FS85" s="457"/>
      <c r="FT85" s="457"/>
      <c r="FU85" s="457"/>
      <c r="FV85" s="457"/>
      <c r="FW85" s="457"/>
      <c r="FX85" s="457"/>
      <c r="FY85" s="457"/>
      <c r="FZ85" s="457"/>
      <c r="GA85" s="457"/>
      <c r="GB85" s="457"/>
      <c r="GC85" s="457"/>
      <c r="GD85" s="457"/>
      <c r="GE85" s="457"/>
      <c r="GF85" s="457"/>
      <c r="GG85" s="457"/>
      <c r="GH85" s="457"/>
      <c r="GI85" s="42"/>
    </row>
    <row r="86" spans="1:191" ht="11.4" customHeight="1" x14ac:dyDescent="0.3">
      <c r="A86" s="78" t="s">
        <v>203</v>
      </c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350"/>
      <c r="O86" s="350"/>
      <c r="P86" s="350"/>
      <c r="Q86" s="350"/>
      <c r="R86" s="350"/>
      <c r="S86" s="350"/>
      <c r="T86" s="350"/>
      <c r="U86" s="350"/>
      <c r="V86" s="350"/>
      <c r="W86" s="350"/>
      <c r="X86" s="350"/>
      <c r="Y86" s="78"/>
      <c r="Z86" s="78"/>
      <c r="AA86" s="402" t="str">
        <f>FI42</f>
        <v>Сундеев В.И.</v>
      </c>
      <c r="AB86" s="402"/>
      <c r="AC86" s="402"/>
      <c r="AD86" s="402"/>
      <c r="AE86" s="402"/>
      <c r="AF86" s="402"/>
      <c r="AG86" s="402"/>
      <c r="AH86" s="402"/>
      <c r="AI86" s="402"/>
      <c r="AJ86" s="402"/>
      <c r="AK86" s="402"/>
      <c r="AL86" s="402"/>
      <c r="AM86" s="402"/>
      <c r="AN86" s="402"/>
      <c r="AO86" s="402"/>
      <c r="AP86" s="402"/>
      <c r="AQ86" s="402"/>
      <c r="AR86" s="402"/>
      <c r="AS86" s="402"/>
      <c r="AT86" s="402"/>
      <c r="AU86" s="402"/>
      <c r="AV86" s="402"/>
      <c r="AW86" s="78"/>
      <c r="AX86" s="78"/>
      <c r="AY86" s="78"/>
      <c r="AZ86" s="78"/>
      <c r="BA86" s="78"/>
      <c r="BB86" s="78"/>
      <c r="BC86" s="108"/>
      <c r="BD86" s="108"/>
      <c r="BE86" s="458"/>
      <c r="BF86" s="458"/>
      <c r="BG86" s="458"/>
      <c r="BH86" s="458"/>
      <c r="BI86" s="458"/>
      <c r="BJ86" s="458"/>
      <c r="BK86" s="458"/>
      <c r="BL86" s="458"/>
      <c r="BM86" s="458"/>
      <c r="BN86" s="98"/>
      <c r="BO86" s="78"/>
      <c r="BP86" s="78" t="s">
        <v>204</v>
      </c>
      <c r="BQ86" s="78"/>
      <c r="BR86" s="78"/>
      <c r="BS86" s="78"/>
      <c r="BT86" s="78"/>
      <c r="BU86" s="78"/>
      <c r="BV86" s="78"/>
      <c r="BW86" s="78"/>
      <c r="BX86" s="78"/>
      <c r="BY86" s="362"/>
      <c r="BZ86" s="362"/>
      <c r="CA86" s="362"/>
      <c r="CB86" s="362"/>
      <c r="CC86" s="362"/>
      <c r="CD86" s="362"/>
      <c r="CE86" s="362"/>
      <c r="CF86" s="362"/>
      <c r="CG86" s="362"/>
      <c r="CH86" s="362"/>
      <c r="CI86" s="362"/>
      <c r="CJ86" s="362"/>
      <c r="CK86" s="362"/>
      <c r="CL86" s="78"/>
      <c r="CM86" s="362"/>
      <c r="CN86" s="362"/>
      <c r="CO86" s="362"/>
      <c r="CP86" s="362"/>
      <c r="CQ86" s="362"/>
      <c r="CR86" s="362"/>
      <c r="CS86" s="362"/>
      <c r="CT86" s="362"/>
      <c r="CU86" s="362"/>
      <c r="CV86" s="362"/>
      <c r="CW86" s="362"/>
      <c r="CX86" s="362"/>
      <c r="CY86" s="78"/>
      <c r="CZ86" s="362"/>
      <c r="DA86" s="362"/>
      <c r="DB86" s="362"/>
      <c r="DC86" s="362"/>
      <c r="DD86" s="362"/>
      <c r="DE86" s="362"/>
      <c r="DF86" s="362"/>
      <c r="DG86" s="362"/>
      <c r="DH86" s="362"/>
      <c r="DI86" s="362"/>
      <c r="DJ86" s="362"/>
      <c r="DK86" s="362"/>
      <c r="DL86" s="362"/>
      <c r="DM86" s="362"/>
      <c r="DN86" s="362"/>
      <c r="DO86" s="362"/>
      <c r="DP86" s="362"/>
      <c r="DQ86" s="109"/>
      <c r="DR86" s="458"/>
      <c r="DS86" s="458"/>
      <c r="DT86" s="458"/>
      <c r="DU86" s="458"/>
      <c r="DV86" s="458"/>
      <c r="DW86" s="458"/>
      <c r="DX86" s="458"/>
      <c r="DY86" s="458"/>
      <c r="DZ86" s="458"/>
      <c r="EA86" s="109"/>
      <c r="EB86" s="102"/>
      <c r="EC86" s="459"/>
      <c r="ED86" s="459"/>
      <c r="EE86" s="459"/>
      <c r="EF86" s="459"/>
      <c r="EG86" s="459"/>
      <c r="EH86" s="459"/>
      <c r="EI86" s="459"/>
      <c r="EJ86" s="459"/>
      <c r="EK86" s="459"/>
      <c r="EL86" s="459"/>
      <c r="EM86" s="459"/>
      <c r="EN86" s="459"/>
      <c r="EO86" s="459"/>
      <c r="EP86" s="459"/>
      <c r="EQ86" s="459"/>
      <c r="ER86" s="459"/>
      <c r="ES86" s="459"/>
      <c r="ET86" s="459"/>
      <c r="EU86" s="459"/>
      <c r="EV86" s="459"/>
      <c r="EW86" s="459"/>
      <c r="EX86" s="459"/>
      <c r="EY86" s="459"/>
      <c r="EZ86" s="459"/>
      <c r="FA86" s="459"/>
      <c r="FB86" s="459"/>
      <c r="FC86" s="459"/>
      <c r="FD86" s="459"/>
      <c r="FE86" s="459"/>
      <c r="FF86" s="459"/>
      <c r="FG86" s="459"/>
      <c r="FH86" s="459"/>
      <c r="FI86" s="459"/>
      <c r="FJ86" s="459"/>
      <c r="FK86" s="459"/>
      <c r="FL86" s="459"/>
      <c r="FM86" s="459"/>
      <c r="FN86" s="459"/>
      <c r="FO86" s="459"/>
      <c r="FP86" s="459"/>
      <c r="FQ86" s="459"/>
      <c r="FR86" s="459"/>
      <c r="FS86" s="459"/>
      <c r="FT86" s="459"/>
      <c r="FU86" s="459"/>
      <c r="FV86" s="459"/>
      <c r="FW86" s="459"/>
      <c r="FX86" s="459"/>
      <c r="FY86" s="459"/>
      <c r="FZ86" s="459"/>
      <c r="GA86" s="459"/>
      <c r="GB86" s="459"/>
      <c r="GC86" s="459"/>
      <c r="GD86" s="459"/>
      <c r="GE86" s="459"/>
      <c r="GF86" s="459"/>
      <c r="GG86" s="459"/>
      <c r="GH86" s="459"/>
      <c r="GI86" s="42"/>
    </row>
    <row r="87" spans="1:191" s="62" customFormat="1" ht="4.2" customHeight="1" x14ac:dyDescent="0.3">
      <c r="A87" s="96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389" t="s">
        <v>122</v>
      </c>
      <c r="O87" s="389"/>
      <c r="P87" s="389"/>
      <c r="Q87" s="389"/>
      <c r="R87" s="389"/>
      <c r="S87" s="389"/>
      <c r="T87" s="389"/>
      <c r="U87" s="389"/>
      <c r="V87" s="389"/>
      <c r="W87" s="389"/>
      <c r="X87" s="389"/>
      <c r="Y87" s="106"/>
      <c r="Z87" s="106"/>
      <c r="AA87" s="389"/>
      <c r="AB87" s="389"/>
      <c r="AC87" s="389"/>
      <c r="AD87" s="389"/>
      <c r="AE87" s="389"/>
      <c r="AF87" s="389"/>
      <c r="AG87" s="389"/>
      <c r="AH87" s="389"/>
      <c r="AI87" s="389"/>
      <c r="AJ87" s="389"/>
      <c r="AK87" s="389"/>
      <c r="AL87" s="389"/>
      <c r="AM87" s="389"/>
      <c r="AN87" s="389"/>
      <c r="AO87" s="389"/>
      <c r="AP87" s="389"/>
      <c r="AQ87" s="389"/>
      <c r="AR87" s="389"/>
      <c r="AS87" s="389"/>
      <c r="AT87" s="389"/>
      <c r="AU87" s="389"/>
      <c r="AV87" s="389"/>
      <c r="AW87" s="96"/>
      <c r="AX87" s="96"/>
      <c r="AY87" s="96"/>
      <c r="AZ87" s="96"/>
      <c r="BA87" s="96"/>
      <c r="BB87" s="96"/>
      <c r="BC87" s="110"/>
      <c r="BD87" s="110"/>
      <c r="BE87" s="458"/>
      <c r="BF87" s="458"/>
      <c r="BG87" s="458"/>
      <c r="BH87" s="458"/>
      <c r="BI87" s="458"/>
      <c r="BJ87" s="458"/>
      <c r="BK87" s="458"/>
      <c r="BL87" s="458"/>
      <c r="BM87" s="458"/>
      <c r="BN87" s="111"/>
      <c r="BO87" s="96"/>
      <c r="BP87" s="96"/>
      <c r="BQ87" s="96"/>
      <c r="BR87" s="96"/>
      <c r="BS87" s="96"/>
      <c r="BT87" s="96"/>
      <c r="BU87" s="96"/>
      <c r="BV87" s="96"/>
      <c r="BW87" s="96"/>
      <c r="BX87" s="96"/>
      <c r="BY87" s="461" t="s">
        <v>121</v>
      </c>
      <c r="BZ87" s="461"/>
      <c r="CA87" s="461"/>
      <c r="CB87" s="461"/>
      <c r="CC87" s="461"/>
      <c r="CD87" s="461"/>
      <c r="CE87" s="461"/>
      <c r="CF87" s="461"/>
      <c r="CG87" s="461"/>
      <c r="CH87" s="461"/>
      <c r="CI87" s="461"/>
      <c r="CJ87" s="461"/>
      <c r="CK87" s="461"/>
      <c r="CL87" s="106"/>
      <c r="CM87" s="461" t="s">
        <v>122</v>
      </c>
      <c r="CN87" s="461"/>
      <c r="CO87" s="461"/>
      <c r="CP87" s="461"/>
      <c r="CQ87" s="461"/>
      <c r="CR87" s="461"/>
      <c r="CS87" s="461"/>
      <c r="CT87" s="461"/>
      <c r="CU87" s="461"/>
      <c r="CV87" s="461"/>
      <c r="CW87" s="461"/>
      <c r="CX87" s="461"/>
      <c r="CY87" s="106"/>
      <c r="CZ87" s="461" t="s">
        <v>126</v>
      </c>
      <c r="DA87" s="461"/>
      <c r="DB87" s="461"/>
      <c r="DC87" s="461"/>
      <c r="DD87" s="461"/>
      <c r="DE87" s="461"/>
      <c r="DF87" s="461"/>
      <c r="DG87" s="461"/>
      <c r="DH87" s="461"/>
      <c r="DI87" s="461"/>
      <c r="DJ87" s="461"/>
      <c r="DK87" s="461"/>
      <c r="DL87" s="461"/>
      <c r="DM87" s="461"/>
      <c r="DN87" s="461"/>
      <c r="DO87" s="461"/>
      <c r="DP87" s="461"/>
      <c r="DQ87" s="112"/>
      <c r="DR87" s="458"/>
      <c r="DS87" s="458"/>
      <c r="DT87" s="458"/>
      <c r="DU87" s="458"/>
      <c r="DV87" s="458"/>
      <c r="DW87" s="458"/>
      <c r="DX87" s="458"/>
      <c r="DY87" s="458"/>
      <c r="DZ87" s="458"/>
      <c r="EA87" s="112"/>
      <c r="EB87" s="113"/>
      <c r="EC87" s="367"/>
      <c r="ED87" s="367"/>
      <c r="EE87" s="367"/>
      <c r="EF87" s="367"/>
      <c r="EG87" s="367"/>
      <c r="EH87" s="367"/>
      <c r="EI87" s="367"/>
      <c r="EJ87" s="367"/>
      <c r="EK87" s="367"/>
      <c r="EL87" s="367"/>
      <c r="EM87" s="367"/>
      <c r="EN87" s="367"/>
      <c r="EO87" s="367"/>
      <c r="EP87" s="367"/>
      <c r="EQ87" s="367"/>
      <c r="ER87" s="367"/>
      <c r="ES87" s="367"/>
      <c r="ET87" s="367"/>
      <c r="EU87" s="367"/>
      <c r="EV87" s="367"/>
      <c r="EW87" s="367"/>
      <c r="EX87" s="367"/>
      <c r="EY87" s="367"/>
      <c r="EZ87" s="367"/>
      <c r="FA87" s="367"/>
      <c r="FB87" s="367"/>
      <c r="FC87" s="367"/>
      <c r="FD87" s="367"/>
      <c r="FE87" s="367"/>
      <c r="FF87" s="367"/>
      <c r="FG87" s="367"/>
      <c r="FH87" s="367"/>
      <c r="FI87" s="367"/>
      <c r="FJ87" s="367"/>
      <c r="FK87" s="367"/>
      <c r="FL87" s="367"/>
      <c r="FM87" s="367"/>
      <c r="FN87" s="367"/>
      <c r="FO87" s="367"/>
      <c r="FP87" s="367"/>
      <c r="FQ87" s="367"/>
      <c r="FR87" s="367"/>
      <c r="FS87" s="367"/>
      <c r="FT87" s="367"/>
      <c r="FU87" s="367"/>
      <c r="FV87" s="367"/>
      <c r="FW87" s="367"/>
      <c r="FX87" s="367"/>
      <c r="FY87" s="367"/>
      <c r="FZ87" s="367"/>
      <c r="GA87" s="367"/>
      <c r="GB87" s="367"/>
      <c r="GC87" s="367"/>
      <c r="GD87" s="367"/>
      <c r="GE87" s="367"/>
      <c r="GF87" s="367"/>
      <c r="GG87" s="367"/>
      <c r="GH87" s="367"/>
      <c r="GI87" s="61"/>
    </row>
    <row r="88" spans="1:191" ht="4.2" customHeight="1" x14ac:dyDescent="0.3">
      <c r="A88" s="78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390"/>
      <c r="O88" s="390"/>
      <c r="P88" s="390"/>
      <c r="Q88" s="390"/>
      <c r="R88" s="390"/>
      <c r="S88" s="390"/>
      <c r="T88" s="390"/>
      <c r="U88" s="390"/>
      <c r="V88" s="390"/>
      <c r="W88" s="390"/>
      <c r="X88" s="390"/>
      <c r="Y88" s="114"/>
      <c r="Z88" s="114"/>
      <c r="AA88" s="390"/>
      <c r="AB88" s="390"/>
      <c r="AC88" s="390"/>
      <c r="AD88" s="390"/>
      <c r="AE88" s="390"/>
      <c r="AF88" s="390"/>
      <c r="AG88" s="390"/>
      <c r="AH88" s="390"/>
      <c r="AI88" s="390"/>
      <c r="AJ88" s="390"/>
      <c r="AK88" s="390"/>
      <c r="AL88" s="390"/>
      <c r="AM88" s="390"/>
      <c r="AN88" s="390"/>
      <c r="AO88" s="390"/>
      <c r="AP88" s="390"/>
      <c r="AQ88" s="390"/>
      <c r="AR88" s="390"/>
      <c r="AS88" s="390"/>
      <c r="AT88" s="390"/>
      <c r="AU88" s="390"/>
      <c r="AV88" s="390"/>
      <c r="AW88" s="78"/>
      <c r="AX88" s="78"/>
      <c r="AY88" s="78"/>
      <c r="AZ88" s="78"/>
      <c r="BA88" s="78"/>
      <c r="BB88" s="78"/>
      <c r="BC88" s="108"/>
      <c r="BD88" s="108"/>
      <c r="BE88" s="458"/>
      <c r="BF88" s="458"/>
      <c r="BG88" s="458"/>
      <c r="BH88" s="458"/>
      <c r="BI88" s="458"/>
      <c r="BJ88" s="458"/>
      <c r="BK88" s="458"/>
      <c r="BL88" s="458"/>
      <c r="BM88" s="45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462"/>
      <c r="BZ88" s="462"/>
      <c r="CA88" s="462"/>
      <c r="CB88" s="462"/>
      <c r="CC88" s="462"/>
      <c r="CD88" s="462"/>
      <c r="CE88" s="462"/>
      <c r="CF88" s="462"/>
      <c r="CG88" s="462"/>
      <c r="CH88" s="462"/>
      <c r="CI88" s="462"/>
      <c r="CJ88" s="462"/>
      <c r="CK88" s="462"/>
      <c r="CL88" s="114"/>
      <c r="CM88" s="462"/>
      <c r="CN88" s="462"/>
      <c r="CO88" s="462"/>
      <c r="CP88" s="462"/>
      <c r="CQ88" s="462"/>
      <c r="CR88" s="462"/>
      <c r="CS88" s="462"/>
      <c r="CT88" s="462"/>
      <c r="CU88" s="462"/>
      <c r="CV88" s="462"/>
      <c r="CW88" s="462"/>
      <c r="CX88" s="462"/>
      <c r="CY88" s="114"/>
      <c r="CZ88" s="462"/>
      <c r="DA88" s="462"/>
      <c r="DB88" s="462"/>
      <c r="DC88" s="462"/>
      <c r="DD88" s="462"/>
      <c r="DE88" s="462"/>
      <c r="DF88" s="462"/>
      <c r="DG88" s="462"/>
      <c r="DH88" s="462"/>
      <c r="DI88" s="462"/>
      <c r="DJ88" s="462"/>
      <c r="DK88" s="462"/>
      <c r="DL88" s="462"/>
      <c r="DM88" s="462"/>
      <c r="DN88" s="462"/>
      <c r="DO88" s="462"/>
      <c r="DP88" s="462"/>
      <c r="DQ88" s="109"/>
      <c r="DR88" s="458"/>
      <c r="DS88" s="458"/>
      <c r="DT88" s="458"/>
      <c r="DU88" s="458"/>
      <c r="DV88" s="458"/>
      <c r="DW88" s="458"/>
      <c r="DX88" s="458"/>
      <c r="DY88" s="458"/>
      <c r="DZ88" s="458"/>
      <c r="EA88" s="109"/>
      <c r="EB88" s="102"/>
      <c r="EC88" s="457"/>
      <c r="ED88" s="457"/>
      <c r="EE88" s="457"/>
      <c r="EF88" s="457"/>
      <c r="EG88" s="457"/>
      <c r="EH88" s="457"/>
      <c r="EI88" s="457"/>
      <c r="EJ88" s="457"/>
      <c r="EK88" s="457"/>
      <c r="EL88" s="457"/>
      <c r="EM88" s="457"/>
      <c r="EN88" s="457"/>
      <c r="EO88" s="457"/>
      <c r="EP88" s="457"/>
      <c r="EQ88" s="457"/>
      <c r="ER88" s="457"/>
      <c r="ES88" s="457"/>
      <c r="ET88" s="457"/>
      <c r="EU88" s="457"/>
      <c r="EV88" s="457"/>
      <c r="EW88" s="457"/>
      <c r="EX88" s="457"/>
      <c r="EY88" s="457"/>
      <c r="EZ88" s="457"/>
      <c r="FA88" s="457"/>
      <c r="FB88" s="457"/>
      <c r="FC88" s="457"/>
      <c r="FD88" s="457"/>
      <c r="FE88" s="457"/>
      <c r="FF88" s="457"/>
      <c r="FG88" s="457"/>
      <c r="FH88" s="457"/>
      <c r="FI88" s="457"/>
      <c r="FJ88" s="457"/>
      <c r="FK88" s="457"/>
      <c r="FL88" s="457"/>
      <c r="FM88" s="457"/>
      <c r="FN88" s="457"/>
      <c r="FO88" s="457"/>
      <c r="FP88" s="457"/>
      <c r="FQ88" s="457"/>
      <c r="FR88" s="457"/>
      <c r="FS88" s="457"/>
      <c r="FT88" s="457"/>
      <c r="FU88" s="457"/>
      <c r="FV88" s="457"/>
      <c r="FW88" s="457"/>
      <c r="FX88" s="457"/>
      <c r="FY88" s="457"/>
      <c r="FZ88" s="457"/>
      <c r="GA88" s="457"/>
      <c r="GB88" s="457"/>
      <c r="GC88" s="457"/>
      <c r="GD88" s="457"/>
      <c r="GE88" s="457"/>
      <c r="GF88" s="457"/>
      <c r="GG88" s="457"/>
      <c r="GH88" s="457"/>
      <c r="GI88" s="42"/>
    </row>
    <row r="89" spans="1:191" ht="4.2" customHeight="1" thickBot="1" x14ac:dyDescent="0.35">
      <c r="A89" s="78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460"/>
      <c r="O89" s="460"/>
      <c r="P89" s="460"/>
      <c r="Q89" s="460"/>
      <c r="R89" s="460"/>
      <c r="S89" s="460"/>
      <c r="T89" s="460"/>
      <c r="U89" s="460"/>
      <c r="V89" s="460"/>
      <c r="W89" s="460"/>
      <c r="X89" s="460"/>
      <c r="Y89" s="78"/>
      <c r="Z89" s="78"/>
      <c r="AA89" s="460"/>
      <c r="AB89" s="460"/>
      <c r="AC89" s="460"/>
      <c r="AD89" s="460"/>
      <c r="AE89" s="460"/>
      <c r="AF89" s="460"/>
      <c r="AG89" s="460"/>
      <c r="AH89" s="460"/>
      <c r="AI89" s="460"/>
      <c r="AJ89" s="460"/>
      <c r="AK89" s="460"/>
      <c r="AL89" s="460"/>
      <c r="AM89" s="460"/>
      <c r="AN89" s="460"/>
      <c r="AO89" s="460"/>
      <c r="AP89" s="460"/>
      <c r="AQ89" s="460"/>
      <c r="AR89" s="460"/>
      <c r="AS89" s="460"/>
      <c r="AT89" s="460"/>
      <c r="AU89" s="460"/>
      <c r="AV89" s="460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463"/>
      <c r="BZ89" s="463"/>
      <c r="CA89" s="463"/>
      <c r="CB89" s="463"/>
      <c r="CC89" s="463"/>
      <c r="CD89" s="463"/>
      <c r="CE89" s="463"/>
      <c r="CF89" s="463"/>
      <c r="CG89" s="463"/>
      <c r="CH89" s="463"/>
      <c r="CI89" s="463"/>
      <c r="CJ89" s="463"/>
      <c r="CK89" s="463"/>
      <c r="CL89" s="78"/>
      <c r="CM89" s="463"/>
      <c r="CN89" s="463"/>
      <c r="CO89" s="463"/>
      <c r="CP89" s="463"/>
      <c r="CQ89" s="463"/>
      <c r="CR89" s="463"/>
      <c r="CS89" s="463"/>
      <c r="CT89" s="463"/>
      <c r="CU89" s="463"/>
      <c r="CV89" s="463"/>
      <c r="CW89" s="463"/>
      <c r="CX89" s="463"/>
      <c r="CY89" s="78"/>
      <c r="CZ89" s="463"/>
      <c r="DA89" s="463"/>
      <c r="DB89" s="463"/>
      <c r="DC89" s="463"/>
      <c r="DD89" s="463"/>
      <c r="DE89" s="463"/>
      <c r="DF89" s="463"/>
      <c r="DG89" s="463"/>
      <c r="DH89" s="463"/>
      <c r="DI89" s="463"/>
      <c r="DJ89" s="463"/>
      <c r="DK89" s="463"/>
      <c r="DL89" s="463"/>
      <c r="DM89" s="463"/>
      <c r="DN89" s="463"/>
      <c r="DO89" s="463"/>
      <c r="DP89" s="463"/>
      <c r="DQ89" s="78"/>
      <c r="DR89" s="78"/>
      <c r="DS89" s="78"/>
      <c r="DT89" s="78"/>
      <c r="DU89" s="78"/>
      <c r="DV89" s="78"/>
      <c r="DW89" s="78"/>
      <c r="DX89" s="78"/>
      <c r="DY89" s="78"/>
      <c r="DZ89" s="78"/>
      <c r="EA89" s="78"/>
      <c r="EB89" s="78"/>
      <c r="EC89" s="78"/>
      <c r="ED89" s="78"/>
      <c r="EE89" s="78"/>
      <c r="EF89" s="78"/>
      <c r="EG89" s="78"/>
      <c r="EH89" s="78"/>
      <c r="EI89" s="78"/>
      <c r="EJ89" s="78"/>
      <c r="EK89" s="78"/>
      <c r="EL89" s="78"/>
      <c r="EM89" s="78"/>
      <c r="EN89" s="78"/>
      <c r="EO89" s="78"/>
      <c r="EP89" s="78"/>
      <c r="EQ89" s="78"/>
      <c r="ER89" s="78"/>
      <c r="ES89" s="78"/>
      <c r="ET89" s="78"/>
      <c r="EU89" s="78"/>
      <c r="EV89" s="78"/>
      <c r="EW89" s="78"/>
      <c r="EX89" s="78"/>
      <c r="EY89" s="78"/>
      <c r="EZ89" s="78"/>
      <c r="FA89" s="78"/>
      <c r="FB89" s="78"/>
      <c r="FC89" s="78"/>
      <c r="FD89" s="78"/>
      <c r="FE89" s="78"/>
      <c r="FF89" s="78"/>
      <c r="FG89" s="78"/>
      <c r="FH89" s="78"/>
      <c r="FI89" s="78"/>
      <c r="FJ89" s="78"/>
      <c r="FK89" s="78"/>
      <c r="FL89" s="78"/>
      <c r="FM89" s="78"/>
      <c r="FN89" s="78"/>
      <c r="FO89" s="78"/>
      <c r="FP89" s="78"/>
      <c r="FQ89" s="78"/>
      <c r="FR89" s="78"/>
      <c r="FS89" s="78"/>
      <c r="FT89" s="78"/>
      <c r="FU89" s="78"/>
      <c r="FV89" s="78"/>
      <c r="FW89" s="78"/>
      <c r="FX89" s="78"/>
      <c r="FY89" s="78"/>
      <c r="FZ89" s="78"/>
      <c r="GA89" s="78"/>
      <c r="GB89" s="78"/>
      <c r="GC89" s="78"/>
      <c r="GD89" s="78"/>
      <c r="GE89" s="78"/>
      <c r="GF89" s="78"/>
      <c r="GG89" s="78"/>
      <c r="GH89" s="78"/>
      <c r="GI89" s="42"/>
    </row>
    <row r="90" spans="1:191" ht="15" thickTop="1" x14ac:dyDescent="0.3">
      <c r="A90" s="464" t="s">
        <v>205</v>
      </c>
      <c r="B90" s="465"/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5"/>
      <c r="V90" s="465"/>
      <c r="W90" s="465"/>
      <c r="X90" s="465"/>
      <c r="Y90" s="465"/>
      <c r="Z90" s="465"/>
      <c r="AA90" s="465"/>
      <c r="AB90" s="465"/>
      <c r="AC90" s="465"/>
      <c r="AD90" s="465"/>
      <c r="AE90" s="465"/>
      <c r="AF90" s="465"/>
      <c r="AG90" s="465"/>
      <c r="AH90" s="465"/>
      <c r="AI90" s="465"/>
      <c r="AJ90" s="465"/>
      <c r="AK90" s="465"/>
      <c r="AL90" s="465"/>
      <c r="AM90" s="465"/>
      <c r="AN90" s="465"/>
      <c r="AO90" s="465"/>
      <c r="AP90" s="465"/>
      <c r="AQ90" s="465"/>
      <c r="AR90" s="465"/>
      <c r="AS90" s="465"/>
      <c r="AT90" s="465"/>
      <c r="AU90" s="465"/>
      <c r="AV90" s="465"/>
      <c r="AW90" s="465"/>
      <c r="AX90" s="465"/>
      <c r="AY90" s="465"/>
      <c r="AZ90" s="465"/>
      <c r="BA90" s="465"/>
      <c r="BB90" s="465"/>
      <c r="BC90" s="465"/>
      <c r="BD90" s="465"/>
      <c r="BE90" s="465"/>
      <c r="BF90" s="465"/>
      <c r="BG90" s="465"/>
      <c r="BH90" s="465"/>
      <c r="BI90" s="465"/>
      <c r="BJ90" s="465"/>
      <c r="BK90" s="465"/>
      <c r="BL90" s="465"/>
      <c r="BM90" s="465"/>
      <c r="BN90" s="465"/>
      <c r="BO90" s="465"/>
      <c r="BP90" s="465"/>
      <c r="BQ90" s="465"/>
      <c r="BR90" s="465"/>
      <c r="BS90" s="465"/>
      <c r="BT90" s="465"/>
      <c r="BU90" s="465"/>
      <c r="BV90" s="465"/>
      <c r="BW90" s="465"/>
      <c r="BX90" s="465"/>
      <c r="BY90" s="465"/>
      <c r="BZ90" s="465"/>
      <c r="CA90" s="465"/>
      <c r="CB90" s="465"/>
      <c r="CC90" s="465"/>
      <c r="CD90" s="465"/>
      <c r="CE90" s="465"/>
      <c r="CF90" s="465"/>
      <c r="CG90" s="465"/>
      <c r="CH90" s="465"/>
      <c r="CI90" s="465"/>
      <c r="CJ90" s="465"/>
      <c r="CK90" s="465"/>
      <c r="CL90" s="465"/>
      <c r="CM90" s="465"/>
      <c r="CN90" s="465"/>
      <c r="CO90" s="465"/>
      <c r="CP90" s="465"/>
      <c r="CQ90" s="465"/>
      <c r="CR90" s="465"/>
      <c r="CS90" s="465"/>
      <c r="CT90" s="465"/>
      <c r="CU90" s="465"/>
      <c r="CV90" s="465"/>
      <c r="CW90" s="465"/>
      <c r="CX90" s="465"/>
      <c r="CY90" s="465"/>
      <c r="CZ90" s="465"/>
      <c r="DA90" s="465"/>
      <c r="DB90" s="465"/>
      <c r="DC90" s="465"/>
      <c r="DD90" s="465"/>
      <c r="DE90" s="465"/>
      <c r="DF90" s="465"/>
      <c r="DG90" s="465"/>
      <c r="DH90" s="465"/>
      <c r="DI90" s="465"/>
      <c r="DJ90" s="465"/>
      <c r="DK90" s="465"/>
      <c r="DL90" s="465"/>
      <c r="DM90" s="465"/>
      <c r="DN90" s="465"/>
      <c r="DO90" s="465"/>
      <c r="DP90" s="465"/>
      <c r="DQ90" s="465"/>
      <c r="DR90" s="465"/>
      <c r="DS90" s="465"/>
      <c r="DT90" s="465"/>
      <c r="DU90" s="465"/>
      <c r="DV90" s="465"/>
      <c r="DW90" s="465"/>
      <c r="DX90" s="465"/>
      <c r="DY90" s="465"/>
      <c r="DZ90" s="465"/>
      <c r="EA90" s="465"/>
      <c r="EB90" s="465"/>
      <c r="EC90" s="465"/>
      <c r="ED90" s="465"/>
      <c r="EE90" s="465"/>
      <c r="EF90" s="465"/>
      <c r="EG90" s="465"/>
      <c r="EH90" s="465"/>
      <c r="EI90" s="465"/>
      <c r="EJ90" s="465"/>
      <c r="EK90" s="465"/>
      <c r="EL90" s="465"/>
      <c r="EM90" s="465"/>
      <c r="EN90" s="465"/>
      <c r="EO90" s="465"/>
      <c r="EP90" s="465"/>
      <c r="EQ90" s="465"/>
      <c r="ER90" s="465"/>
      <c r="ES90" s="465"/>
      <c r="ET90" s="465"/>
      <c r="EU90" s="465"/>
      <c r="EV90" s="465"/>
      <c r="EW90" s="465"/>
      <c r="EX90" s="465"/>
      <c r="EY90" s="465"/>
      <c r="EZ90" s="465"/>
      <c r="FA90" s="465"/>
      <c r="FB90" s="465"/>
      <c r="FC90" s="465"/>
      <c r="FD90" s="465"/>
      <c r="FE90" s="465"/>
      <c r="FF90" s="465"/>
      <c r="FG90" s="465"/>
      <c r="FH90" s="465"/>
      <c r="FI90" s="465"/>
      <c r="FJ90" s="465"/>
      <c r="FK90" s="465"/>
      <c r="FL90" s="465"/>
      <c r="FM90" s="465"/>
      <c r="FN90" s="465"/>
      <c r="FO90" s="465"/>
      <c r="FP90" s="465"/>
      <c r="FQ90" s="465"/>
      <c r="FR90" s="465"/>
      <c r="FS90" s="465"/>
      <c r="FT90" s="465"/>
      <c r="FU90" s="465"/>
      <c r="FV90" s="465"/>
      <c r="FW90" s="465"/>
      <c r="FX90" s="465"/>
      <c r="FY90" s="465"/>
      <c r="FZ90" s="465"/>
      <c r="GA90" s="465"/>
      <c r="GB90" s="465"/>
      <c r="GC90" s="465"/>
      <c r="GD90" s="465"/>
      <c r="GE90" s="465"/>
      <c r="GF90" s="465"/>
      <c r="GG90" s="465"/>
      <c r="GH90" s="466"/>
      <c r="GI90" s="42"/>
    </row>
    <row r="91" spans="1:191" x14ac:dyDescent="0.3">
      <c r="A91" s="467" t="s">
        <v>206</v>
      </c>
      <c r="B91" s="468"/>
      <c r="C91" s="468"/>
      <c r="D91" s="468"/>
      <c r="E91" s="468"/>
      <c r="F91" s="468"/>
      <c r="G91" s="468"/>
      <c r="H91" s="468"/>
      <c r="I91" s="468"/>
      <c r="J91" s="469"/>
      <c r="K91" s="473" t="s">
        <v>207</v>
      </c>
      <c r="L91" s="305"/>
      <c r="M91" s="305"/>
      <c r="N91" s="305"/>
      <c r="O91" s="305"/>
      <c r="P91" s="305"/>
      <c r="Q91" s="305"/>
      <c r="R91" s="305"/>
      <c r="S91" s="305"/>
      <c r="T91" s="305"/>
      <c r="U91" s="305"/>
      <c r="V91" s="305"/>
      <c r="W91" s="305"/>
      <c r="X91" s="305"/>
      <c r="Y91" s="305"/>
      <c r="Z91" s="305"/>
      <c r="AA91" s="305"/>
      <c r="AB91" s="305"/>
      <c r="AC91" s="305"/>
      <c r="AD91" s="305"/>
      <c r="AE91" s="305"/>
      <c r="AF91" s="305"/>
      <c r="AG91" s="305"/>
      <c r="AH91" s="305"/>
      <c r="AI91" s="305"/>
      <c r="AJ91" s="306"/>
      <c r="AK91" s="473" t="s">
        <v>208</v>
      </c>
      <c r="AL91" s="305"/>
      <c r="AM91" s="305"/>
      <c r="AN91" s="305"/>
      <c r="AO91" s="305"/>
      <c r="AP91" s="305"/>
      <c r="AQ91" s="305"/>
      <c r="AR91" s="305"/>
      <c r="AS91" s="305"/>
      <c r="AT91" s="305"/>
      <c r="AU91" s="305"/>
      <c r="AV91" s="305"/>
      <c r="AW91" s="305"/>
      <c r="AX91" s="305"/>
      <c r="AY91" s="305"/>
      <c r="AZ91" s="305"/>
      <c r="BA91" s="305"/>
      <c r="BB91" s="305"/>
      <c r="BC91" s="305"/>
      <c r="BD91" s="305"/>
      <c r="BE91" s="305"/>
      <c r="BF91" s="305"/>
      <c r="BG91" s="305"/>
      <c r="BH91" s="305"/>
      <c r="BI91" s="305"/>
      <c r="BJ91" s="306"/>
      <c r="BK91" s="473" t="s">
        <v>209</v>
      </c>
      <c r="BL91" s="305"/>
      <c r="BM91" s="305"/>
      <c r="BN91" s="305"/>
      <c r="BO91" s="305"/>
      <c r="BP91" s="305"/>
      <c r="BQ91" s="305"/>
      <c r="BR91" s="305"/>
      <c r="BS91" s="305"/>
      <c r="BT91" s="305"/>
      <c r="BU91" s="305"/>
      <c r="BV91" s="305"/>
      <c r="BW91" s="305"/>
      <c r="BX91" s="305"/>
      <c r="BY91" s="305"/>
      <c r="BZ91" s="305"/>
      <c r="CA91" s="305"/>
      <c r="CB91" s="305"/>
      <c r="CC91" s="305"/>
      <c r="CD91" s="305"/>
      <c r="CE91" s="305"/>
      <c r="CF91" s="305"/>
      <c r="CG91" s="305"/>
      <c r="CH91" s="305"/>
      <c r="CI91" s="305"/>
      <c r="CJ91" s="305"/>
      <c r="CK91" s="305"/>
      <c r="CL91" s="306"/>
      <c r="CM91" s="475" t="s">
        <v>210</v>
      </c>
      <c r="CN91" s="476"/>
      <c r="CO91" s="476"/>
      <c r="CP91" s="476"/>
      <c r="CQ91" s="476"/>
      <c r="CR91" s="476"/>
      <c r="CS91" s="476"/>
      <c r="CT91" s="476"/>
      <c r="CU91" s="476"/>
      <c r="CV91" s="476"/>
      <c r="CW91" s="476"/>
      <c r="CX91" s="476"/>
      <c r="CY91" s="476"/>
      <c r="CZ91" s="476"/>
      <c r="DA91" s="476"/>
      <c r="DB91" s="476"/>
      <c r="DC91" s="476"/>
      <c r="DD91" s="476"/>
      <c r="DE91" s="476"/>
      <c r="DF91" s="476"/>
      <c r="DG91" s="476"/>
      <c r="DH91" s="476"/>
      <c r="DI91" s="476"/>
      <c r="DJ91" s="476"/>
      <c r="DK91" s="476"/>
      <c r="DL91" s="476"/>
      <c r="DM91" s="476"/>
      <c r="DN91" s="476"/>
      <c r="DO91" s="476"/>
      <c r="DP91" s="476"/>
      <c r="DQ91" s="476"/>
      <c r="DR91" s="476"/>
      <c r="DS91" s="476"/>
      <c r="DT91" s="476"/>
      <c r="DU91" s="476"/>
      <c r="DV91" s="476"/>
      <c r="DW91" s="476"/>
      <c r="DX91" s="476"/>
      <c r="DY91" s="476"/>
      <c r="DZ91" s="476"/>
      <c r="EA91" s="477"/>
      <c r="EB91" s="478" t="s">
        <v>211</v>
      </c>
      <c r="EC91" s="479"/>
      <c r="ED91" s="479"/>
      <c r="EE91" s="479"/>
      <c r="EF91" s="479"/>
      <c r="EG91" s="479"/>
      <c r="EH91" s="479"/>
      <c r="EI91" s="479"/>
      <c r="EJ91" s="479"/>
      <c r="EK91" s="479"/>
      <c r="EL91" s="479"/>
      <c r="EM91" s="479"/>
      <c r="EN91" s="479"/>
      <c r="EO91" s="479"/>
      <c r="EP91" s="479"/>
      <c r="EQ91" s="479"/>
      <c r="ER91" s="479"/>
      <c r="ES91" s="479"/>
      <c r="ET91" s="479"/>
      <c r="EU91" s="479"/>
      <c r="EV91" s="479"/>
      <c r="EW91" s="479"/>
      <c r="EX91" s="479"/>
      <c r="EY91" s="479"/>
      <c r="EZ91" s="479"/>
      <c r="FA91" s="479"/>
      <c r="FB91" s="479"/>
      <c r="FC91" s="479"/>
      <c r="FD91" s="480"/>
      <c r="FE91" s="473" t="s">
        <v>212</v>
      </c>
      <c r="FF91" s="305"/>
      <c r="FG91" s="305"/>
      <c r="FH91" s="305"/>
      <c r="FI91" s="305"/>
      <c r="FJ91" s="305"/>
      <c r="FK91" s="305"/>
      <c r="FL91" s="305"/>
      <c r="FM91" s="305"/>
      <c r="FN91" s="305"/>
      <c r="FO91" s="305"/>
      <c r="FP91" s="305"/>
      <c r="FQ91" s="305"/>
      <c r="FR91" s="305"/>
      <c r="FS91" s="306"/>
      <c r="FT91" s="473" t="s">
        <v>213</v>
      </c>
      <c r="FU91" s="305"/>
      <c r="FV91" s="305"/>
      <c r="FW91" s="305"/>
      <c r="FX91" s="305"/>
      <c r="FY91" s="305"/>
      <c r="FZ91" s="305"/>
      <c r="GA91" s="305"/>
      <c r="GB91" s="305"/>
      <c r="GC91" s="305"/>
      <c r="GD91" s="305"/>
      <c r="GE91" s="305"/>
      <c r="GF91" s="305"/>
      <c r="GG91" s="305"/>
      <c r="GH91" s="481"/>
      <c r="GI91" s="42"/>
    </row>
    <row r="92" spans="1:191" x14ac:dyDescent="0.3">
      <c r="A92" s="470"/>
      <c r="B92" s="471"/>
      <c r="C92" s="471"/>
      <c r="D92" s="471"/>
      <c r="E92" s="471"/>
      <c r="F92" s="471"/>
      <c r="G92" s="471"/>
      <c r="H92" s="471"/>
      <c r="I92" s="471"/>
      <c r="J92" s="472"/>
      <c r="K92" s="474"/>
      <c r="L92" s="311"/>
      <c r="M92" s="311"/>
      <c r="N92" s="311"/>
      <c r="O92" s="311"/>
      <c r="P92" s="311"/>
      <c r="Q92" s="311"/>
      <c r="R92" s="311"/>
      <c r="S92" s="311"/>
      <c r="T92" s="311"/>
      <c r="U92" s="311"/>
      <c r="V92" s="311"/>
      <c r="W92" s="311"/>
      <c r="X92" s="311"/>
      <c r="Y92" s="311"/>
      <c r="Z92" s="311"/>
      <c r="AA92" s="311"/>
      <c r="AB92" s="311"/>
      <c r="AC92" s="311"/>
      <c r="AD92" s="311"/>
      <c r="AE92" s="311"/>
      <c r="AF92" s="311"/>
      <c r="AG92" s="311"/>
      <c r="AH92" s="311"/>
      <c r="AI92" s="311"/>
      <c r="AJ92" s="312"/>
      <c r="AK92" s="474"/>
      <c r="AL92" s="311"/>
      <c r="AM92" s="311"/>
      <c r="AN92" s="311"/>
      <c r="AO92" s="311"/>
      <c r="AP92" s="311"/>
      <c r="AQ92" s="311"/>
      <c r="AR92" s="311"/>
      <c r="AS92" s="311"/>
      <c r="AT92" s="311"/>
      <c r="AU92" s="311"/>
      <c r="AV92" s="311"/>
      <c r="AW92" s="311"/>
      <c r="AX92" s="311"/>
      <c r="AY92" s="311"/>
      <c r="AZ92" s="311"/>
      <c r="BA92" s="311"/>
      <c r="BB92" s="311"/>
      <c r="BC92" s="311"/>
      <c r="BD92" s="311"/>
      <c r="BE92" s="311"/>
      <c r="BF92" s="311"/>
      <c r="BG92" s="311"/>
      <c r="BH92" s="311"/>
      <c r="BI92" s="311"/>
      <c r="BJ92" s="312"/>
      <c r="BK92" s="474"/>
      <c r="BL92" s="311"/>
      <c r="BM92" s="311"/>
      <c r="BN92" s="311"/>
      <c r="BO92" s="311"/>
      <c r="BP92" s="311"/>
      <c r="BQ92" s="311"/>
      <c r="BR92" s="311"/>
      <c r="BS92" s="311"/>
      <c r="BT92" s="311"/>
      <c r="BU92" s="311"/>
      <c r="BV92" s="311"/>
      <c r="BW92" s="311"/>
      <c r="BX92" s="311"/>
      <c r="BY92" s="311"/>
      <c r="BZ92" s="311"/>
      <c r="CA92" s="311"/>
      <c r="CB92" s="311"/>
      <c r="CC92" s="311"/>
      <c r="CD92" s="311"/>
      <c r="CE92" s="311"/>
      <c r="CF92" s="311"/>
      <c r="CG92" s="311"/>
      <c r="CH92" s="311"/>
      <c r="CI92" s="311"/>
      <c r="CJ92" s="311"/>
      <c r="CK92" s="311"/>
      <c r="CL92" s="312"/>
      <c r="CM92" s="478" t="s">
        <v>214</v>
      </c>
      <c r="CN92" s="479"/>
      <c r="CO92" s="479"/>
      <c r="CP92" s="479"/>
      <c r="CQ92" s="479"/>
      <c r="CR92" s="479"/>
      <c r="CS92" s="479"/>
      <c r="CT92" s="479"/>
      <c r="CU92" s="479"/>
      <c r="CV92" s="479"/>
      <c r="CW92" s="479"/>
      <c r="CX92" s="479"/>
      <c r="CY92" s="479"/>
      <c r="CZ92" s="479"/>
      <c r="DA92" s="479"/>
      <c r="DB92" s="479"/>
      <c r="DC92" s="479"/>
      <c r="DD92" s="479"/>
      <c r="DE92" s="479"/>
      <c r="DF92" s="479"/>
      <c r="DG92" s="479"/>
      <c r="DH92" s="479"/>
      <c r="DI92" s="479"/>
      <c r="DJ92" s="479"/>
      <c r="DK92" s="479"/>
      <c r="DL92" s="479"/>
      <c r="DM92" s="479"/>
      <c r="DN92" s="479"/>
      <c r="DO92" s="479"/>
      <c r="DP92" s="479"/>
      <c r="DQ92" s="479"/>
      <c r="DR92" s="479"/>
      <c r="DS92" s="479"/>
      <c r="DT92" s="480"/>
      <c r="DU92" s="475" t="s">
        <v>215</v>
      </c>
      <c r="DV92" s="476"/>
      <c r="DW92" s="476"/>
      <c r="DX92" s="476"/>
      <c r="DY92" s="476"/>
      <c r="DZ92" s="476"/>
      <c r="EA92" s="477"/>
      <c r="EB92" s="475" t="s">
        <v>216</v>
      </c>
      <c r="EC92" s="476"/>
      <c r="ED92" s="476"/>
      <c r="EE92" s="476"/>
      <c r="EF92" s="476"/>
      <c r="EG92" s="476"/>
      <c r="EH92" s="476"/>
      <c r="EI92" s="476"/>
      <c r="EJ92" s="476"/>
      <c r="EK92" s="476"/>
      <c r="EL92" s="476"/>
      <c r="EM92" s="476"/>
      <c r="EN92" s="476"/>
      <c r="EO92" s="476"/>
      <c r="EP92" s="477"/>
      <c r="EQ92" s="475" t="s">
        <v>217</v>
      </c>
      <c r="ER92" s="476"/>
      <c r="ES92" s="476"/>
      <c r="ET92" s="476"/>
      <c r="EU92" s="476"/>
      <c r="EV92" s="476"/>
      <c r="EW92" s="476"/>
      <c r="EX92" s="476"/>
      <c r="EY92" s="476"/>
      <c r="EZ92" s="476"/>
      <c r="FA92" s="476"/>
      <c r="FB92" s="476"/>
      <c r="FC92" s="476"/>
      <c r="FD92" s="476"/>
      <c r="FE92" s="474"/>
      <c r="FF92" s="311"/>
      <c r="FG92" s="311"/>
      <c r="FH92" s="311"/>
      <c r="FI92" s="311"/>
      <c r="FJ92" s="311"/>
      <c r="FK92" s="311"/>
      <c r="FL92" s="311"/>
      <c r="FM92" s="311"/>
      <c r="FN92" s="311"/>
      <c r="FO92" s="311"/>
      <c r="FP92" s="311"/>
      <c r="FQ92" s="311"/>
      <c r="FR92" s="311"/>
      <c r="FS92" s="312"/>
      <c r="FT92" s="474"/>
      <c r="FU92" s="311"/>
      <c r="FV92" s="311"/>
      <c r="FW92" s="311"/>
      <c r="FX92" s="311"/>
      <c r="FY92" s="311"/>
      <c r="FZ92" s="311"/>
      <c r="GA92" s="311"/>
      <c r="GB92" s="311"/>
      <c r="GC92" s="311"/>
      <c r="GD92" s="311"/>
      <c r="GE92" s="311"/>
      <c r="GF92" s="311"/>
      <c r="GG92" s="311"/>
      <c r="GH92" s="482"/>
      <c r="GI92" s="42"/>
    </row>
    <row r="93" spans="1:191" ht="7.95" customHeight="1" thickBot="1" x14ac:dyDescent="0.35">
      <c r="A93" s="413">
        <v>10</v>
      </c>
      <c r="B93" s="416"/>
      <c r="C93" s="416"/>
      <c r="D93" s="416"/>
      <c r="E93" s="416"/>
      <c r="F93" s="416"/>
      <c r="G93" s="416"/>
      <c r="H93" s="416"/>
      <c r="I93" s="416"/>
      <c r="J93" s="501"/>
      <c r="K93" s="483">
        <v>11</v>
      </c>
      <c r="L93" s="416"/>
      <c r="M93" s="416"/>
      <c r="N93" s="416"/>
      <c r="O93" s="416"/>
      <c r="P93" s="416"/>
      <c r="Q93" s="416"/>
      <c r="R93" s="416"/>
      <c r="S93" s="416"/>
      <c r="T93" s="416"/>
      <c r="U93" s="416"/>
      <c r="V93" s="416"/>
      <c r="W93" s="416"/>
      <c r="X93" s="416"/>
      <c r="Y93" s="416"/>
      <c r="Z93" s="416"/>
      <c r="AA93" s="416"/>
      <c r="AB93" s="416"/>
      <c r="AC93" s="416"/>
      <c r="AD93" s="416"/>
      <c r="AE93" s="416"/>
      <c r="AF93" s="416"/>
      <c r="AG93" s="416"/>
      <c r="AH93" s="416"/>
      <c r="AI93" s="416"/>
      <c r="AJ93" s="501"/>
      <c r="AK93" s="483">
        <v>12</v>
      </c>
      <c r="AL93" s="416"/>
      <c r="AM93" s="416"/>
      <c r="AN93" s="416"/>
      <c r="AO93" s="416"/>
      <c r="AP93" s="416"/>
      <c r="AQ93" s="416"/>
      <c r="AR93" s="416"/>
      <c r="AS93" s="416"/>
      <c r="AT93" s="416"/>
      <c r="AU93" s="416"/>
      <c r="AV93" s="416"/>
      <c r="AW93" s="416"/>
      <c r="AX93" s="416"/>
      <c r="AY93" s="416"/>
      <c r="AZ93" s="416"/>
      <c r="BA93" s="416"/>
      <c r="BB93" s="416"/>
      <c r="BC93" s="416"/>
      <c r="BD93" s="416"/>
      <c r="BE93" s="416"/>
      <c r="BF93" s="416"/>
      <c r="BG93" s="416"/>
      <c r="BH93" s="416"/>
      <c r="BI93" s="416"/>
      <c r="BJ93" s="501"/>
      <c r="BK93" s="483">
        <v>6</v>
      </c>
      <c r="BL93" s="416"/>
      <c r="BM93" s="416"/>
      <c r="BN93" s="416"/>
      <c r="BO93" s="416"/>
      <c r="BP93" s="416"/>
      <c r="BQ93" s="416"/>
      <c r="BR93" s="416"/>
      <c r="BS93" s="416"/>
      <c r="BT93" s="416"/>
      <c r="BU93" s="416"/>
      <c r="BV93" s="416"/>
      <c r="BW93" s="416"/>
      <c r="BX93" s="416"/>
      <c r="BY93" s="416"/>
      <c r="BZ93" s="416"/>
      <c r="CA93" s="416"/>
      <c r="CB93" s="416"/>
      <c r="CC93" s="416"/>
      <c r="CD93" s="416"/>
      <c r="CE93" s="416"/>
      <c r="CF93" s="416"/>
      <c r="CG93" s="416"/>
      <c r="CH93" s="416"/>
      <c r="CI93" s="416"/>
      <c r="CJ93" s="416"/>
      <c r="CK93" s="416"/>
      <c r="CL93" s="501"/>
      <c r="CM93" s="483">
        <v>14</v>
      </c>
      <c r="CN93" s="416"/>
      <c r="CO93" s="416"/>
      <c r="CP93" s="416"/>
      <c r="CQ93" s="416"/>
      <c r="CR93" s="416"/>
      <c r="CS93" s="416"/>
      <c r="CT93" s="416"/>
      <c r="CU93" s="416"/>
      <c r="CV93" s="416"/>
      <c r="CW93" s="416"/>
      <c r="CX93" s="416"/>
      <c r="CY93" s="416"/>
      <c r="CZ93" s="416"/>
      <c r="DA93" s="416"/>
      <c r="DB93" s="416"/>
      <c r="DC93" s="416"/>
      <c r="DD93" s="416"/>
      <c r="DE93" s="416"/>
      <c r="DF93" s="416"/>
      <c r="DG93" s="416"/>
      <c r="DH93" s="416"/>
      <c r="DI93" s="416"/>
      <c r="DJ93" s="416"/>
      <c r="DK93" s="416"/>
      <c r="DL93" s="416"/>
      <c r="DM93" s="416"/>
      <c r="DN93" s="416"/>
      <c r="DO93" s="416"/>
      <c r="DP93" s="416"/>
      <c r="DQ93" s="416"/>
      <c r="DR93" s="416"/>
      <c r="DS93" s="416"/>
      <c r="DT93" s="501"/>
      <c r="DU93" s="483">
        <v>15</v>
      </c>
      <c r="DV93" s="416"/>
      <c r="DW93" s="416"/>
      <c r="DX93" s="416"/>
      <c r="DY93" s="416"/>
      <c r="DZ93" s="416"/>
      <c r="EA93" s="501"/>
      <c r="EB93" s="483">
        <v>16</v>
      </c>
      <c r="EC93" s="416"/>
      <c r="ED93" s="416"/>
      <c r="EE93" s="416"/>
      <c r="EF93" s="416"/>
      <c r="EG93" s="416"/>
      <c r="EH93" s="416"/>
      <c r="EI93" s="416"/>
      <c r="EJ93" s="416"/>
      <c r="EK93" s="416"/>
      <c r="EL93" s="416"/>
      <c r="EM93" s="416"/>
      <c r="EN93" s="416"/>
      <c r="EO93" s="416"/>
      <c r="EP93" s="501"/>
      <c r="EQ93" s="483">
        <v>17</v>
      </c>
      <c r="ER93" s="416"/>
      <c r="ES93" s="416"/>
      <c r="ET93" s="416"/>
      <c r="EU93" s="416"/>
      <c r="EV93" s="416"/>
      <c r="EW93" s="416"/>
      <c r="EX93" s="416"/>
      <c r="EY93" s="416"/>
      <c r="EZ93" s="416"/>
      <c r="FA93" s="416"/>
      <c r="FB93" s="416"/>
      <c r="FC93" s="416"/>
      <c r="FD93" s="501"/>
      <c r="FE93" s="483">
        <v>18</v>
      </c>
      <c r="FF93" s="416"/>
      <c r="FG93" s="416"/>
      <c r="FH93" s="416"/>
      <c r="FI93" s="416"/>
      <c r="FJ93" s="416"/>
      <c r="FK93" s="416"/>
      <c r="FL93" s="416"/>
      <c r="FM93" s="416"/>
      <c r="FN93" s="416"/>
      <c r="FO93" s="416"/>
      <c r="FP93" s="416"/>
      <c r="FQ93" s="416"/>
      <c r="FR93" s="416"/>
      <c r="FS93" s="501"/>
      <c r="FT93" s="483">
        <v>19</v>
      </c>
      <c r="FU93" s="416"/>
      <c r="FV93" s="416"/>
      <c r="FW93" s="416"/>
      <c r="FX93" s="416"/>
      <c r="FY93" s="416"/>
      <c r="FZ93" s="416"/>
      <c r="GA93" s="416"/>
      <c r="GB93" s="416"/>
      <c r="GC93" s="416"/>
      <c r="GD93" s="416"/>
      <c r="GE93" s="416"/>
      <c r="GF93" s="416"/>
      <c r="GG93" s="416"/>
      <c r="GH93" s="417"/>
      <c r="GI93" s="42"/>
    </row>
    <row r="94" spans="1:191" ht="13.2" customHeight="1" thickTop="1" x14ac:dyDescent="0.3">
      <c r="A94" s="484" t="s">
        <v>218</v>
      </c>
      <c r="B94" s="485"/>
      <c r="C94" s="485"/>
      <c r="D94" s="485"/>
      <c r="E94" s="485"/>
      <c r="F94" s="485"/>
      <c r="G94" s="485"/>
      <c r="H94" s="485"/>
      <c r="I94" s="485"/>
      <c r="J94" s="486"/>
      <c r="K94" s="487"/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9"/>
      <c r="AK94" s="487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8"/>
      <c r="AY94" s="488"/>
      <c r="AZ94" s="488"/>
      <c r="BA94" s="488"/>
      <c r="BB94" s="488"/>
      <c r="BC94" s="488"/>
      <c r="BD94" s="488"/>
      <c r="BE94" s="488"/>
      <c r="BF94" s="488"/>
      <c r="BG94" s="488"/>
      <c r="BH94" s="488"/>
      <c r="BI94" s="488"/>
      <c r="BJ94" s="489"/>
      <c r="BK94" s="487"/>
      <c r="BL94" s="488"/>
      <c r="BM94" s="488"/>
      <c r="BN94" s="488"/>
      <c r="BO94" s="488"/>
      <c r="BP94" s="488"/>
      <c r="BQ94" s="488"/>
      <c r="BR94" s="488"/>
      <c r="BS94" s="488"/>
      <c r="BT94" s="488"/>
      <c r="BU94" s="488"/>
      <c r="BV94" s="488"/>
      <c r="BW94" s="488"/>
      <c r="BX94" s="488"/>
      <c r="BY94" s="488"/>
      <c r="BZ94" s="488"/>
      <c r="CA94" s="488"/>
      <c r="CB94" s="488"/>
      <c r="CC94" s="488"/>
      <c r="CD94" s="488"/>
      <c r="CE94" s="488"/>
      <c r="CF94" s="488"/>
      <c r="CG94" s="488"/>
      <c r="CH94" s="488"/>
      <c r="CI94" s="488"/>
      <c r="CJ94" s="488"/>
      <c r="CK94" s="488"/>
      <c r="CL94" s="489"/>
      <c r="CM94" s="487"/>
      <c r="CN94" s="488"/>
      <c r="CO94" s="488"/>
      <c r="CP94" s="488"/>
      <c r="CQ94" s="488"/>
      <c r="CR94" s="488"/>
      <c r="CS94" s="488"/>
      <c r="CT94" s="488"/>
      <c r="CU94" s="488"/>
      <c r="CV94" s="488"/>
      <c r="CW94" s="488"/>
      <c r="CX94" s="488"/>
      <c r="CY94" s="488"/>
      <c r="CZ94" s="488"/>
      <c r="DA94" s="488"/>
      <c r="DB94" s="488"/>
      <c r="DC94" s="488"/>
      <c r="DD94" s="488"/>
      <c r="DE94" s="488"/>
      <c r="DF94" s="488"/>
      <c r="DG94" s="488"/>
      <c r="DH94" s="488"/>
      <c r="DI94" s="488"/>
      <c r="DJ94" s="488"/>
      <c r="DK94" s="488"/>
      <c r="DL94" s="488"/>
      <c r="DM94" s="488"/>
      <c r="DN94" s="488"/>
      <c r="DO94" s="488"/>
      <c r="DP94" s="488"/>
      <c r="DQ94" s="488"/>
      <c r="DR94" s="488"/>
      <c r="DS94" s="488"/>
      <c r="DT94" s="490"/>
      <c r="DU94" s="491"/>
      <c r="DV94" s="492"/>
      <c r="DW94" s="492"/>
      <c r="DX94" s="492"/>
      <c r="DY94" s="492"/>
      <c r="DZ94" s="492"/>
      <c r="EA94" s="493"/>
      <c r="EB94" s="494"/>
      <c r="EC94" s="492"/>
      <c r="ED94" s="492"/>
      <c r="EE94" s="492"/>
      <c r="EF94" s="492"/>
      <c r="EG94" s="492"/>
      <c r="EH94" s="492"/>
      <c r="EI94" s="492"/>
      <c r="EJ94" s="492"/>
      <c r="EK94" s="492"/>
      <c r="EL94" s="492"/>
      <c r="EM94" s="492"/>
      <c r="EN94" s="492"/>
      <c r="EO94" s="492"/>
      <c r="EP94" s="493"/>
      <c r="EQ94" s="494"/>
      <c r="ER94" s="492"/>
      <c r="ES94" s="492"/>
      <c r="ET94" s="492"/>
      <c r="EU94" s="492"/>
      <c r="EV94" s="492"/>
      <c r="EW94" s="492"/>
      <c r="EX94" s="492"/>
      <c r="EY94" s="492"/>
      <c r="EZ94" s="492"/>
      <c r="FA94" s="492"/>
      <c r="FB94" s="492"/>
      <c r="FC94" s="492"/>
      <c r="FD94" s="493"/>
      <c r="FE94" s="495"/>
      <c r="FF94" s="496"/>
      <c r="FG94" s="496"/>
      <c r="FH94" s="496"/>
      <c r="FI94" s="496"/>
      <c r="FJ94" s="496"/>
      <c r="FK94" s="496"/>
      <c r="FL94" s="496"/>
      <c r="FM94" s="496"/>
      <c r="FN94" s="496"/>
      <c r="FO94" s="496"/>
      <c r="FP94" s="496"/>
      <c r="FQ94" s="496"/>
      <c r="FR94" s="496"/>
      <c r="FS94" s="497"/>
      <c r="FT94" s="498"/>
      <c r="FU94" s="499"/>
      <c r="FV94" s="499"/>
      <c r="FW94" s="499"/>
      <c r="FX94" s="499"/>
      <c r="FY94" s="499"/>
      <c r="FZ94" s="499"/>
      <c r="GA94" s="499"/>
      <c r="GB94" s="499"/>
      <c r="GC94" s="499"/>
      <c r="GD94" s="499"/>
      <c r="GE94" s="499"/>
      <c r="GF94" s="499"/>
      <c r="GG94" s="499"/>
      <c r="GH94" s="500"/>
      <c r="GI94" s="42"/>
    </row>
    <row r="95" spans="1:191" ht="13.2" customHeight="1" thickBot="1" x14ac:dyDescent="0.35">
      <c r="A95" s="502" t="s">
        <v>219</v>
      </c>
      <c r="B95" s="503"/>
      <c r="C95" s="503"/>
      <c r="D95" s="503"/>
      <c r="E95" s="503"/>
      <c r="F95" s="503"/>
      <c r="G95" s="503"/>
      <c r="H95" s="503"/>
      <c r="I95" s="503"/>
      <c r="J95" s="504"/>
      <c r="K95" s="505"/>
      <c r="L95" s="506"/>
      <c r="M95" s="506"/>
      <c r="N95" s="506"/>
      <c r="O95" s="506"/>
      <c r="P95" s="506"/>
      <c r="Q95" s="506"/>
      <c r="R95" s="506"/>
      <c r="S95" s="506"/>
      <c r="T95" s="506"/>
      <c r="U95" s="506"/>
      <c r="V95" s="506"/>
      <c r="W95" s="506"/>
      <c r="X95" s="506"/>
      <c r="Y95" s="506"/>
      <c r="Z95" s="506"/>
      <c r="AA95" s="506"/>
      <c r="AB95" s="506"/>
      <c r="AC95" s="506"/>
      <c r="AD95" s="506"/>
      <c r="AE95" s="506"/>
      <c r="AF95" s="506"/>
      <c r="AG95" s="506"/>
      <c r="AH95" s="506"/>
      <c r="AI95" s="506"/>
      <c r="AJ95" s="507"/>
      <c r="AK95" s="508"/>
      <c r="AL95" s="509"/>
      <c r="AM95" s="509"/>
      <c r="AN95" s="509"/>
      <c r="AO95" s="509"/>
      <c r="AP95" s="509"/>
      <c r="AQ95" s="509"/>
      <c r="AR95" s="509"/>
      <c r="AS95" s="509"/>
      <c r="AT95" s="509"/>
      <c r="AU95" s="509"/>
      <c r="AV95" s="509"/>
      <c r="AW95" s="509"/>
      <c r="AX95" s="509"/>
      <c r="AY95" s="509"/>
      <c r="AZ95" s="509"/>
      <c r="BA95" s="509"/>
      <c r="BB95" s="509"/>
      <c r="BC95" s="509"/>
      <c r="BD95" s="509"/>
      <c r="BE95" s="509"/>
      <c r="BF95" s="509"/>
      <c r="BG95" s="509"/>
      <c r="BH95" s="509"/>
      <c r="BI95" s="509"/>
      <c r="BJ95" s="510"/>
      <c r="BK95" s="508"/>
      <c r="BL95" s="509"/>
      <c r="BM95" s="509"/>
      <c r="BN95" s="509"/>
      <c r="BO95" s="509"/>
      <c r="BP95" s="509"/>
      <c r="BQ95" s="509"/>
      <c r="BR95" s="509"/>
      <c r="BS95" s="509"/>
      <c r="BT95" s="509"/>
      <c r="BU95" s="509"/>
      <c r="BV95" s="509"/>
      <c r="BW95" s="509"/>
      <c r="BX95" s="509"/>
      <c r="BY95" s="509"/>
      <c r="BZ95" s="509"/>
      <c r="CA95" s="509"/>
      <c r="CB95" s="509"/>
      <c r="CC95" s="509"/>
      <c r="CD95" s="509"/>
      <c r="CE95" s="509"/>
      <c r="CF95" s="509"/>
      <c r="CG95" s="509"/>
      <c r="CH95" s="509"/>
      <c r="CI95" s="509"/>
      <c r="CJ95" s="509"/>
      <c r="CK95" s="509"/>
      <c r="CL95" s="510"/>
      <c r="CM95" s="508"/>
      <c r="CN95" s="509"/>
      <c r="CO95" s="509"/>
      <c r="CP95" s="509"/>
      <c r="CQ95" s="509"/>
      <c r="CR95" s="509"/>
      <c r="CS95" s="509"/>
      <c r="CT95" s="509"/>
      <c r="CU95" s="509"/>
      <c r="CV95" s="509"/>
      <c r="CW95" s="509"/>
      <c r="CX95" s="509"/>
      <c r="CY95" s="509"/>
      <c r="CZ95" s="509"/>
      <c r="DA95" s="509"/>
      <c r="DB95" s="509"/>
      <c r="DC95" s="509"/>
      <c r="DD95" s="509"/>
      <c r="DE95" s="509"/>
      <c r="DF95" s="509"/>
      <c r="DG95" s="509"/>
      <c r="DH95" s="509"/>
      <c r="DI95" s="509"/>
      <c r="DJ95" s="509"/>
      <c r="DK95" s="509"/>
      <c r="DL95" s="509"/>
      <c r="DM95" s="509"/>
      <c r="DN95" s="509"/>
      <c r="DO95" s="509"/>
      <c r="DP95" s="509"/>
      <c r="DQ95" s="509"/>
      <c r="DR95" s="509"/>
      <c r="DS95" s="509"/>
      <c r="DT95" s="511"/>
      <c r="DU95" s="512"/>
      <c r="DV95" s="513"/>
      <c r="DW95" s="513"/>
      <c r="DX95" s="513"/>
      <c r="DY95" s="513"/>
      <c r="DZ95" s="513"/>
      <c r="EA95" s="514"/>
      <c r="EB95" s="515"/>
      <c r="EC95" s="513"/>
      <c r="ED95" s="513"/>
      <c r="EE95" s="513"/>
      <c r="EF95" s="513"/>
      <c r="EG95" s="513"/>
      <c r="EH95" s="513"/>
      <c r="EI95" s="513"/>
      <c r="EJ95" s="513"/>
      <c r="EK95" s="513"/>
      <c r="EL95" s="513"/>
      <c r="EM95" s="513"/>
      <c r="EN95" s="513"/>
      <c r="EO95" s="513"/>
      <c r="EP95" s="514"/>
      <c r="EQ95" s="515"/>
      <c r="ER95" s="513"/>
      <c r="ES95" s="513"/>
      <c r="ET95" s="513"/>
      <c r="EU95" s="513"/>
      <c r="EV95" s="513"/>
      <c r="EW95" s="513"/>
      <c r="EX95" s="513"/>
      <c r="EY95" s="513"/>
      <c r="EZ95" s="513"/>
      <c r="FA95" s="513"/>
      <c r="FB95" s="513"/>
      <c r="FC95" s="513"/>
      <c r="FD95" s="514"/>
      <c r="FE95" s="516"/>
      <c r="FF95" s="517"/>
      <c r="FG95" s="517"/>
      <c r="FH95" s="517"/>
      <c r="FI95" s="517"/>
      <c r="FJ95" s="517"/>
      <c r="FK95" s="517"/>
      <c r="FL95" s="517"/>
      <c r="FM95" s="517"/>
      <c r="FN95" s="517"/>
      <c r="FO95" s="517"/>
      <c r="FP95" s="517"/>
      <c r="FQ95" s="517"/>
      <c r="FR95" s="517"/>
      <c r="FS95" s="518"/>
      <c r="FT95" s="519"/>
      <c r="FU95" s="520"/>
      <c r="FV95" s="520"/>
      <c r="FW95" s="520"/>
      <c r="FX95" s="520"/>
      <c r="FY95" s="520"/>
      <c r="FZ95" s="520"/>
      <c r="GA95" s="520"/>
      <c r="GB95" s="520"/>
      <c r="GC95" s="520"/>
      <c r="GD95" s="520"/>
      <c r="GE95" s="520"/>
      <c r="GF95" s="520"/>
      <c r="GG95" s="520"/>
      <c r="GH95" s="521"/>
      <c r="GI95" s="42"/>
    </row>
    <row r="96" spans="1:191" ht="5.4" customHeight="1" thickTop="1" thickBot="1" x14ac:dyDescent="0.35">
      <c r="A96" s="78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  <c r="CY96" s="78"/>
      <c r="CZ96" s="78"/>
      <c r="DA96" s="78"/>
      <c r="DB96" s="78"/>
      <c r="DC96" s="78"/>
      <c r="DD96" s="78"/>
      <c r="DE96" s="78"/>
      <c r="DF96" s="78"/>
      <c r="DG96" s="78"/>
      <c r="DH96" s="78"/>
      <c r="DI96" s="78"/>
      <c r="DJ96" s="78"/>
      <c r="DK96" s="78"/>
      <c r="DL96" s="78"/>
      <c r="DM96" s="78"/>
      <c r="DN96" s="78"/>
      <c r="DO96" s="78"/>
      <c r="DP96" s="78"/>
      <c r="DQ96" s="78"/>
      <c r="DR96" s="78"/>
      <c r="DS96" s="78"/>
      <c r="DT96" s="78"/>
      <c r="DU96" s="78"/>
      <c r="DV96" s="78"/>
      <c r="DW96" s="78"/>
      <c r="DX96" s="78"/>
      <c r="DY96" s="78"/>
      <c r="DZ96" s="78"/>
      <c r="EA96" s="78"/>
      <c r="EB96" s="78"/>
      <c r="EC96" s="78"/>
      <c r="ED96" s="78"/>
      <c r="EE96" s="78"/>
      <c r="EF96" s="78"/>
      <c r="EG96" s="78"/>
      <c r="EH96" s="78"/>
      <c r="EI96" s="78"/>
      <c r="EJ96" s="78"/>
      <c r="EK96" s="78"/>
      <c r="EL96" s="78"/>
      <c r="EM96" s="78"/>
      <c r="EN96" s="78"/>
      <c r="EO96" s="78"/>
      <c r="EP96" s="78"/>
      <c r="EQ96" s="78"/>
      <c r="ER96" s="78"/>
      <c r="ES96" s="78"/>
      <c r="ET96" s="78"/>
      <c r="EU96" s="78"/>
      <c r="EV96" s="78"/>
      <c r="EW96" s="78"/>
      <c r="EX96" s="78"/>
      <c r="EY96" s="78"/>
      <c r="EZ96" s="78"/>
      <c r="FA96" s="78"/>
      <c r="FB96" s="78"/>
      <c r="FC96" s="78"/>
      <c r="FD96" s="78"/>
      <c r="FE96" s="78"/>
      <c r="FF96" s="78"/>
      <c r="FG96" s="78"/>
      <c r="FH96" s="78"/>
      <c r="FI96" s="78"/>
      <c r="FJ96" s="78"/>
      <c r="FK96" s="78"/>
      <c r="FL96" s="78"/>
      <c r="FM96" s="78"/>
      <c r="FN96" s="78"/>
      <c r="FO96" s="78"/>
      <c r="FP96" s="78"/>
      <c r="FQ96" s="78"/>
      <c r="FR96" s="78"/>
      <c r="FS96" s="78"/>
      <c r="FT96" s="78"/>
      <c r="FU96" s="78"/>
      <c r="FV96" s="78"/>
      <c r="FW96" s="78"/>
      <c r="FX96" s="78"/>
      <c r="FY96" s="78"/>
      <c r="FZ96" s="78"/>
      <c r="GA96" s="78"/>
      <c r="GB96" s="78"/>
      <c r="GC96" s="78"/>
      <c r="GD96" s="78"/>
      <c r="GE96" s="78"/>
      <c r="GF96" s="78"/>
      <c r="GG96" s="78"/>
      <c r="GH96" s="78"/>
      <c r="GI96" s="42"/>
    </row>
    <row r="97" spans="1:193" ht="15" thickTop="1" x14ac:dyDescent="0.3">
      <c r="A97" s="522" t="s">
        <v>220</v>
      </c>
      <c r="B97" s="523"/>
      <c r="C97" s="523"/>
      <c r="D97" s="523"/>
      <c r="E97" s="523"/>
      <c r="F97" s="523"/>
      <c r="G97" s="523"/>
      <c r="H97" s="523"/>
      <c r="I97" s="523"/>
      <c r="J97" s="523"/>
      <c r="K97" s="523"/>
      <c r="L97" s="523"/>
      <c r="M97" s="523"/>
      <c r="N97" s="523"/>
      <c r="O97" s="523"/>
      <c r="P97" s="523"/>
      <c r="Q97" s="523"/>
      <c r="R97" s="523"/>
      <c r="S97" s="523"/>
      <c r="T97" s="523"/>
      <c r="U97" s="523"/>
      <c r="V97" s="523"/>
      <c r="W97" s="523"/>
      <c r="X97" s="523"/>
      <c r="Y97" s="523"/>
      <c r="Z97" s="523"/>
      <c r="AA97" s="523"/>
      <c r="AB97" s="523"/>
      <c r="AC97" s="523"/>
      <c r="AD97" s="523"/>
      <c r="AE97" s="523"/>
      <c r="AF97" s="523"/>
      <c r="AG97" s="523"/>
      <c r="AH97" s="523"/>
      <c r="AI97" s="523"/>
      <c r="AJ97" s="523"/>
      <c r="AK97" s="523"/>
      <c r="AL97" s="523"/>
      <c r="AM97" s="523"/>
      <c r="AN97" s="523"/>
      <c r="AO97" s="523"/>
      <c r="AP97" s="523"/>
      <c r="AQ97" s="523"/>
      <c r="AR97" s="523"/>
      <c r="AS97" s="523"/>
      <c r="AT97" s="523"/>
      <c r="AU97" s="523"/>
      <c r="AV97" s="523"/>
      <c r="AW97" s="523"/>
      <c r="AX97" s="523"/>
      <c r="AY97" s="523"/>
      <c r="AZ97" s="523"/>
      <c r="BA97" s="523"/>
      <c r="BB97" s="523"/>
      <c r="BC97" s="523"/>
      <c r="BD97" s="523"/>
      <c r="BE97" s="523"/>
      <c r="BF97" s="523"/>
      <c r="BG97" s="523"/>
      <c r="BH97" s="523"/>
      <c r="BI97" s="523"/>
      <c r="BJ97" s="523"/>
      <c r="BK97" s="523"/>
      <c r="BL97" s="523"/>
      <c r="BM97" s="523"/>
      <c r="BN97" s="523"/>
      <c r="BO97" s="523"/>
      <c r="BP97" s="523"/>
      <c r="BQ97" s="523"/>
      <c r="BR97" s="523"/>
      <c r="BS97" s="523"/>
      <c r="BT97" s="523"/>
      <c r="BU97" s="523"/>
      <c r="BV97" s="523"/>
      <c r="BW97" s="523"/>
      <c r="BX97" s="523"/>
      <c r="BY97" s="523"/>
      <c r="BZ97" s="523"/>
      <c r="CA97" s="523"/>
      <c r="CB97" s="523"/>
      <c r="CC97" s="523"/>
      <c r="CD97" s="523"/>
      <c r="CE97" s="523"/>
      <c r="CF97" s="523"/>
      <c r="CG97" s="523"/>
      <c r="CH97" s="523"/>
      <c r="CI97" s="523"/>
      <c r="CJ97" s="523"/>
      <c r="CK97" s="523"/>
      <c r="CL97" s="523"/>
      <c r="CM97" s="523"/>
      <c r="CN97" s="523"/>
      <c r="CO97" s="523"/>
      <c r="CP97" s="523"/>
      <c r="CQ97" s="523"/>
      <c r="CR97" s="523"/>
      <c r="CS97" s="523"/>
      <c r="CT97" s="523"/>
      <c r="CU97" s="523"/>
      <c r="CV97" s="523"/>
      <c r="CW97" s="523"/>
      <c r="CX97" s="523"/>
      <c r="CY97" s="523"/>
      <c r="CZ97" s="523"/>
      <c r="DA97" s="523"/>
      <c r="DB97" s="523"/>
      <c r="DC97" s="523"/>
      <c r="DD97" s="523"/>
      <c r="DE97" s="523"/>
      <c r="DF97" s="523"/>
      <c r="DG97" s="523"/>
      <c r="DH97" s="523"/>
      <c r="DI97" s="523"/>
      <c r="DJ97" s="523"/>
      <c r="DK97" s="523"/>
      <c r="DL97" s="523"/>
      <c r="DM97" s="523"/>
      <c r="DN97" s="523"/>
      <c r="DO97" s="523"/>
      <c r="DP97" s="523"/>
      <c r="DQ97" s="523"/>
      <c r="DR97" s="523"/>
      <c r="DS97" s="523"/>
      <c r="DT97" s="523"/>
      <c r="DU97" s="523"/>
      <c r="DV97" s="523"/>
      <c r="DW97" s="523"/>
      <c r="DX97" s="523"/>
      <c r="DY97" s="523"/>
      <c r="DZ97" s="523"/>
      <c r="EA97" s="523"/>
      <c r="EB97" s="523"/>
      <c r="EC97" s="523"/>
      <c r="ED97" s="523"/>
      <c r="EE97" s="523"/>
      <c r="EF97" s="523"/>
      <c r="EG97" s="523"/>
      <c r="EH97" s="523"/>
      <c r="EI97" s="523"/>
      <c r="EJ97" s="523"/>
      <c r="EK97" s="523"/>
      <c r="EL97" s="523"/>
      <c r="EM97" s="523"/>
      <c r="EN97" s="523"/>
      <c r="EO97" s="524"/>
      <c r="EP97" s="78"/>
      <c r="EQ97" s="78"/>
      <c r="ER97" s="78"/>
      <c r="ES97" s="78"/>
      <c r="ET97" s="78"/>
      <c r="EU97" s="78"/>
      <c r="EV97" s="78"/>
      <c r="EW97" s="78"/>
      <c r="EX97" s="78"/>
      <c r="EY97" s="78"/>
      <c r="EZ97" s="78"/>
      <c r="FA97" s="78"/>
      <c r="FB97" s="78"/>
      <c r="FC97" s="78"/>
      <c r="FD97" s="78"/>
      <c r="FE97" s="78"/>
      <c r="FF97" s="78"/>
      <c r="FG97" s="78"/>
      <c r="FH97" s="78"/>
      <c r="FI97" s="78"/>
      <c r="FJ97" s="78"/>
      <c r="FK97" s="78"/>
      <c r="FL97" s="78"/>
      <c r="FM97" s="78"/>
      <c r="FN97" s="78"/>
      <c r="FO97" s="78"/>
      <c r="FP97" s="78"/>
      <c r="FQ97" s="78"/>
      <c r="FR97" s="78"/>
      <c r="FS97" s="78"/>
      <c r="FT97" s="78"/>
      <c r="FU97" s="78"/>
      <c r="FV97" s="78"/>
      <c r="FW97" s="78"/>
      <c r="FX97" s="78"/>
      <c r="FY97" s="78"/>
      <c r="FZ97" s="78"/>
      <c r="GA97" s="78"/>
      <c r="GB97" s="78"/>
      <c r="GC97" s="78"/>
      <c r="GD97" s="78"/>
      <c r="GE97" s="78"/>
      <c r="GF97" s="78"/>
      <c r="GG97" s="78"/>
      <c r="GH97" s="78"/>
      <c r="GI97" s="42"/>
    </row>
    <row r="98" spans="1:193" ht="9.6" customHeight="1" x14ac:dyDescent="0.3">
      <c r="A98" s="525" t="s">
        <v>221</v>
      </c>
      <c r="B98" s="476"/>
      <c r="C98" s="476"/>
      <c r="D98" s="476"/>
      <c r="E98" s="476"/>
      <c r="F98" s="476"/>
      <c r="G98" s="476"/>
      <c r="H98" s="476"/>
      <c r="I98" s="476"/>
      <c r="J98" s="476"/>
      <c r="K98" s="476"/>
      <c r="L98" s="476"/>
      <c r="M98" s="476"/>
      <c r="N98" s="476"/>
      <c r="O98" s="476"/>
      <c r="P98" s="476"/>
      <c r="Q98" s="476"/>
      <c r="R98" s="476"/>
      <c r="S98" s="476"/>
      <c r="T98" s="476"/>
      <c r="U98" s="476"/>
      <c r="V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  <c r="AG98" s="476"/>
      <c r="AH98" s="476"/>
      <c r="AI98" s="476"/>
      <c r="AJ98" s="476"/>
      <c r="AK98" s="476"/>
      <c r="AL98" s="476"/>
      <c r="AM98" s="476"/>
      <c r="AN98" s="477"/>
      <c r="AO98" s="526" t="s">
        <v>215</v>
      </c>
      <c r="AP98" s="527"/>
      <c r="AQ98" s="527"/>
      <c r="AR98" s="527"/>
      <c r="AS98" s="527"/>
      <c r="AT98" s="527"/>
      <c r="AU98" s="527"/>
      <c r="AV98" s="527"/>
      <c r="AW98" s="528"/>
      <c r="AX98" s="475" t="s">
        <v>222</v>
      </c>
      <c r="AY98" s="476"/>
      <c r="AZ98" s="476"/>
      <c r="BA98" s="476"/>
      <c r="BB98" s="476"/>
      <c r="BC98" s="476"/>
      <c r="BD98" s="476"/>
      <c r="BE98" s="476"/>
      <c r="BF98" s="476"/>
      <c r="BG98" s="476"/>
      <c r="BH98" s="476"/>
      <c r="BI98" s="476"/>
      <c r="BJ98" s="476"/>
      <c r="BK98" s="476"/>
      <c r="BL98" s="476"/>
      <c r="BM98" s="476"/>
      <c r="BN98" s="476"/>
      <c r="BO98" s="476"/>
      <c r="BP98" s="476"/>
      <c r="BQ98" s="476"/>
      <c r="BR98" s="476"/>
      <c r="BS98" s="476"/>
      <c r="BT98" s="476"/>
      <c r="BU98" s="476"/>
      <c r="BV98" s="477"/>
      <c r="BW98" s="473" t="s">
        <v>223</v>
      </c>
      <c r="BX98" s="305"/>
      <c r="BY98" s="305"/>
      <c r="BZ98" s="305"/>
      <c r="CA98" s="305"/>
      <c r="CB98" s="305"/>
      <c r="CC98" s="305"/>
      <c r="CD98" s="305"/>
      <c r="CE98" s="305"/>
      <c r="CF98" s="305"/>
      <c r="CG98" s="305"/>
      <c r="CH98" s="305"/>
      <c r="CI98" s="305"/>
      <c r="CJ98" s="305"/>
      <c r="CK98" s="305"/>
      <c r="CL98" s="305"/>
      <c r="CM98" s="305"/>
      <c r="CN98" s="305"/>
      <c r="CO98" s="305"/>
      <c r="CP98" s="306"/>
      <c r="CQ98" s="475" t="s">
        <v>224</v>
      </c>
      <c r="CR98" s="476"/>
      <c r="CS98" s="476"/>
      <c r="CT98" s="476"/>
      <c r="CU98" s="476"/>
      <c r="CV98" s="476"/>
      <c r="CW98" s="476"/>
      <c r="CX98" s="476"/>
      <c r="CY98" s="476"/>
      <c r="CZ98" s="476"/>
      <c r="DA98" s="476"/>
      <c r="DB98" s="476"/>
      <c r="DC98" s="476"/>
      <c r="DD98" s="476"/>
      <c r="DE98" s="476"/>
      <c r="DF98" s="476"/>
      <c r="DG98" s="476"/>
      <c r="DH98" s="476"/>
      <c r="DI98" s="476"/>
      <c r="DJ98" s="476"/>
      <c r="DK98" s="476"/>
      <c r="DL98" s="476"/>
      <c r="DM98" s="476"/>
      <c r="DN98" s="476"/>
      <c r="DO98" s="476"/>
      <c r="DP98" s="476"/>
      <c r="DQ98" s="477"/>
      <c r="DR98" s="475" t="s">
        <v>225</v>
      </c>
      <c r="DS98" s="476"/>
      <c r="DT98" s="476"/>
      <c r="DU98" s="476"/>
      <c r="DV98" s="476"/>
      <c r="DW98" s="476"/>
      <c r="DX98" s="476"/>
      <c r="DY98" s="476"/>
      <c r="DZ98" s="476"/>
      <c r="EA98" s="476"/>
      <c r="EB98" s="476"/>
      <c r="EC98" s="476"/>
      <c r="ED98" s="476"/>
      <c r="EE98" s="476"/>
      <c r="EF98" s="476"/>
      <c r="EG98" s="476"/>
      <c r="EH98" s="476"/>
      <c r="EI98" s="476"/>
      <c r="EJ98" s="476"/>
      <c r="EK98" s="476"/>
      <c r="EL98" s="476"/>
      <c r="EM98" s="476"/>
      <c r="EN98" s="476"/>
      <c r="EO98" s="530"/>
      <c r="EP98" s="78"/>
      <c r="EQ98" s="78"/>
      <c r="ER98" s="78"/>
      <c r="ES98" s="78" t="s">
        <v>226</v>
      </c>
      <c r="ET98" s="78"/>
      <c r="EU98" s="78"/>
      <c r="EV98" s="78"/>
      <c r="EW98" s="78"/>
      <c r="EX98" s="78"/>
      <c r="EY98" s="78"/>
      <c r="EZ98" s="78"/>
      <c r="FA98" s="78"/>
      <c r="FB98" s="78"/>
      <c r="FC98" s="78"/>
      <c r="FD98" s="78"/>
      <c r="FE98" s="78"/>
      <c r="FF98" s="452"/>
      <c r="FG98" s="452"/>
      <c r="FH98" s="452"/>
      <c r="FI98" s="452"/>
      <c r="FJ98" s="452"/>
      <c r="FK98" s="452"/>
      <c r="FL98" s="452"/>
      <c r="FM98" s="452"/>
      <c r="FN98" s="452"/>
      <c r="FO98" s="452"/>
      <c r="FP98" s="452"/>
      <c r="FQ98" s="452"/>
      <c r="FR98" s="452"/>
      <c r="FS98" s="452"/>
      <c r="FT98" s="452"/>
      <c r="FU98" s="452"/>
      <c r="FV98" s="452"/>
      <c r="FW98" s="452"/>
      <c r="FX98" s="452"/>
      <c r="FY98" s="452"/>
      <c r="FZ98" s="452"/>
      <c r="GA98" s="452"/>
      <c r="GB98" s="452"/>
      <c r="GC98" s="452"/>
      <c r="GD98" s="452"/>
      <c r="GE98" s="452"/>
      <c r="GF98" s="452"/>
      <c r="GG98" s="452"/>
      <c r="GH98" s="452"/>
      <c r="GI98" s="42"/>
    </row>
    <row r="99" spans="1:193" ht="8.4" customHeight="1" x14ac:dyDescent="0.3">
      <c r="A99" s="531" t="s">
        <v>227</v>
      </c>
      <c r="B99" s="532"/>
      <c r="C99" s="532"/>
      <c r="D99" s="532"/>
      <c r="E99" s="532"/>
      <c r="F99" s="532"/>
      <c r="G99" s="532"/>
      <c r="H99" s="533"/>
      <c r="I99" s="540" t="s">
        <v>228</v>
      </c>
      <c r="J99" s="532"/>
      <c r="K99" s="532"/>
      <c r="L99" s="532"/>
      <c r="M99" s="532"/>
      <c r="N99" s="532"/>
      <c r="O99" s="532"/>
      <c r="P99" s="533"/>
      <c r="Q99" s="540" t="s">
        <v>229</v>
      </c>
      <c r="R99" s="532"/>
      <c r="S99" s="532"/>
      <c r="T99" s="532"/>
      <c r="U99" s="532"/>
      <c r="V99" s="532"/>
      <c r="W99" s="532"/>
      <c r="X99" s="533"/>
      <c r="Y99" s="540" t="s">
        <v>230</v>
      </c>
      <c r="Z99" s="532"/>
      <c r="AA99" s="532"/>
      <c r="AB99" s="532"/>
      <c r="AC99" s="532"/>
      <c r="AD99" s="532"/>
      <c r="AE99" s="532"/>
      <c r="AF99" s="533"/>
      <c r="AG99" s="540" t="s">
        <v>231</v>
      </c>
      <c r="AH99" s="532"/>
      <c r="AI99" s="532"/>
      <c r="AJ99" s="532"/>
      <c r="AK99" s="532"/>
      <c r="AL99" s="532"/>
      <c r="AM99" s="532"/>
      <c r="AN99" s="533"/>
      <c r="AO99" s="543" t="s">
        <v>232</v>
      </c>
      <c r="AP99" s="544"/>
      <c r="AQ99" s="544"/>
      <c r="AR99" s="544"/>
      <c r="AS99" s="544"/>
      <c r="AT99" s="544"/>
      <c r="AU99" s="544"/>
      <c r="AV99" s="544"/>
      <c r="AW99" s="545"/>
      <c r="AX99" s="540" t="s">
        <v>233</v>
      </c>
      <c r="AY99" s="532"/>
      <c r="AZ99" s="532"/>
      <c r="BA99" s="532"/>
      <c r="BB99" s="532"/>
      <c r="BC99" s="532"/>
      <c r="BD99" s="532"/>
      <c r="BE99" s="532"/>
      <c r="BF99" s="532"/>
      <c r="BG99" s="532"/>
      <c r="BH99" s="533"/>
      <c r="BI99" s="546" t="s">
        <v>234</v>
      </c>
      <c r="BJ99" s="547"/>
      <c r="BK99" s="547"/>
      <c r="BL99" s="547"/>
      <c r="BM99" s="547"/>
      <c r="BN99" s="547"/>
      <c r="BO99" s="547"/>
      <c r="BP99" s="547"/>
      <c r="BQ99" s="547"/>
      <c r="BR99" s="547"/>
      <c r="BS99" s="547"/>
      <c r="BT99" s="547"/>
      <c r="BU99" s="547"/>
      <c r="BV99" s="548"/>
      <c r="BW99" s="529"/>
      <c r="BX99" s="308"/>
      <c r="BY99" s="308"/>
      <c r="BZ99" s="308"/>
      <c r="CA99" s="308"/>
      <c r="CB99" s="308"/>
      <c r="CC99" s="308"/>
      <c r="CD99" s="308"/>
      <c r="CE99" s="308"/>
      <c r="CF99" s="308"/>
      <c r="CG99" s="308"/>
      <c r="CH99" s="308"/>
      <c r="CI99" s="308"/>
      <c r="CJ99" s="308"/>
      <c r="CK99" s="308"/>
      <c r="CL99" s="308"/>
      <c r="CM99" s="308"/>
      <c r="CN99" s="308"/>
      <c r="CO99" s="308"/>
      <c r="CP99" s="309"/>
      <c r="CQ99" s="546" t="s">
        <v>235</v>
      </c>
      <c r="CR99" s="547"/>
      <c r="CS99" s="547"/>
      <c r="CT99" s="547"/>
      <c r="CU99" s="547"/>
      <c r="CV99" s="547"/>
      <c r="CW99" s="547"/>
      <c r="CX99" s="547"/>
      <c r="CY99" s="547"/>
      <c r="CZ99" s="547"/>
      <c r="DA99" s="547"/>
      <c r="DB99" s="547"/>
      <c r="DC99" s="548"/>
      <c r="DD99" s="546" t="s">
        <v>236</v>
      </c>
      <c r="DE99" s="547"/>
      <c r="DF99" s="547"/>
      <c r="DG99" s="547"/>
      <c r="DH99" s="547"/>
      <c r="DI99" s="547"/>
      <c r="DJ99" s="547"/>
      <c r="DK99" s="547"/>
      <c r="DL99" s="547"/>
      <c r="DM99" s="547"/>
      <c r="DN99" s="547"/>
      <c r="DO99" s="547"/>
      <c r="DP99" s="547"/>
      <c r="DQ99" s="548"/>
      <c r="DR99" s="546" t="s">
        <v>237</v>
      </c>
      <c r="DS99" s="547"/>
      <c r="DT99" s="547"/>
      <c r="DU99" s="547"/>
      <c r="DV99" s="547"/>
      <c r="DW99" s="547"/>
      <c r="DX99" s="547"/>
      <c r="DY99" s="547"/>
      <c r="DZ99" s="547"/>
      <c r="EA99" s="547"/>
      <c r="EB99" s="547"/>
      <c r="EC99" s="547"/>
      <c r="ED99" s="547"/>
      <c r="EE99" s="548"/>
      <c r="EF99" s="546" t="s">
        <v>238</v>
      </c>
      <c r="EG99" s="547"/>
      <c r="EH99" s="547"/>
      <c r="EI99" s="547"/>
      <c r="EJ99" s="547"/>
      <c r="EK99" s="547"/>
      <c r="EL99" s="547"/>
      <c r="EM99" s="547"/>
      <c r="EN99" s="547"/>
      <c r="EO99" s="555"/>
      <c r="EP99" s="78"/>
      <c r="EQ99" s="78"/>
      <c r="ER99" s="367"/>
      <c r="ES99" s="367"/>
      <c r="ET99" s="367"/>
      <c r="EU99" s="367"/>
      <c r="EV99" s="367"/>
      <c r="EW99" s="367"/>
      <c r="EX99" s="367"/>
      <c r="EY99" s="367"/>
      <c r="EZ99" s="367"/>
      <c r="FA99" s="367"/>
      <c r="FB99" s="367"/>
      <c r="FC99" s="367"/>
      <c r="FD99" s="367"/>
      <c r="FE99" s="367"/>
      <c r="FF99" s="367"/>
      <c r="FG99" s="367"/>
      <c r="FH99" s="367"/>
      <c r="FI99" s="367"/>
      <c r="FJ99" s="367"/>
      <c r="FK99" s="367"/>
      <c r="FL99" s="367"/>
      <c r="FM99" s="367"/>
      <c r="FN99" s="367"/>
      <c r="FO99" s="367"/>
      <c r="FP99" s="367"/>
      <c r="FQ99" s="367"/>
      <c r="FR99" s="367"/>
      <c r="FS99" s="367"/>
      <c r="FT99" s="367"/>
      <c r="FU99" s="367"/>
      <c r="FV99" s="367"/>
      <c r="FW99" s="367"/>
      <c r="FX99" s="367"/>
      <c r="FY99" s="367"/>
      <c r="FZ99" s="367"/>
      <c r="GA99" s="367"/>
      <c r="GB99" s="367"/>
      <c r="GC99" s="367"/>
      <c r="GD99" s="367"/>
      <c r="GE99" s="367"/>
      <c r="GF99" s="367"/>
      <c r="GG99" s="367"/>
      <c r="GH99" s="367"/>
      <c r="GI99" s="42"/>
    </row>
    <row r="100" spans="1:193" ht="8.4" customHeight="1" x14ac:dyDescent="0.3">
      <c r="A100" s="534"/>
      <c r="B100" s="535"/>
      <c r="C100" s="535"/>
      <c r="D100" s="535"/>
      <c r="E100" s="535"/>
      <c r="F100" s="535"/>
      <c r="G100" s="535"/>
      <c r="H100" s="536"/>
      <c r="I100" s="541"/>
      <c r="J100" s="535"/>
      <c r="K100" s="535"/>
      <c r="L100" s="535"/>
      <c r="M100" s="535"/>
      <c r="N100" s="535"/>
      <c r="O100" s="535"/>
      <c r="P100" s="536"/>
      <c r="Q100" s="541"/>
      <c r="R100" s="535"/>
      <c r="S100" s="535"/>
      <c r="T100" s="535"/>
      <c r="U100" s="535"/>
      <c r="V100" s="535"/>
      <c r="W100" s="535"/>
      <c r="X100" s="536"/>
      <c r="Y100" s="541"/>
      <c r="Z100" s="535"/>
      <c r="AA100" s="535"/>
      <c r="AB100" s="535"/>
      <c r="AC100" s="535"/>
      <c r="AD100" s="535"/>
      <c r="AE100" s="535"/>
      <c r="AF100" s="536"/>
      <c r="AG100" s="541"/>
      <c r="AH100" s="535"/>
      <c r="AI100" s="535"/>
      <c r="AJ100" s="535"/>
      <c r="AK100" s="535"/>
      <c r="AL100" s="535"/>
      <c r="AM100" s="535"/>
      <c r="AN100" s="536"/>
      <c r="AO100" s="543" t="s">
        <v>239</v>
      </c>
      <c r="AP100" s="544"/>
      <c r="AQ100" s="544"/>
      <c r="AR100" s="544"/>
      <c r="AS100" s="544"/>
      <c r="AT100" s="544"/>
      <c r="AU100" s="544"/>
      <c r="AV100" s="544"/>
      <c r="AW100" s="545"/>
      <c r="AX100" s="541"/>
      <c r="AY100" s="535"/>
      <c r="AZ100" s="535"/>
      <c r="BA100" s="535"/>
      <c r="BB100" s="535"/>
      <c r="BC100" s="535"/>
      <c r="BD100" s="535"/>
      <c r="BE100" s="535"/>
      <c r="BF100" s="535"/>
      <c r="BG100" s="535"/>
      <c r="BH100" s="536"/>
      <c r="BI100" s="549"/>
      <c r="BJ100" s="550"/>
      <c r="BK100" s="550"/>
      <c r="BL100" s="550"/>
      <c r="BM100" s="550"/>
      <c r="BN100" s="550"/>
      <c r="BO100" s="550"/>
      <c r="BP100" s="550"/>
      <c r="BQ100" s="550"/>
      <c r="BR100" s="550"/>
      <c r="BS100" s="550"/>
      <c r="BT100" s="550"/>
      <c r="BU100" s="550"/>
      <c r="BV100" s="551"/>
      <c r="BW100" s="529"/>
      <c r="BX100" s="308"/>
      <c r="BY100" s="308"/>
      <c r="BZ100" s="308"/>
      <c r="CA100" s="308"/>
      <c r="CB100" s="308"/>
      <c r="CC100" s="308"/>
      <c r="CD100" s="308"/>
      <c r="CE100" s="308"/>
      <c r="CF100" s="308"/>
      <c r="CG100" s="308"/>
      <c r="CH100" s="308"/>
      <c r="CI100" s="308"/>
      <c r="CJ100" s="308"/>
      <c r="CK100" s="308"/>
      <c r="CL100" s="308"/>
      <c r="CM100" s="308"/>
      <c r="CN100" s="308"/>
      <c r="CO100" s="308"/>
      <c r="CP100" s="309"/>
      <c r="CQ100" s="549"/>
      <c r="CR100" s="550"/>
      <c r="CS100" s="550"/>
      <c r="CT100" s="550"/>
      <c r="CU100" s="550"/>
      <c r="CV100" s="550"/>
      <c r="CW100" s="550"/>
      <c r="CX100" s="550"/>
      <c r="CY100" s="550"/>
      <c r="CZ100" s="550"/>
      <c r="DA100" s="550"/>
      <c r="DB100" s="550"/>
      <c r="DC100" s="551"/>
      <c r="DD100" s="549"/>
      <c r="DE100" s="550"/>
      <c r="DF100" s="550"/>
      <c r="DG100" s="550"/>
      <c r="DH100" s="550"/>
      <c r="DI100" s="550"/>
      <c r="DJ100" s="550"/>
      <c r="DK100" s="550"/>
      <c r="DL100" s="550"/>
      <c r="DM100" s="550"/>
      <c r="DN100" s="550"/>
      <c r="DO100" s="550"/>
      <c r="DP100" s="550"/>
      <c r="DQ100" s="551"/>
      <c r="DR100" s="549"/>
      <c r="DS100" s="550"/>
      <c r="DT100" s="550"/>
      <c r="DU100" s="550"/>
      <c r="DV100" s="550"/>
      <c r="DW100" s="550"/>
      <c r="DX100" s="550"/>
      <c r="DY100" s="550"/>
      <c r="DZ100" s="550"/>
      <c r="EA100" s="550"/>
      <c r="EB100" s="550"/>
      <c r="EC100" s="550"/>
      <c r="ED100" s="550"/>
      <c r="EE100" s="551"/>
      <c r="EF100" s="549"/>
      <c r="EG100" s="550"/>
      <c r="EH100" s="550"/>
      <c r="EI100" s="550"/>
      <c r="EJ100" s="550"/>
      <c r="EK100" s="550"/>
      <c r="EL100" s="550"/>
      <c r="EM100" s="550"/>
      <c r="EN100" s="550"/>
      <c r="EO100" s="556"/>
      <c r="EP100" s="78"/>
      <c r="EQ100" s="78"/>
      <c r="ER100" s="457"/>
      <c r="ES100" s="457"/>
      <c r="ET100" s="457"/>
      <c r="EU100" s="457"/>
      <c r="EV100" s="457"/>
      <c r="EW100" s="457"/>
      <c r="EX100" s="457"/>
      <c r="EY100" s="457"/>
      <c r="EZ100" s="457"/>
      <c r="FA100" s="457"/>
      <c r="FB100" s="457"/>
      <c r="FC100" s="457"/>
      <c r="FD100" s="457"/>
      <c r="FE100" s="457"/>
      <c r="FF100" s="457"/>
      <c r="FG100" s="457"/>
      <c r="FH100" s="457"/>
      <c r="FI100" s="457"/>
      <c r="FJ100" s="457"/>
      <c r="FK100" s="457"/>
      <c r="FL100" s="457"/>
      <c r="FM100" s="457"/>
      <c r="FN100" s="457"/>
      <c r="FO100" s="457"/>
      <c r="FP100" s="457"/>
      <c r="FQ100" s="457"/>
      <c r="FR100" s="457"/>
      <c r="FS100" s="457"/>
      <c r="FT100" s="457"/>
      <c r="FU100" s="457"/>
      <c r="FV100" s="457"/>
      <c r="FW100" s="457"/>
      <c r="FX100" s="457"/>
      <c r="FY100" s="457"/>
      <c r="FZ100" s="457"/>
      <c r="GA100" s="457"/>
      <c r="GB100" s="457"/>
      <c r="GC100" s="457"/>
      <c r="GD100" s="457"/>
      <c r="GE100" s="457"/>
      <c r="GF100" s="457"/>
      <c r="GG100" s="457"/>
      <c r="GH100" s="457"/>
      <c r="GI100" s="42"/>
    </row>
    <row r="101" spans="1:193" ht="8.4" customHeight="1" x14ac:dyDescent="0.3">
      <c r="A101" s="537"/>
      <c r="B101" s="538"/>
      <c r="C101" s="538"/>
      <c r="D101" s="538"/>
      <c r="E101" s="538"/>
      <c r="F101" s="538"/>
      <c r="G101" s="538"/>
      <c r="H101" s="539"/>
      <c r="I101" s="542"/>
      <c r="J101" s="538"/>
      <c r="K101" s="538"/>
      <c r="L101" s="538"/>
      <c r="M101" s="538"/>
      <c r="N101" s="538"/>
      <c r="O101" s="538"/>
      <c r="P101" s="539"/>
      <c r="Q101" s="542"/>
      <c r="R101" s="538"/>
      <c r="S101" s="538"/>
      <c r="T101" s="538"/>
      <c r="U101" s="538"/>
      <c r="V101" s="538"/>
      <c r="W101" s="538"/>
      <c r="X101" s="539"/>
      <c r="Y101" s="542"/>
      <c r="Z101" s="538"/>
      <c r="AA101" s="538"/>
      <c r="AB101" s="538"/>
      <c r="AC101" s="538"/>
      <c r="AD101" s="538"/>
      <c r="AE101" s="538"/>
      <c r="AF101" s="539"/>
      <c r="AG101" s="542"/>
      <c r="AH101" s="538"/>
      <c r="AI101" s="538"/>
      <c r="AJ101" s="538"/>
      <c r="AK101" s="538"/>
      <c r="AL101" s="538"/>
      <c r="AM101" s="538"/>
      <c r="AN101" s="539"/>
      <c r="AO101" s="558" t="s">
        <v>240</v>
      </c>
      <c r="AP101" s="559"/>
      <c r="AQ101" s="559"/>
      <c r="AR101" s="559"/>
      <c r="AS101" s="559"/>
      <c r="AT101" s="559"/>
      <c r="AU101" s="559"/>
      <c r="AV101" s="559"/>
      <c r="AW101" s="560"/>
      <c r="AX101" s="542"/>
      <c r="AY101" s="538"/>
      <c r="AZ101" s="538"/>
      <c r="BA101" s="538"/>
      <c r="BB101" s="538"/>
      <c r="BC101" s="538"/>
      <c r="BD101" s="538"/>
      <c r="BE101" s="538"/>
      <c r="BF101" s="538"/>
      <c r="BG101" s="538"/>
      <c r="BH101" s="539"/>
      <c r="BI101" s="552"/>
      <c r="BJ101" s="553"/>
      <c r="BK101" s="553"/>
      <c r="BL101" s="553"/>
      <c r="BM101" s="553"/>
      <c r="BN101" s="553"/>
      <c r="BO101" s="553"/>
      <c r="BP101" s="553"/>
      <c r="BQ101" s="553"/>
      <c r="BR101" s="553"/>
      <c r="BS101" s="553"/>
      <c r="BT101" s="553"/>
      <c r="BU101" s="553"/>
      <c r="BV101" s="554"/>
      <c r="BW101" s="474"/>
      <c r="BX101" s="311"/>
      <c r="BY101" s="311"/>
      <c r="BZ101" s="311"/>
      <c r="CA101" s="311"/>
      <c r="CB101" s="311"/>
      <c r="CC101" s="311"/>
      <c r="CD101" s="311"/>
      <c r="CE101" s="311"/>
      <c r="CF101" s="311"/>
      <c r="CG101" s="311"/>
      <c r="CH101" s="311"/>
      <c r="CI101" s="311"/>
      <c r="CJ101" s="311"/>
      <c r="CK101" s="311"/>
      <c r="CL101" s="311"/>
      <c r="CM101" s="311"/>
      <c r="CN101" s="311"/>
      <c r="CO101" s="311"/>
      <c r="CP101" s="312"/>
      <c r="CQ101" s="552"/>
      <c r="CR101" s="553"/>
      <c r="CS101" s="553"/>
      <c r="CT101" s="553"/>
      <c r="CU101" s="553"/>
      <c r="CV101" s="553"/>
      <c r="CW101" s="553"/>
      <c r="CX101" s="553"/>
      <c r="CY101" s="553"/>
      <c r="CZ101" s="553"/>
      <c r="DA101" s="553"/>
      <c r="DB101" s="553"/>
      <c r="DC101" s="554"/>
      <c r="DD101" s="552"/>
      <c r="DE101" s="553"/>
      <c r="DF101" s="553"/>
      <c r="DG101" s="553"/>
      <c r="DH101" s="553"/>
      <c r="DI101" s="553"/>
      <c r="DJ101" s="553"/>
      <c r="DK101" s="553"/>
      <c r="DL101" s="553"/>
      <c r="DM101" s="553"/>
      <c r="DN101" s="553"/>
      <c r="DO101" s="553"/>
      <c r="DP101" s="553"/>
      <c r="DQ101" s="554"/>
      <c r="DR101" s="552"/>
      <c r="DS101" s="553"/>
      <c r="DT101" s="553"/>
      <c r="DU101" s="553"/>
      <c r="DV101" s="553"/>
      <c r="DW101" s="553"/>
      <c r="DX101" s="553"/>
      <c r="DY101" s="553"/>
      <c r="DZ101" s="553"/>
      <c r="EA101" s="553"/>
      <c r="EB101" s="553"/>
      <c r="EC101" s="553"/>
      <c r="ED101" s="553"/>
      <c r="EE101" s="554"/>
      <c r="EF101" s="552"/>
      <c r="EG101" s="553"/>
      <c r="EH101" s="553"/>
      <c r="EI101" s="553"/>
      <c r="EJ101" s="553"/>
      <c r="EK101" s="553"/>
      <c r="EL101" s="553"/>
      <c r="EM101" s="553"/>
      <c r="EN101" s="553"/>
      <c r="EO101" s="557"/>
      <c r="EP101" s="78"/>
      <c r="EQ101" s="78"/>
      <c r="ER101" s="459"/>
      <c r="ES101" s="459"/>
      <c r="ET101" s="459"/>
      <c r="EU101" s="459"/>
      <c r="EV101" s="459"/>
      <c r="EW101" s="459"/>
      <c r="EX101" s="459"/>
      <c r="EY101" s="459"/>
      <c r="EZ101" s="459"/>
      <c r="FA101" s="459"/>
      <c r="FB101" s="459"/>
      <c r="FC101" s="459"/>
      <c r="FD101" s="459"/>
      <c r="FE101" s="459"/>
      <c r="FF101" s="459"/>
      <c r="FG101" s="459"/>
      <c r="FH101" s="459"/>
      <c r="FI101" s="459"/>
      <c r="FJ101" s="459"/>
      <c r="FK101" s="459"/>
      <c r="FL101" s="459"/>
      <c r="FM101" s="459"/>
      <c r="FN101" s="459"/>
      <c r="FO101" s="459"/>
      <c r="FP101" s="459"/>
      <c r="FQ101" s="459"/>
      <c r="FR101" s="459"/>
      <c r="FS101" s="459"/>
      <c r="FT101" s="459"/>
      <c r="FU101" s="459"/>
      <c r="FV101" s="459"/>
      <c r="FW101" s="459"/>
      <c r="FX101" s="459"/>
      <c r="FY101" s="459"/>
      <c r="FZ101" s="459"/>
      <c r="GA101" s="459"/>
      <c r="GB101" s="459"/>
      <c r="GC101" s="459"/>
      <c r="GD101" s="459"/>
      <c r="GE101" s="459"/>
      <c r="GF101" s="459"/>
      <c r="GG101" s="459"/>
      <c r="GH101" s="459"/>
      <c r="GI101" s="42"/>
    </row>
    <row r="102" spans="1:193" ht="9.6" customHeight="1" thickBot="1" x14ac:dyDescent="0.35">
      <c r="A102" s="413">
        <v>20</v>
      </c>
      <c r="B102" s="416"/>
      <c r="C102" s="416"/>
      <c r="D102" s="416"/>
      <c r="E102" s="416"/>
      <c r="F102" s="416"/>
      <c r="G102" s="416"/>
      <c r="H102" s="501"/>
      <c r="I102" s="483">
        <v>21</v>
      </c>
      <c r="J102" s="416"/>
      <c r="K102" s="416"/>
      <c r="L102" s="416"/>
      <c r="M102" s="416"/>
      <c r="N102" s="416"/>
      <c r="O102" s="416"/>
      <c r="P102" s="501"/>
      <c r="Q102" s="483">
        <v>22</v>
      </c>
      <c r="R102" s="416"/>
      <c r="S102" s="416"/>
      <c r="T102" s="416"/>
      <c r="U102" s="416"/>
      <c r="V102" s="416"/>
      <c r="W102" s="416"/>
      <c r="X102" s="501"/>
      <c r="Y102" s="483">
        <v>23</v>
      </c>
      <c r="Z102" s="416"/>
      <c r="AA102" s="416"/>
      <c r="AB102" s="416"/>
      <c r="AC102" s="416"/>
      <c r="AD102" s="416"/>
      <c r="AE102" s="416"/>
      <c r="AF102" s="501"/>
      <c r="AG102" s="483">
        <v>24</v>
      </c>
      <c r="AH102" s="416"/>
      <c r="AI102" s="416"/>
      <c r="AJ102" s="416"/>
      <c r="AK102" s="416"/>
      <c r="AL102" s="416"/>
      <c r="AM102" s="416"/>
      <c r="AN102" s="501"/>
      <c r="AO102" s="483">
        <v>25</v>
      </c>
      <c r="AP102" s="416"/>
      <c r="AQ102" s="416"/>
      <c r="AR102" s="416"/>
      <c r="AS102" s="416"/>
      <c r="AT102" s="416"/>
      <c r="AU102" s="416"/>
      <c r="AV102" s="416"/>
      <c r="AW102" s="501"/>
      <c r="AX102" s="483">
        <v>26</v>
      </c>
      <c r="AY102" s="416"/>
      <c r="AZ102" s="416"/>
      <c r="BA102" s="416"/>
      <c r="BB102" s="416"/>
      <c r="BC102" s="416"/>
      <c r="BD102" s="416"/>
      <c r="BE102" s="416"/>
      <c r="BF102" s="416"/>
      <c r="BG102" s="416"/>
      <c r="BH102" s="501"/>
      <c r="BI102" s="483">
        <v>27</v>
      </c>
      <c r="BJ102" s="416"/>
      <c r="BK102" s="416"/>
      <c r="BL102" s="416"/>
      <c r="BM102" s="416"/>
      <c r="BN102" s="416"/>
      <c r="BO102" s="416"/>
      <c r="BP102" s="416"/>
      <c r="BQ102" s="416"/>
      <c r="BR102" s="416"/>
      <c r="BS102" s="416"/>
      <c r="BT102" s="416"/>
      <c r="BU102" s="416"/>
      <c r="BV102" s="501"/>
      <c r="BW102" s="483">
        <v>28</v>
      </c>
      <c r="BX102" s="416"/>
      <c r="BY102" s="416"/>
      <c r="BZ102" s="416"/>
      <c r="CA102" s="416"/>
      <c r="CB102" s="416"/>
      <c r="CC102" s="416"/>
      <c r="CD102" s="416"/>
      <c r="CE102" s="416"/>
      <c r="CF102" s="416"/>
      <c r="CG102" s="416"/>
      <c r="CH102" s="416"/>
      <c r="CI102" s="416"/>
      <c r="CJ102" s="416"/>
      <c r="CK102" s="416"/>
      <c r="CL102" s="416"/>
      <c r="CM102" s="416"/>
      <c r="CN102" s="416"/>
      <c r="CO102" s="416"/>
      <c r="CP102" s="501"/>
      <c r="CQ102" s="483">
        <v>29</v>
      </c>
      <c r="CR102" s="416"/>
      <c r="CS102" s="416"/>
      <c r="CT102" s="416"/>
      <c r="CU102" s="416"/>
      <c r="CV102" s="416"/>
      <c r="CW102" s="416"/>
      <c r="CX102" s="416"/>
      <c r="CY102" s="416"/>
      <c r="CZ102" s="416"/>
      <c r="DA102" s="416"/>
      <c r="DB102" s="416"/>
      <c r="DC102" s="501"/>
      <c r="DD102" s="483">
        <v>30</v>
      </c>
      <c r="DE102" s="416"/>
      <c r="DF102" s="416"/>
      <c r="DG102" s="416"/>
      <c r="DH102" s="416"/>
      <c r="DI102" s="416"/>
      <c r="DJ102" s="416"/>
      <c r="DK102" s="416"/>
      <c r="DL102" s="416"/>
      <c r="DM102" s="416"/>
      <c r="DN102" s="416"/>
      <c r="DO102" s="416"/>
      <c r="DP102" s="416"/>
      <c r="DQ102" s="501"/>
      <c r="DR102" s="483">
        <v>31</v>
      </c>
      <c r="DS102" s="416"/>
      <c r="DT102" s="416"/>
      <c r="DU102" s="416"/>
      <c r="DV102" s="416"/>
      <c r="DW102" s="416"/>
      <c r="DX102" s="416"/>
      <c r="DY102" s="416"/>
      <c r="DZ102" s="416"/>
      <c r="EA102" s="416"/>
      <c r="EB102" s="416"/>
      <c r="EC102" s="416"/>
      <c r="ED102" s="416"/>
      <c r="EE102" s="501"/>
      <c r="EF102" s="483">
        <v>32</v>
      </c>
      <c r="EG102" s="416"/>
      <c r="EH102" s="416"/>
      <c r="EI102" s="416"/>
      <c r="EJ102" s="416"/>
      <c r="EK102" s="416"/>
      <c r="EL102" s="416"/>
      <c r="EM102" s="416"/>
      <c r="EN102" s="416"/>
      <c r="EO102" s="417"/>
      <c r="EP102" s="78"/>
      <c r="EQ102" s="78"/>
      <c r="ER102" s="457"/>
      <c r="ES102" s="457"/>
      <c r="ET102" s="457"/>
      <c r="EU102" s="457"/>
      <c r="EV102" s="457"/>
      <c r="EW102" s="457"/>
      <c r="EX102" s="457"/>
      <c r="EY102" s="457"/>
      <c r="EZ102" s="457"/>
      <c r="FA102" s="457"/>
      <c r="FB102" s="457"/>
      <c r="FC102" s="457"/>
      <c r="FD102" s="457"/>
      <c r="FE102" s="457"/>
      <c r="FF102" s="457"/>
      <c r="FG102" s="457"/>
      <c r="FH102" s="457"/>
      <c r="FI102" s="457"/>
      <c r="FJ102" s="457"/>
      <c r="FK102" s="457"/>
      <c r="FL102" s="457"/>
      <c r="FM102" s="457"/>
      <c r="FN102" s="457"/>
      <c r="FO102" s="457"/>
      <c r="FP102" s="457"/>
      <c r="FQ102" s="457"/>
      <c r="FR102" s="457"/>
      <c r="FS102" s="457"/>
      <c r="FT102" s="457"/>
      <c r="FU102" s="457"/>
      <c r="FV102" s="457"/>
      <c r="FW102" s="457"/>
      <c r="FX102" s="457"/>
      <c r="FY102" s="457"/>
      <c r="FZ102" s="457"/>
      <c r="GA102" s="457"/>
      <c r="GB102" s="457"/>
      <c r="GC102" s="457"/>
      <c r="GD102" s="457"/>
      <c r="GE102" s="457"/>
      <c r="GF102" s="457"/>
      <c r="GG102" s="457"/>
      <c r="GH102" s="457"/>
      <c r="GI102" s="42"/>
    </row>
    <row r="103" spans="1:193" ht="11.4" customHeight="1" thickBot="1" x14ac:dyDescent="0.35">
      <c r="A103" s="561"/>
      <c r="B103" s="562"/>
      <c r="C103" s="562"/>
      <c r="D103" s="562"/>
      <c r="E103" s="562"/>
      <c r="F103" s="562"/>
      <c r="G103" s="562"/>
      <c r="H103" s="563"/>
      <c r="I103" s="564"/>
      <c r="J103" s="562"/>
      <c r="K103" s="562"/>
      <c r="L103" s="562"/>
      <c r="M103" s="562"/>
      <c r="N103" s="562"/>
      <c r="O103" s="562"/>
      <c r="P103" s="563"/>
      <c r="Q103" s="564"/>
      <c r="R103" s="562"/>
      <c r="S103" s="562"/>
      <c r="T103" s="562"/>
      <c r="U103" s="562"/>
      <c r="V103" s="562"/>
      <c r="W103" s="562"/>
      <c r="X103" s="563"/>
      <c r="Y103" s="564"/>
      <c r="Z103" s="562"/>
      <c r="AA103" s="562"/>
      <c r="AB103" s="562"/>
      <c r="AC103" s="562"/>
      <c r="AD103" s="562"/>
      <c r="AE103" s="562"/>
      <c r="AF103" s="563"/>
      <c r="AG103" s="564"/>
      <c r="AH103" s="562"/>
      <c r="AI103" s="562"/>
      <c r="AJ103" s="562"/>
      <c r="AK103" s="562"/>
      <c r="AL103" s="562"/>
      <c r="AM103" s="562"/>
      <c r="AN103" s="563"/>
      <c r="AO103" s="565"/>
      <c r="AP103" s="566"/>
      <c r="AQ103" s="566"/>
      <c r="AR103" s="566"/>
      <c r="AS103" s="566"/>
      <c r="AT103" s="566"/>
      <c r="AU103" s="566"/>
      <c r="AV103" s="566"/>
      <c r="AW103" s="567"/>
      <c r="AX103" s="564"/>
      <c r="AY103" s="562"/>
      <c r="AZ103" s="562"/>
      <c r="BA103" s="562"/>
      <c r="BB103" s="562"/>
      <c r="BC103" s="562"/>
      <c r="BD103" s="562"/>
      <c r="BE103" s="562"/>
      <c r="BF103" s="562"/>
      <c r="BG103" s="562"/>
      <c r="BH103" s="563"/>
      <c r="BI103" s="564"/>
      <c r="BJ103" s="562"/>
      <c r="BK103" s="562"/>
      <c r="BL103" s="562"/>
      <c r="BM103" s="562"/>
      <c r="BN103" s="562"/>
      <c r="BO103" s="562"/>
      <c r="BP103" s="562"/>
      <c r="BQ103" s="562"/>
      <c r="BR103" s="562"/>
      <c r="BS103" s="562"/>
      <c r="BT103" s="562"/>
      <c r="BU103" s="562"/>
      <c r="BV103" s="563"/>
      <c r="BW103" s="564"/>
      <c r="BX103" s="562"/>
      <c r="BY103" s="562"/>
      <c r="BZ103" s="562"/>
      <c r="CA103" s="562"/>
      <c r="CB103" s="562"/>
      <c r="CC103" s="562"/>
      <c r="CD103" s="562"/>
      <c r="CE103" s="562"/>
      <c r="CF103" s="562"/>
      <c r="CG103" s="562"/>
      <c r="CH103" s="562"/>
      <c r="CI103" s="562"/>
      <c r="CJ103" s="562"/>
      <c r="CK103" s="562"/>
      <c r="CL103" s="562"/>
      <c r="CM103" s="562"/>
      <c r="CN103" s="562"/>
      <c r="CO103" s="562"/>
      <c r="CP103" s="563"/>
      <c r="CQ103" s="564"/>
      <c r="CR103" s="562"/>
      <c r="CS103" s="562"/>
      <c r="CT103" s="562"/>
      <c r="CU103" s="562"/>
      <c r="CV103" s="562"/>
      <c r="CW103" s="562"/>
      <c r="CX103" s="562"/>
      <c r="CY103" s="562"/>
      <c r="CZ103" s="562"/>
      <c r="DA103" s="562"/>
      <c r="DB103" s="562"/>
      <c r="DC103" s="563"/>
      <c r="DD103" s="564"/>
      <c r="DE103" s="562"/>
      <c r="DF103" s="562"/>
      <c r="DG103" s="562"/>
      <c r="DH103" s="562"/>
      <c r="DI103" s="562"/>
      <c r="DJ103" s="562"/>
      <c r="DK103" s="562"/>
      <c r="DL103" s="562"/>
      <c r="DM103" s="562"/>
      <c r="DN103" s="562"/>
      <c r="DO103" s="562"/>
      <c r="DP103" s="562"/>
      <c r="DQ103" s="563"/>
      <c r="DR103" s="564"/>
      <c r="DS103" s="562"/>
      <c r="DT103" s="562"/>
      <c r="DU103" s="562"/>
      <c r="DV103" s="562"/>
      <c r="DW103" s="562"/>
      <c r="DX103" s="562"/>
      <c r="DY103" s="562"/>
      <c r="DZ103" s="562"/>
      <c r="EA103" s="562"/>
      <c r="EB103" s="562"/>
      <c r="EC103" s="562"/>
      <c r="ED103" s="562"/>
      <c r="EE103" s="563"/>
      <c r="EF103" s="564"/>
      <c r="EG103" s="562"/>
      <c r="EH103" s="562"/>
      <c r="EI103" s="562"/>
      <c r="EJ103" s="562"/>
      <c r="EK103" s="562"/>
      <c r="EL103" s="562"/>
      <c r="EM103" s="562"/>
      <c r="EN103" s="562"/>
      <c r="EO103" s="568"/>
      <c r="EP103" s="78"/>
      <c r="EQ103" s="78"/>
      <c r="ER103" s="569"/>
      <c r="ES103" s="569"/>
      <c r="ET103" s="569"/>
      <c r="EU103" s="569"/>
      <c r="EV103" s="569"/>
      <c r="EW103" s="569"/>
      <c r="EX103" s="569"/>
      <c r="EY103" s="569"/>
      <c r="EZ103" s="569"/>
      <c r="FA103" s="569"/>
      <c r="FB103" s="569"/>
      <c r="FC103" s="569"/>
      <c r="FD103" s="569"/>
      <c r="FE103" s="569"/>
      <c r="FF103" s="569"/>
      <c r="FG103" s="569"/>
      <c r="FH103" s="569"/>
      <c r="FI103" s="569"/>
      <c r="FJ103" s="569"/>
      <c r="FK103" s="569"/>
      <c r="FL103" s="569"/>
      <c r="FM103" s="569"/>
      <c r="FN103" s="569"/>
      <c r="FO103" s="569"/>
      <c r="FP103" s="569"/>
      <c r="FQ103" s="569"/>
      <c r="FR103" s="569"/>
      <c r="FS103" s="569"/>
      <c r="FT103" s="569"/>
      <c r="FU103" s="569"/>
      <c r="FV103" s="569"/>
      <c r="FW103" s="569"/>
      <c r="FX103" s="569"/>
      <c r="FY103" s="569"/>
      <c r="FZ103" s="569"/>
      <c r="GA103" s="569"/>
      <c r="GB103" s="569"/>
      <c r="GC103" s="569"/>
      <c r="GD103" s="569"/>
      <c r="GE103" s="569"/>
      <c r="GF103" s="569"/>
      <c r="GG103" s="569"/>
      <c r="GH103" s="569"/>
      <c r="GI103" s="42"/>
    </row>
    <row r="104" spans="1:193" ht="1.95" customHeight="1" thickBot="1" x14ac:dyDescent="0.35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  <c r="CW104" s="78"/>
      <c r="CX104" s="78"/>
      <c r="CY104" s="78"/>
      <c r="CZ104" s="78"/>
      <c r="DA104" s="78"/>
      <c r="DB104" s="78"/>
      <c r="DC104" s="78"/>
      <c r="DD104" s="78"/>
      <c r="DE104" s="78"/>
      <c r="DF104" s="78"/>
      <c r="DG104" s="78"/>
      <c r="DH104" s="78"/>
      <c r="DI104" s="78"/>
      <c r="DJ104" s="78"/>
      <c r="DK104" s="78"/>
      <c r="DL104" s="78"/>
      <c r="DM104" s="78"/>
      <c r="DN104" s="78"/>
      <c r="DO104" s="78"/>
      <c r="DP104" s="78"/>
      <c r="DQ104" s="78"/>
      <c r="DR104" s="78"/>
      <c r="DS104" s="78"/>
      <c r="DT104" s="78"/>
      <c r="DU104" s="78"/>
      <c r="DV104" s="78"/>
      <c r="DW104" s="78"/>
      <c r="DX104" s="78"/>
      <c r="DY104" s="78"/>
      <c r="DZ104" s="78"/>
      <c r="EA104" s="78"/>
      <c r="EB104" s="78"/>
      <c r="EC104" s="78"/>
      <c r="ED104" s="78"/>
      <c r="EE104" s="78"/>
      <c r="EF104" s="78"/>
      <c r="EG104" s="78"/>
      <c r="EH104" s="78"/>
      <c r="EI104" s="78"/>
      <c r="EJ104" s="78"/>
      <c r="EK104" s="78"/>
      <c r="EL104" s="78"/>
      <c r="EM104" s="78"/>
      <c r="EN104" s="78"/>
      <c r="EO104" s="78"/>
      <c r="EP104" s="78"/>
      <c r="EQ104" s="78"/>
      <c r="ER104" s="362"/>
      <c r="ES104" s="362"/>
      <c r="ET104" s="362"/>
      <c r="EU104" s="362"/>
      <c r="EV104" s="362"/>
      <c r="EW104" s="362"/>
      <c r="EX104" s="362"/>
      <c r="EY104" s="362"/>
      <c r="EZ104" s="362"/>
      <c r="FA104" s="362"/>
      <c r="FB104" s="362"/>
      <c r="FC104" s="362"/>
      <c r="FD104" s="362"/>
      <c r="FE104" s="362"/>
      <c r="FF104" s="362"/>
      <c r="FG104" s="362"/>
      <c r="FH104" s="362"/>
      <c r="FI104" s="362"/>
      <c r="FJ104" s="362"/>
      <c r="FK104" s="362"/>
      <c r="FL104" s="362"/>
      <c r="FM104" s="362"/>
      <c r="FN104" s="362"/>
      <c r="FO104" s="362"/>
      <c r="FP104" s="362"/>
      <c r="FQ104" s="362"/>
      <c r="FR104" s="362"/>
      <c r="FS104" s="362"/>
      <c r="FT104" s="362"/>
      <c r="FU104" s="362"/>
      <c r="FV104" s="362"/>
      <c r="FW104" s="362"/>
      <c r="FX104" s="362"/>
      <c r="FY104" s="362"/>
      <c r="FZ104" s="362"/>
      <c r="GA104" s="362"/>
      <c r="GB104" s="362"/>
      <c r="GC104" s="362"/>
      <c r="GD104" s="362"/>
      <c r="GE104" s="362"/>
      <c r="GF104" s="362"/>
      <c r="GG104" s="362"/>
      <c r="GH104" s="362"/>
      <c r="GI104" s="42"/>
    </row>
    <row r="105" spans="1:193" ht="9" customHeight="1" thickTop="1" x14ac:dyDescent="0.3">
      <c r="A105" s="570" t="s">
        <v>241</v>
      </c>
      <c r="B105" s="571"/>
      <c r="C105" s="571"/>
      <c r="D105" s="571"/>
      <c r="E105" s="571"/>
      <c r="F105" s="571"/>
      <c r="G105" s="571"/>
      <c r="H105" s="571"/>
      <c r="I105" s="571"/>
      <c r="J105" s="571"/>
      <c r="K105" s="571"/>
      <c r="L105" s="571"/>
      <c r="M105" s="571"/>
      <c r="N105" s="571"/>
      <c r="O105" s="571"/>
      <c r="P105" s="571"/>
      <c r="Q105" s="572"/>
      <c r="R105" s="574" t="s">
        <v>242</v>
      </c>
      <c r="S105" s="574"/>
      <c r="T105" s="574"/>
      <c r="U105" s="574"/>
      <c r="V105" s="574"/>
      <c r="W105" s="574"/>
      <c r="X105" s="574"/>
      <c r="Y105" s="574"/>
      <c r="Z105" s="574" t="s">
        <v>243</v>
      </c>
      <c r="AA105" s="574"/>
      <c r="AB105" s="574"/>
      <c r="AC105" s="574"/>
      <c r="AD105" s="574"/>
      <c r="AE105" s="574"/>
      <c r="AF105" s="574"/>
      <c r="AG105" s="574"/>
      <c r="AH105" s="574"/>
      <c r="AI105" s="574" t="s">
        <v>244</v>
      </c>
      <c r="AJ105" s="574"/>
      <c r="AK105" s="574"/>
      <c r="AL105" s="574"/>
      <c r="AM105" s="574"/>
      <c r="AN105" s="574"/>
      <c r="AO105" s="574"/>
      <c r="AP105" s="574"/>
      <c r="AQ105" s="574"/>
      <c r="AR105" s="574"/>
      <c r="AS105" s="574"/>
      <c r="AT105" s="574"/>
      <c r="AU105" s="574"/>
      <c r="AV105" s="574"/>
      <c r="AW105" s="574" t="s">
        <v>245</v>
      </c>
      <c r="AX105" s="574"/>
      <c r="AY105" s="574"/>
      <c r="AZ105" s="574"/>
      <c r="BA105" s="574"/>
      <c r="BB105" s="574"/>
      <c r="BC105" s="574"/>
      <c r="BD105" s="574"/>
      <c r="BE105" s="574"/>
      <c r="BF105" s="574"/>
      <c r="BG105" s="574"/>
      <c r="BH105" s="574"/>
      <c r="BI105" s="574"/>
      <c r="BJ105" s="574"/>
      <c r="BK105" s="574" t="s">
        <v>246</v>
      </c>
      <c r="BL105" s="574"/>
      <c r="BM105" s="574"/>
      <c r="BN105" s="574"/>
      <c r="BO105" s="574"/>
      <c r="BP105" s="574"/>
      <c r="BQ105" s="574"/>
      <c r="BR105" s="574"/>
      <c r="BS105" s="574"/>
      <c r="BT105" s="574"/>
      <c r="BU105" s="574"/>
      <c r="BV105" s="577" t="s">
        <v>247</v>
      </c>
      <c r="BW105" s="578"/>
      <c r="BX105" s="578"/>
      <c r="BY105" s="578"/>
      <c r="BZ105" s="578"/>
      <c r="CA105" s="578"/>
      <c r="CB105" s="578"/>
      <c r="CC105" s="578"/>
      <c r="CD105" s="578"/>
      <c r="CE105" s="578"/>
      <c r="CF105" s="578"/>
      <c r="CG105" s="578"/>
      <c r="CH105" s="578"/>
      <c r="CI105" s="578"/>
      <c r="CJ105" s="578"/>
      <c r="CK105" s="578"/>
      <c r="CL105" s="578"/>
      <c r="CM105" s="578"/>
      <c r="CN105" s="578"/>
      <c r="CO105" s="578"/>
      <c r="CP105" s="579"/>
      <c r="CQ105" s="574" t="s">
        <v>248</v>
      </c>
      <c r="CR105" s="574"/>
      <c r="CS105" s="574"/>
      <c r="CT105" s="574"/>
      <c r="CU105" s="574"/>
      <c r="CV105" s="574"/>
      <c r="CW105" s="574"/>
      <c r="CX105" s="574"/>
      <c r="CY105" s="574"/>
      <c r="CZ105" s="574" t="s">
        <v>249</v>
      </c>
      <c r="DA105" s="574"/>
      <c r="DB105" s="574"/>
      <c r="DC105" s="574"/>
      <c r="DD105" s="574"/>
      <c r="DE105" s="574"/>
      <c r="DF105" s="574"/>
      <c r="DG105" s="574"/>
      <c r="DH105" s="574"/>
      <c r="DI105" s="574"/>
      <c r="DJ105" s="574"/>
      <c r="DK105" s="574" t="s">
        <v>250</v>
      </c>
      <c r="DL105" s="574"/>
      <c r="DM105" s="574"/>
      <c r="DN105" s="574"/>
      <c r="DO105" s="574"/>
      <c r="DP105" s="574"/>
      <c r="DQ105" s="574"/>
      <c r="DR105" s="574"/>
      <c r="DS105" s="574"/>
      <c r="DT105" s="574" t="s">
        <v>251</v>
      </c>
      <c r="DU105" s="574"/>
      <c r="DV105" s="574"/>
      <c r="DW105" s="574"/>
      <c r="DX105" s="574"/>
      <c r="DY105" s="574"/>
      <c r="DZ105" s="574"/>
      <c r="EA105" s="574"/>
      <c r="EB105" s="574"/>
      <c r="EC105" s="78"/>
      <c r="ED105" s="78"/>
      <c r="EE105" s="457"/>
      <c r="EF105" s="457"/>
      <c r="EG105" s="457"/>
      <c r="EH105" s="457"/>
      <c r="EI105" s="457"/>
      <c r="EJ105" s="457"/>
      <c r="EK105" s="457"/>
      <c r="EL105" s="457"/>
      <c r="EM105" s="457"/>
      <c r="EN105" s="457"/>
      <c r="EO105" s="457"/>
      <c r="EP105" s="457"/>
      <c r="EQ105" s="457"/>
      <c r="ER105" s="457"/>
      <c r="ES105" s="457"/>
      <c r="ET105" s="457"/>
      <c r="EU105" s="457"/>
      <c r="EV105" s="457"/>
      <c r="EW105" s="457"/>
      <c r="EX105" s="457"/>
      <c r="EY105" s="457"/>
      <c r="EZ105" s="457"/>
      <c r="FA105" s="457"/>
      <c r="FB105" s="457"/>
      <c r="FC105" s="457"/>
      <c r="FD105" s="457"/>
      <c r="FE105" s="457"/>
      <c r="FF105" s="457"/>
      <c r="FG105" s="457"/>
      <c r="FH105" s="457"/>
      <c r="FI105" s="457"/>
      <c r="FJ105" s="457"/>
      <c r="FK105" s="457"/>
      <c r="FL105" s="457"/>
      <c r="FM105" s="457"/>
      <c r="FN105" s="457"/>
      <c r="FO105" s="457"/>
      <c r="FP105" s="457"/>
      <c r="FQ105" s="457"/>
      <c r="FR105" s="457"/>
      <c r="FS105" s="457"/>
      <c r="FT105" s="457"/>
      <c r="FU105" s="457"/>
      <c r="FV105" s="457"/>
      <c r="FW105" s="457"/>
      <c r="FX105" s="457"/>
      <c r="FY105" s="457"/>
      <c r="FZ105" s="457"/>
      <c r="GA105" s="457"/>
      <c r="GB105" s="457"/>
      <c r="GC105" s="457"/>
      <c r="GD105" s="457"/>
      <c r="GE105" s="457"/>
      <c r="GF105" s="457"/>
      <c r="GG105" s="457"/>
      <c r="GH105" s="457"/>
      <c r="GI105" s="42"/>
    </row>
    <row r="106" spans="1:193" ht="9" customHeight="1" x14ac:dyDescent="0.3">
      <c r="A106" s="307"/>
      <c r="B106" s="308"/>
      <c r="C106" s="308"/>
      <c r="D106" s="308"/>
      <c r="E106" s="308"/>
      <c r="F106" s="308"/>
      <c r="G106" s="308"/>
      <c r="H106" s="308"/>
      <c r="I106" s="308"/>
      <c r="J106" s="308"/>
      <c r="K106" s="308"/>
      <c r="L106" s="308"/>
      <c r="M106" s="308"/>
      <c r="N106" s="308"/>
      <c r="O106" s="308"/>
      <c r="P106" s="308"/>
      <c r="Q106" s="573"/>
      <c r="R106" s="575"/>
      <c r="S106" s="575"/>
      <c r="T106" s="575"/>
      <c r="U106" s="575"/>
      <c r="V106" s="575"/>
      <c r="W106" s="575"/>
      <c r="X106" s="575"/>
      <c r="Y106" s="575"/>
      <c r="Z106" s="575"/>
      <c r="AA106" s="575"/>
      <c r="AB106" s="575"/>
      <c r="AC106" s="575"/>
      <c r="AD106" s="575"/>
      <c r="AE106" s="575"/>
      <c r="AF106" s="575"/>
      <c r="AG106" s="575"/>
      <c r="AH106" s="575"/>
      <c r="AI106" s="575"/>
      <c r="AJ106" s="575"/>
      <c r="AK106" s="575"/>
      <c r="AL106" s="575"/>
      <c r="AM106" s="575"/>
      <c r="AN106" s="575"/>
      <c r="AO106" s="575"/>
      <c r="AP106" s="575"/>
      <c r="AQ106" s="575"/>
      <c r="AR106" s="575"/>
      <c r="AS106" s="575"/>
      <c r="AT106" s="575"/>
      <c r="AU106" s="575"/>
      <c r="AV106" s="575"/>
      <c r="AW106" s="575"/>
      <c r="AX106" s="575"/>
      <c r="AY106" s="575"/>
      <c r="AZ106" s="575"/>
      <c r="BA106" s="575"/>
      <c r="BB106" s="575"/>
      <c r="BC106" s="575"/>
      <c r="BD106" s="575"/>
      <c r="BE106" s="575"/>
      <c r="BF106" s="575"/>
      <c r="BG106" s="575"/>
      <c r="BH106" s="575"/>
      <c r="BI106" s="575"/>
      <c r="BJ106" s="575"/>
      <c r="BK106" s="575"/>
      <c r="BL106" s="575"/>
      <c r="BM106" s="575"/>
      <c r="BN106" s="575"/>
      <c r="BO106" s="575"/>
      <c r="BP106" s="575"/>
      <c r="BQ106" s="575"/>
      <c r="BR106" s="575"/>
      <c r="BS106" s="575"/>
      <c r="BT106" s="575"/>
      <c r="BU106" s="575"/>
      <c r="BV106" s="580"/>
      <c r="BW106" s="553"/>
      <c r="BX106" s="553"/>
      <c r="BY106" s="553"/>
      <c r="BZ106" s="553"/>
      <c r="CA106" s="553"/>
      <c r="CB106" s="553"/>
      <c r="CC106" s="553"/>
      <c r="CD106" s="553"/>
      <c r="CE106" s="553"/>
      <c r="CF106" s="553"/>
      <c r="CG106" s="553"/>
      <c r="CH106" s="553"/>
      <c r="CI106" s="553"/>
      <c r="CJ106" s="553"/>
      <c r="CK106" s="553"/>
      <c r="CL106" s="553"/>
      <c r="CM106" s="553"/>
      <c r="CN106" s="553"/>
      <c r="CO106" s="553"/>
      <c r="CP106" s="557"/>
      <c r="CQ106" s="575"/>
      <c r="CR106" s="575"/>
      <c r="CS106" s="575"/>
      <c r="CT106" s="575"/>
      <c r="CU106" s="575"/>
      <c r="CV106" s="575"/>
      <c r="CW106" s="575"/>
      <c r="CX106" s="575"/>
      <c r="CY106" s="575"/>
      <c r="CZ106" s="575"/>
      <c r="DA106" s="575"/>
      <c r="DB106" s="575"/>
      <c r="DC106" s="575"/>
      <c r="DD106" s="575"/>
      <c r="DE106" s="575"/>
      <c r="DF106" s="575"/>
      <c r="DG106" s="575"/>
      <c r="DH106" s="575"/>
      <c r="DI106" s="575"/>
      <c r="DJ106" s="575"/>
      <c r="DK106" s="575"/>
      <c r="DL106" s="575"/>
      <c r="DM106" s="575"/>
      <c r="DN106" s="575"/>
      <c r="DO106" s="575"/>
      <c r="DP106" s="575"/>
      <c r="DQ106" s="575"/>
      <c r="DR106" s="575"/>
      <c r="DS106" s="575"/>
      <c r="DT106" s="575"/>
      <c r="DU106" s="575"/>
      <c r="DV106" s="575"/>
      <c r="DW106" s="575"/>
      <c r="DX106" s="575"/>
      <c r="DY106" s="575"/>
      <c r="DZ106" s="575"/>
      <c r="EA106" s="575"/>
      <c r="EB106" s="575"/>
      <c r="EC106" s="78"/>
      <c r="ED106" s="78"/>
      <c r="EE106" s="457"/>
      <c r="EF106" s="457"/>
      <c r="EG106" s="457"/>
      <c r="EH106" s="457"/>
      <c r="EI106" s="457"/>
      <c r="EJ106" s="457"/>
      <c r="EK106" s="457"/>
      <c r="EL106" s="457"/>
      <c r="EM106" s="457"/>
      <c r="EN106" s="457"/>
      <c r="EO106" s="457"/>
      <c r="EP106" s="457"/>
      <c r="EQ106" s="457"/>
      <c r="ER106" s="457"/>
      <c r="ES106" s="457"/>
      <c r="ET106" s="457"/>
      <c r="EU106" s="457"/>
      <c r="EV106" s="457"/>
      <c r="EW106" s="457"/>
      <c r="EX106" s="457"/>
      <c r="EY106" s="457"/>
      <c r="EZ106" s="457"/>
      <c r="FA106" s="457"/>
      <c r="FB106" s="457"/>
      <c r="FC106" s="457"/>
      <c r="FD106" s="457"/>
      <c r="FE106" s="457"/>
      <c r="FF106" s="457"/>
      <c r="FG106" s="457"/>
      <c r="FH106" s="457"/>
      <c r="FI106" s="457"/>
      <c r="FJ106" s="457"/>
      <c r="FK106" s="457"/>
      <c r="FL106" s="457"/>
      <c r="FM106" s="457"/>
      <c r="FN106" s="457"/>
      <c r="FO106" s="457"/>
      <c r="FP106" s="457"/>
      <c r="FQ106" s="457"/>
      <c r="FR106" s="457"/>
      <c r="FS106" s="457"/>
      <c r="FT106" s="457"/>
      <c r="FU106" s="457"/>
      <c r="FV106" s="457"/>
      <c r="FW106" s="457"/>
      <c r="FX106" s="457"/>
      <c r="FY106" s="457"/>
      <c r="FZ106" s="457"/>
      <c r="GA106" s="457"/>
      <c r="GB106" s="457"/>
      <c r="GC106" s="457"/>
      <c r="GD106" s="457"/>
      <c r="GE106" s="457"/>
      <c r="GF106" s="457"/>
      <c r="GG106" s="457"/>
      <c r="GH106" s="457"/>
      <c r="GI106" s="42"/>
    </row>
    <row r="107" spans="1:193" ht="9" customHeight="1" x14ac:dyDescent="0.3">
      <c r="A107" s="307"/>
      <c r="B107" s="308"/>
      <c r="C107" s="308"/>
      <c r="D107" s="308"/>
      <c r="E107" s="308"/>
      <c r="F107" s="308"/>
      <c r="G107" s="308"/>
      <c r="H107" s="308"/>
      <c r="I107" s="308"/>
      <c r="J107" s="308"/>
      <c r="K107" s="308"/>
      <c r="L107" s="308"/>
      <c r="M107" s="308"/>
      <c r="N107" s="308"/>
      <c r="O107" s="308"/>
      <c r="P107" s="308"/>
      <c r="Q107" s="573"/>
      <c r="R107" s="576"/>
      <c r="S107" s="576"/>
      <c r="T107" s="576"/>
      <c r="U107" s="576"/>
      <c r="V107" s="576"/>
      <c r="W107" s="576"/>
      <c r="X107" s="576"/>
      <c r="Y107" s="576"/>
      <c r="Z107" s="576"/>
      <c r="AA107" s="576"/>
      <c r="AB107" s="576"/>
      <c r="AC107" s="576"/>
      <c r="AD107" s="576"/>
      <c r="AE107" s="576"/>
      <c r="AF107" s="576"/>
      <c r="AG107" s="576"/>
      <c r="AH107" s="576"/>
      <c r="AI107" s="576"/>
      <c r="AJ107" s="576"/>
      <c r="AK107" s="576"/>
      <c r="AL107" s="576"/>
      <c r="AM107" s="576"/>
      <c r="AN107" s="576"/>
      <c r="AO107" s="576"/>
      <c r="AP107" s="576"/>
      <c r="AQ107" s="576"/>
      <c r="AR107" s="576"/>
      <c r="AS107" s="576"/>
      <c r="AT107" s="576"/>
      <c r="AU107" s="576"/>
      <c r="AV107" s="576"/>
      <c r="AW107" s="576"/>
      <c r="AX107" s="576"/>
      <c r="AY107" s="576"/>
      <c r="AZ107" s="576"/>
      <c r="BA107" s="576"/>
      <c r="BB107" s="576"/>
      <c r="BC107" s="576"/>
      <c r="BD107" s="576"/>
      <c r="BE107" s="576"/>
      <c r="BF107" s="576"/>
      <c r="BG107" s="576"/>
      <c r="BH107" s="576"/>
      <c r="BI107" s="576"/>
      <c r="BJ107" s="576"/>
      <c r="BK107" s="576"/>
      <c r="BL107" s="576"/>
      <c r="BM107" s="576"/>
      <c r="BN107" s="576"/>
      <c r="BO107" s="576"/>
      <c r="BP107" s="576"/>
      <c r="BQ107" s="576"/>
      <c r="BR107" s="576"/>
      <c r="BS107" s="576"/>
      <c r="BT107" s="576"/>
      <c r="BU107" s="576"/>
      <c r="BV107" s="586" t="s">
        <v>252</v>
      </c>
      <c r="BW107" s="587"/>
      <c r="BX107" s="587"/>
      <c r="BY107" s="587"/>
      <c r="BZ107" s="587"/>
      <c r="CA107" s="587"/>
      <c r="CB107" s="587"/>
      <c r="CC107" s="587"/>
      <c r="CD107" s="587"/>
      <c r="CE107" s="587"/>
      <c r="CF107" s="588"/>
      <c r="CG107" s="587" t="s">
        <v>253</v>
      </c>
      <c r="CH107" s="587"/>
      <c r="CI107" s="587"/>
      <c r="CJ107" s="587"/>
      <c r="CK107" s="587"/>
      <c r="CL107" s="587"/>
      <c r="CM107" s="587"/>
      <c r="CN107" s="587"/>
      <c r="CO107" s="587"/>
      <c r="CP107" s="587"/>
      <c r="CQ107" s="576"/>
      <c r="CR107" s="576"/>
      <c r="CS107" s="576"/>
      <c r="CT107" s="576"/>
      <c r="CU107" s="576"/>
      <c r="CV107" s="576"/>
      <c r="CW107" s="576"/>
      <c r="CX107" s="576"/>
      <c r="CY107" s="576"/>
      <c r="CZ107" s="576"/>
      <c r="DA107" s="576"/>
      <c r="DB107" s="576"/>
      <c r="DC107" s="576"/>
      <c r="DD107" s="576"/>
      <c r="DE107" s="576"/>
      <c r="DF107" s="576"/>
      <c r="DG107" s="576"/>
      <c r="DH107" s="576"/>
      <c r="DI107" s="576"/>
      <c r="DJ107" s="576"/>
      <c r="DK107" s="576"/>
      <c r="DL107" s="576"/>
      <c r="DM107" s="576"/>
      <c r="DN107" s="576"/>
      <c r="DO107" s="576"/>
      <c r="DP107" s="576"/>
      <c r="DQ107" s="576"/>
      <c r="DR107" s="576"/>
      <c r="DS107" s="576"/>
      <c r="DT107" s="576"/>
      <c r="DU107" s="576"/>
      <c r="DV107" s="576"/>
      <c r="DW107" s="576"/>
      <c r="DX107" s="576"/>
      <c r="DY107" s="576"/>
      <c r="DZ107" s="576"/>
      <c r="EA107" s="576"/>
      <c r="EB107" s="576"/>
      <c r="EC107" s="78"/>
      <c r="ED107" s="78"/>
      <c r="EE107" s="581"/>
      <c r="EF107" s="581"/>
      <c r="EG107" s="581"/>
      <c r="EH107" s="581"/>
      <c r="EI107" s="581"/>
      <c r="EJ107" s="581"/>
      <c r="EK107" s="581"/>
      <c r="EL107" s="581"/>
      <c r="EM107" s="581"/>
      <c r="EN107" s="581"/>
      <c r="EO107" s="581"/>
      <c r="EP107" s="581"/>
      <c r="EQ107" s="581"/>
      <c r="ER107" s="581"/>
      <c r="ES107" s="581"/>
      <c r="ET107" s="581"/>
      <c r="EU107" s="581"/>
      <c r="EV107" s="581"/>
      <c r="EW107" s="581"/>
      <c r="EX107" s="581"/>
      <c r="EY107" s="581"/>
      <c r="EZ107" s="581"/>
      <c r="FA107" s="581"/>
      <c r="FB107" s="581"/>
      <c r="FC107" s="581"/>
      <c r="FD107" s="581"/>
      <c r="FE107" s="581"/>
      <c r="FF107" s="581"/>
      <c r="FG107" s="581"/>
      <c r="FH107" s="581"/>
      <c r="FI107" s="581"/>
      <c r="FJ107" s="581"/>
      <c r="FK107" s="581"/>
      <c r="FL107" s="581"/>
      <c r="FM107" s="581"/>
      <c r="FN107" s="581"/>
      <c r="FO107" s="581"/>
      <c r="FP107" s="581"/>
      <c r="FQ107" s="581"/>
      <c r="FR107" s="581"/>
      <c r="FS107" s="581"/>
      <c r="FT107" s="581"/>
      <c r="FU107" s="581"/>
      <c r="FV107" s="581"/>
      <c r="FW107" s="581"/>
      <c r="FX107" s="581"/>
      <c r="FY107" s="581"/>
      <c r="FZ107" s="581"/>
      <c r="GA107" s="581"/>
      <c r="GB107" s="581"/>
      <c r="GC107" s="581"/>
      <c r="GD107" s="581"/>
      <c r="GE107" s="581"/>
      <c r="GF107" s="581"/>
      <c r="GG107" s="581"/>
      <c r="GH107" s="581"/>
      <c r="GI107" s="42"/>
    </row>
    <row r="108" spans="1:193" ht="9" customHeight="1" thickBot="1" x14ac:dyDescent="0.35">
      <c r="A108" s="310"/>
      <c r="B108" s="311"/>
      <c r="C108" s="311"/>
      <c r="D108" s="311"/>
      <c r="E108" s="311"/>
      <c r="F108" s="311"/>
      <c r="G108" s="311"/>
      <c r="H108" s="311"/>
      <c r="I108" s="311"/>
      <c r="J108" s="311"/>
      <c r="K108" s="311"/>
      <c r="L108" s="311"/>
      <c r="M108" s="311"/>
      <c r="N108" s="311"/>
      <c r="O108" s="311"/>
      <c r="P108" s="311"/>
      <c r="Q108" s="482"/>
      <c r="R108" s="582">
        <v>33</v>
      </c>
      <c r="S108" s="582"/>
      <c r="T108" s="582"/>
      <c r="U108" s="582"/>
      <c r="V108" s="582"/>
      <c r="W108" s="582"/>
      <c r="X108" s="582"/>
      <c r="Y108" s="582"/>
      <c r="Z108" s="582">
        <v>34</v>
      </c>
      <c r="AA108" s="582"/>
      <c r="AB108" s="582"/>
      <c r="AC108" s="582"/>
      <c r="AD108" s="582"/>
      <c r="AE108" s="582"/>
      <c r="AF108" s="582"/>
      <c r="AG108" s="582"/>
      <c r="AH108" s="582"/>
      <c r="AI108" s="582">
        <v>35</v>
      </c>
      <c r="AJ108" s="582"/>
      <c r="AK108" s="582"/>
      <c r="AL108" s="582"/>
      <c r="AM108" s="582"/>
      <c r="AN108" s="582"/>
      <c r="AO108" s="582"/>
      <c r="AP108" s="582"/>
      <c r="AQ108" s="582"/>
      <c r="AR108" s="582"/>
      <c r="AS108" s="582"/>
      <c r="AT108" s="582"/>
      <c r="AU108" s="582"/>
      <c r="AV108" s="582"/>
      <c r="AW108" s="582">
        <v>36</v>
      </c>
      <c r="AX108" s="582"/>
      <c r="AY108" s="582"/>
      <c r="AZ108" s="582"/>
      <c r="BA108" s="582"/>
      <c r="BB108" s="582"/>
      <c r="BC108" s="582"/>
      <c r="BD108" s="582"/>
      <c r="BE108" s="582"/>
      <c r="BF108" s="582"/>
      <c r="BG108" s="582"/>
      <c r="BH108" s="582"/>
      <c r="BI108" s="582"/>
      <c r="BJ108" s="582"/>
      <c r="BK108" s="582">
        <v>37</v>
      </c>
      <c r="BL108" s="582"/>
      <c r="BM108" s="582"/>
      <c r="BN108" s="582"/>
      <c r="BO108" s="582"/>
      <c r="BP108" s="582"/>
      <c r="BQ108" s="582"/>
      <c r="BR108" s="582"/>
      <c r="BS108" s="582"/>
      <c r="BT108" s="582"/>
      <c r="BU108" s="582"/>
      <c r="BV108" s="583">
        <v>38</v>
      </c>
      <c r="BW108" s="584"/>
      <c r="BX108" s="584"/>
      <c r="BY108" s="584"/>
      <c r="BZ108" s="584"/>
      <c r="CA108" s="584"/>
      <c r="CB108" s="584"/>
      <c r="CC108" s="584"/>
      <c r="CD108" s="584"/>
      <c r="CE108" s="584"/>
      <c r="CF108" s="585"/>
      <c r="CG108" s="584">
        <v>39</v>
      </c>
      <c r="CH108" s="584"/>
      <c r="CI108" s="584"/>
      <c r="CJ108" s="584"/>
      <c r="CK108" s="584"/>
      <c r="CL108" s="584"/>
      <c r="CM108" s="584"/>
      <c r="CN108" s="584"/>
      <c r="CO108" s="584"/>
      <c r="CP108" s="584"/>
      <c r="CQ108" s="582">
        <v>40</v>
      </c>
      <c r="CR108" s="582"/>
      <c r="CS108" s="582"/>
      <c r="CT108" s="582"/>
      <c r="CU108" s="582"/>
      <c r="CV108" s="582"/>
      <c r="CW108" s="582"/>
      <c r="CX108" s="582"/>
      <c r="CY108" s="582"/>
      <c r="CZ108" s="582">
        <v>41</v>
      </c>
      <c r="DA108" s="582"/>
      <c r="DB108" s="582"/>
      <c r="DC108" s="582"/>
      <c r="DD108" s="582"/>
      <c r="DE108" s="582"/>
      <c r="DF108" s="582"/>
      <c r="DG108" s="582"/>
      <c r="DH108" s="582"/>
      <c r="DI108" s="582"/>
      <c r="DJ108" s="582"/>
      <c r="DK108" s="582">
        <v>42</v>
      </c>
      <c r="DL108" s="582"/>
      <c r="DM108" s="582"/>
      <c r="DN108" s="582"/>
      <c r="DO108" s="582"/>
      <c r="DP108" s="582"/>
      <c r="DQ108" s="582"/>
      <c r="DR108" s="582"/>
      <c r="DS108" s="582"/>
      <c r="DT108" s="582">
        <v>43</v>
      </c>
      <c r="DU108" s="582"/>
      <c r="DV108" s="582"/>
      <c r="DW108" s="582"/>
      <c r="DX108" s="582"/>
      <c r="DY108" s="582"/>
      <c r="DZ108" s="582"/>
      <c r="EA108" s="582"/>
      <c r="EB108" s="582"/>
      <c r="EC108" s="78"/>
      <c r="ED108" s="78"/>
      <c r="EE108" s="581"/>
      <c r="EF108" s="581"/>
      <c r="EG108" s="581"/>
      <c r="EH108" s="581"/>
      <c r="EI108" s="581"/>
      <c r="EJ108" s="581"/>
      <c r="EK108" s="581"/>
      <c r="EL108" s="581"/>
      <c r="EM108" s="581"/>
      <c r="EN108" s="581"/>
      <c r="EO108" s="581"/>
      <c r="EP108" s="581"/>
      <c r="EQ108" s="581"/>
      <c r="ER108" s="581"/>
      <c r="ES108" s="581"/>
      <c r="ET108" s="581"/>
      <c r="EU108" s="581"/>
      <c r="EV108" s="581"/>
      <c r="EW108" s="581"/>
      <c r="EX108" s="581"/>
      <c r="EY108" s="581"/>
      <c r="EZ108" s="581"/>
      <c r="FA108" s="581"/>
      <c r="FB108" s="581"/>
      <c r="FC108" s="581"/>
      <c r="FD108" s="581"/>
      <c r="FE108" s="581"/>
      <c r="FF108" s="581"/>
      <c r="FG108" s="581"/>
      <c r="FH108" s="581"/>
      <c r="FI108" s="581"/>
      <c r="FJ108" s="581"/>
      <c r="FK108" s="581"/>
      <c r="FL108" s="581"/>
      <c r="FM108" s="581"/>
      <c r="FN108" s="581"/>
      <c r="FO108" s="581"/>
      <c r="FP108" s="581"/>
      <c r="FQ108" s="581"/>
      <c r="FR108" s="581"/>
      <c r="FS108" s="581"/>
      <c r="FT108" s="581"/>
      <c r="FU108" s="581"/>
      <c r="FV108" s="581"/>
      <c r="FW108" s="581"/>
      <c r="FX108" s="581"/>
      <c r="FY108" s="581"/>
      <c r="FZ108" s="581"/>
      <c r="GA108" s="581"/>
      <c r="GB108" s="581"/>
      <c r="GC108" s="581"/>
      <c r="GD108" s="581"/>
      <c r="GE108" s="581"/>
      <c r="GF108" s="581"/>
      <c r="GG108" s="581"/>
      <c r="GH108" s="581"/>
      <c r="GI108" s="42"/>
    </row>
    <row r="109" spans="1:193" ht="12.6" customHeight="1" x14ac:dyDescent="0.3">
      <c r="A109" s="525" t="s">
        <v>254</v>
      </c>
      <c r="B109" s="476"/>
      <c r="C109" s="476"/>
      <c r="D109" s="476"/>
      <c r="E109" s="476"/>
      <c r="F109" s="476"/>
      <c r="G109" s="476"/>
      <c r="H109" s="476"/>
      <c r="I109" s="476"/>
      <c r="J109" s="476"/>
      <c r="K109" s="476"/>
      <c r="L109" s="476"/>
      <c r="M109" s="476"/>
      <c r="N109" s="476"/>
      <c r="O109" s="476"/>
      <c r="P109" s="476"/>
      <c r="Q109" s="600"/>
      <c r="R109" s="601"/>
      <c r="S109" s="589"/>
      <c r="T109" s="589"/>
      <c r="U109" s="589"/>
      <c r="V109" s="589"/>
      <c r="W109" s="589"/>
      <c r="X109" s="589"/>
      <c r="Y109" s="589"/>
      <c r="Z109" s="589"/>
      <c r="AA109" s="589"/>
      <c r="AB109" s="589"/>
      <c r="AC109" s="589"/>
      <c r="AD109" s="589"/>
      <c r="AE109" s="589"/>
      <c r="AF109" s="589"/>
      <c r="AG109" s="589"/>
      <c r="AH109" s="589"/>
      <c r="AI109" s="589"/>
      <c r="AJ109" s="589"/>
      <c r="AK109" s="589"/>
      <c r="AL109" s="589"/>
      <c r="AM109" s="589"/>
      <c r="AN109" s="589"/>
      <c r="AO109" s="589"/>
      <c r="AP109" s="589"/>
      <c r="AQ109" s="589"/>
      <c r="AR109" s="589"/>
      <c r="AS109" s="589"/>
      <c r="AT109" s="589"/>
      <c r="AU109" s="589"/>
      <c r="AV109" s="589"/>
      <c r="AW109" s="589"/>
      <c r="AX109" s="589"/>
      <c r="AY109" s="589"/>
      <c r="AZ109" s="589"/>
      <c r="BA109" s="589"/>
      <c r="BB109" s="589"/>
      <c r="BC109" s="589"/>
      <c r="BD109" s="589"/>
      <c r="BE109" s="589"/>
      <c r="BF109" s="589"/>
      <c r="BG109" s="589"/>
      <c r="BH109" s="589"/>
      <c r="BI109" s="589"/>
      <c r="BJ109" s="589"/>
      <c r="BK109" s="589"/>
      <c r="BL109" s="589"/>
      <c r="BM109" s="589"/>
      <c r="BN109" s="589"/>
      <c r="BO109" s="589"/>
      <c r="BP109" s="589"/>
      <c r="BQ109" s="589"/>
      <c r="BR109" s="589"/>
      <c r="BS109" s="589"/>
      <c r="BT109" s="589"/>
      <c r="BU109" s="589"/>
      <c r="BV109" s="597"/>
      <c r="BW109" s="496"/>
      <c r="BX109" s="496"/>
      <c r="BY109" s="496"/>
      <c r="BZ109" s="496"/>
      <c r="CA109" s="496"/>
      <c r="CB109" s="496"/>
      <c r="CC109" s="496"/>
      <c r="CD109" s="496"/>
      <c r="CE109" s="496"/>
      <c r="CF109" s="598"/>
      <c r="CG109" s="496"/>
      <c r="CH109" s="496"/>
      <c r="CI109" s="496"/>
      <c r="CJ109" s="496"/>
      <c r="CK109" s="496"/>
      <c r="CL109" s="496"/>
      <c r="CM109" s="496"/>
      <c r="CN109" s="496"/>
      <c r="CO109" s="496"/>
      <c r="CP109" s="496"/>
      <c r="CQ109" s="589"/>
      <c r="CR109" s="589"/>
      <c r="CS109" s="589"/>
      <c r="CT109" s="589"/>
      <c r="CU109" s="589"/>
      <c r="CV109" s="589"/>
      <c r="CW109" s="589"/>
      <c r="CX109" s="589"/>
      <c r="CY109" s="589"/>
      <c r="CZ109" s="589"/>
      <c r="DA109" s="589"/>
      <c r="DB109" s="589"/>
      <c r="DC109" s="589"/>
      <c r="DD109" s="589"/>
      <c r="DE109" s="589"/>
      <c r="DF109" s="589"/>
      <c r="DG109" s="589"/>
      <c r="DH109" s="589"/>
      <c r="DI109" s="589"/>
      <c r="DJ109" s="589"/>
      <c r="DK109" s="589"/>
      <c r="DL109" s="589"/>
      <c r="DM109" s="589"/>
      <c r="DN109" s="589"/>
      <c r="DO109" s="589"/>
      <c r="DP109" s="589"/>
      <c r="DQ109" s="589"/>
      <c r="DR109" s="589"/>
      <c r="DS109" s="589"/>
      <c r="DT109" s="589"/>
      <c r="DU109" s="589"/>
      <c r="DV109" s="589"/>
      <c r="DW109" s="589"/>
      <c r="DX109" s="589"/>
      <c r="DY109" s="589"/>
      <c r="DZ109" s="589"/>
      <c r="EA109" s="589"/>
      <c r="EB109" s="599"/>
      <c r="EC109" s="78"/>
      <c r="ED109" s="78"/>
      <c r="EE109" s="115" t="s">
        <v>255</v>
      </c>
      <c r="EF109" s="78"/>
      <c r="EG109" s="116"/>
      <c r="EH109" s="116"/>
      <c r="EI109" s="116"/>
      <c r="EJ109" s="116"/>
      <c r="EK109" s="116"/>
      <c r="EL109" s="116"/>
      <c r="EM109" s="116"/>
      <c r="EN109" s="116"/>
      <c r="EO109" s="116"/>
      <c r="EP109" s="116"/>
      <c r="EQ109" s="116"/>
      <c r="ER109" s="116"/>
      <c r="ES109" s="116"/>
      <c r="ET109" s="592"/>
      <c r="EU109" s="592"/>
      <c r="EV109" s="592"/>
      <c r="EW109" s="592"/>
      <c r="EX109" s="592"/>
      <c r="EY109" s="592"/>
      <c r="EZ109" s="592"/>
      <c r="FA109" s="592"/>
      <c r="FB109" s="592"/>
      <c r="FC109" s="592"/>
      <c r="FD109" s="592"/>
      <c r="FE109" s="592"/>
      <c r="FF109" s="96"/>
      <c r="FG109" s="96"/>
      <c r="FH109" s="592"/>
      <c r="FI109" s="592"/>
      <c r="FJ109" s="592"/>
      <c r="FK109" s="592"/>
      <c r="FL109" s="592"/>
      <c r="FM109" s="592"/>
      <c r="FN109" s="592"/>
      <c r="FO109" s="592"/>
      <c r="FP109" s="592"/>
      <c r="FQ109" s="592"/>
      <c r="FR109" s="592"/>
      <c r="FS109" s="592"/>
      <c r="FT109" s="592"/>
      <c r="FU109" s="592"/>
      <c r="FV109" s="592"/>
      <c r="FW109" s="592"/>
      <c r="FX109" s="592"/>
      <c r="FY109" s="592"/>
      <c r="FZ109" s="592"/>
      <c r="GA109" s="592"/>
      <c r="GB109" s="592"/>
      <c r="GC109" s="592"/>
      <c r="GD109" s="592"/>
      <c r="GE109" s="592"/>
      <c r="GF109" s="592"/>
      <c r="GG109" s="592"/>
      <c r="GH109" s="592"/>
      <c r="GI109" s="42"/>
    </row>
    <row r="110" spans="1:193" ht="12.6" customHeight="1" x14ac:dyDescent="0.3">
      <c r="A110" s="593" t="s">
        <v>256</v>
      </c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5"/>
      <c r="S110" s="590"/>
      <c r="T110" s="590"/>
      <c r="U110" s="590"/>
      <c r="V110" s="590"/>
      <c r="W110" s="590"/>
      <c r="X110" s="590"/>
      <c r="Y110" s="590"/>
      <c r="Z110" s="590"/>
      <c r="AA110" s="590"/>
      <c r="AB110" s="590"/>
      <c r="AC110" s="590"/>
      <c r="AD110" s="590"/>
      <c r="AE110" s="590"/>
      <c r="AF110" s="590"/>
      <c r="AG110" s="590"/>
      <c r="AH110" s="590"/>
      <c r="AI110" s="590"/>
      <c r="AJ110" s="590"/>
      <c r="AK110" s="590"/>
      <c r="AL110" s="590"/>
      <c r="AM110" s="590"/>
      <c r="AN110" s="590"/>
      <c r="AO110" s="590"/>
      <c r="AP110" s="590"/>
      <c r="AQ110" s="590"/>
      <c r="AR110" s="590"/>
      <c r="AS110" s="590"/>
      <c r="AT110" s="590"/>
      <c r="AU110" s="590"/>
      <c r="AV110" s="590"/>
      <c r="AW110" s="590"/>
      <c r="AX110" s="590"/>
      <c r="AY110" s="590"/>
      <c r="AZ110" s="590"/>
      <c r="BA110" s="590"/>
      <c r="BB110" s="590"/>
      <c r="BC110" s="590"/>
      <c r="BD110" s="590"/>
      <c r="BE110" s="590"/>
      <c r="BF110" s="590"/>
      <c r="BG110" s="590"/>
      <c r="BH110" s="590"/>
      <c r="BI110" s="590"/>
      <c r="BJ110" s="590"/>
      <c r="BK110" s="590"/>
      <c r="BL110" s="590"/>
      <c r="BM110" s="590"/>
      <c r="BN110" s="590"/>
      <c r="BO110" s="590"/>
      <c r="BP110" s="590"/>
      <c r="BQ110" s="590"/>
      <c r="BR110" s="590"/>
      <c r="BS110" s="590"/>
      <c r="BT110" s="590"/>
      <c r="BU110" s="590"/>
      <c r="BV110" s="593"/>
      <c r="BW110" s="594"/>
      <c r="BX110" s="594"/>
      <c r="BY110" s="594"/>
      <c r="BZ110" s="594"/>
      <c r="CA110" s="594"/>
      <c r="CB110" s="594"/>
      <c r="CC110" s="594"/>
      <c r="CD110" s="594"/>
      <c r="CE110" s="594"/>
      <c r="CF110" s="596"/>
      <c r="CG110" s="594"/>
      <c r="CH110" s="594"/>
      <c r="CI110" s="594"/>
      <c r="CJ110" s="594"/>
      <c r="CK110" s="594"/>
      <c r="CL110" s="594"/>
      <c r="CM110" s="594"/>
      <c r="CN110" s="594"/>
      <c r="CO110" s="594"/>
      <c r="CP110" s="594"/>
      <c r="CQ110" s="590"/>
      <c r="CR110" s="590"/>
      <c r="CS110" s="590"/>
      <c r="CT110" s="590"/>
      <c r="CU110" s="590"/>
      <c r="CV110" s="590"/>
      <c r="CW110" s="590"/>
      <c r="CX110" s="590"/>
      <c r="CY110" s="590"/>
      <c r="CZ110" s="590"/>
      <c r="DA110" s="590"/>
      <c r="DB110" s="590"/>
      <c r="DC110" s="590"/>
      <c r="DD110" s="590"/>
      <c r="DE110" s="590"/>
      <c r="DF110" s="590"/>
      <c r="DG110" s="590"/>
      <c r="DH110" s="590"/>
      <c r="DI110" s="590"/>
      <c r="DJ110" s="590"/>
      <c r="DK110" s="590"/>
      <c r="DL110" s="590"/>
      <c r="DM110" s="590"/>
      <c r="DN110" s="590"/>
      <c r="DO110" s="590"/>
      <c r="DP110" s="590"/>
      <c r="DQ110" s="590"/>
      <c r="DR110" s="590"/>
      <c r="DS110" s="590"/>
      <c r="DT110" s="590"/>
      <c r="DU110" s="590"/>
      <c r="DV110" s="590"/>
      <c r="DW110" s="590"/>
      <c r="DX110" s="590"/>
      <c r="DY110" s="590"/>
      <c r="DZ110" s="590"/>
      <c r="EA110" s="590"/>
      <c r="EB110" s="591"/>
      <c r="EC110" s="78"/>
      <c r="ED110" s="78"/>
      <c r="EE110" s="78"/>
      <c r="EF110" s="78"/>
      <c r="EG110" s="78"/>
      <c r="EH110" s="78"/>
      <c r="EI110" s="78"/>
      <c r="EJ110" s="78"/>
      <c r="EK110" s="78"/>
      <c r="EL110" s="78"/>
      <c r="EM110" s="78"/>
      <c r="EN110" s="78"/>
      <c r="EO110" s="78"/>
      <c r="EP110" s="78"/>
      <c r="EQ110" s="78"/>
      <c r="ER110" s="78"/>
      <c r="ES110" s="78"/>
      <c r="ET110" s="461" t="s">
        <v>122</v>
      </c>
      <c r="EU110" s="461"/>
      <c r="EV110" s="461"/>
      <c r="EW110" s="461"/>
      <c r="EX110" s="461"/>
      <c r="EY110" s="461"/>
      <c r="EZ110" s="461"/>
      <c r="FA110" s="461"/>
      <c r="FB110" s="461"/>
      <c r="FC110" s="461"/>
      <c r="FD110" s="461"/>
      <c r="FE110" s="461"/>
      <c r="FF110" s="107"/>
      <c r="FG110" s="107"/>
      <c r="FH110" s="461" t="s">
        <v>126</v>
      </c>
      <c r="FI110" s="461"/>
      <c r="FJ110" s="461"/>
      <c r="FK110" s="461"/>
      <c r="FL110" s="461"/>
      <c r="FM110" s="461"/>
      <c r="FN110" s="461"/>
      <c r="FO110" s="461"/>
      <c r="FP110" s="461"/>
      <c r="FQ110" s="461"/>
      <c r="FR110" s="461"/>
      <c r="FS110" s="461"/>
      <c r="FT110" s="461"/>
      <c r="FU110" s="461"/>
      <c r="FV110" s="461"/>
      <c r="FW110" s="461"/>
      <c r="FX110" s="461"/>
      <c r="FY110" s="461"/>
      <c r="FZ110" s="461"/>
      <c r="GA110" s="461"/>
      <c r="GB110" s="461"/>
      <c r="GC110" s="461"/>
      <c r="GD110" s="461"/>
      <c r="GE110" s="461"/>
      <c r="GF110" s="461"/>
      <c r="GG110" s="461"/>
      <c r="GH110" s="461"/>
      <c r="GI110" s="42"/>
    </row>
    <row r="111" spans="1:193" ht="12.6" customHeight="1" thickBot="1" x14ac:dyDescent="0.35">
      <c r="A111" s="525" t="s">
        <v>257</v>
      </c>
      <c r="B111" s="476"/>
      <c r="C111" s="476"/>
      <c r="D111" s="476"/>
      <c r="E111" s="476"/>
      <c r="F111" s="476"/>
      <c r="G111" s="476"/>
      <c r="H111" s="476"/>
      <c r="I111" s="476"/>
      <c r="J111" s="476"/>
      <c r="K111" s="476"/>
      <c r="L111" s="476"/>
      <c r="M111" s="476"/>
      <c r="N111" s="476"/>
      <c r="O111" s="476"/>
      <c r="P111" s="476"/>
      <c r="Q111" s="600"/>
      <c r="R111" s="606"/>
      <c r="S111" s="604"/>
      <c r="T111" s="604"/>
      <c r="U111" s="604"/>
      <c r="V111" s="604"/>
      <c r="W111" s="604"/>
      <c r="X111" s="604"/>
      <c r="Y111" s="604"/>
      <c r="Z111" s="604"/>
      <c r="AA111" s="604"/>
      <c r="AB111" s="604"/>
      <c r="AC111" s="604"/>
      <c r="AD111" s="604"/>
      <c r="AE111" s="604"/>
      <c r="AF111" s="604"/>
      <c r="AG111" s="604"/>
      <c r="AH111" s="604"/>
      <c r="AI111" s="604"/>
      <c r="AJ111" s="604"/>
      <c r="AK111" s="604"/>
      <c r="AL111" s="604"/>
      <c r="AM111" s="604"/>
      <c r="AN111" s="604"/>
      <c r="AO111" s="604"/>
      <c r="AP111" s="604"/>
      <c r="AQ111" s="604"/>
      <c r="AR111" s="604"/>
      <c r="AS111" s="604"/>
      <c r="AT111" s="604"/>
      <c r="AU111" s="604"/>
      <c r="AV111" s="604"/>
      <c r="AW111" s="604"/>
      <c r="AX111" s="604"/>
      <c r="AY111" s="604"/>
      <c r="AZ111" s="604"/>
      <c r="BA111" s="604"/>
      <c r="BB111" s="604"/>
      <c r="BC111" s="604"/>
      <c r="BD111" s="604"/>
      <c r="BE111" s="604"/>
      <c r="BF111" s="604"/>
      <c r="BG111" s="604"/>
      <c r="BH111" s="604"/>
      <c r="BI111" s="604"/>
      <c r="BJ111" s="604"/>
      <c r="BK111" s="604"/>
      <c r="BL111" s="604"/>
      <c r="BM111" s="604"/>
      <c r="BN111" s="604"/>
      <c r="BO111" s="604"/>
      <c r="BP111" s="604"/>
      <c r="BQ111" s="604"/>
      <c r="BR111" s="604"/>
      <c r="BS111" s="604"/>
      <c r="BT111" s="604"/>
      <c r="BU111" s="604"/>
      <c r="BV111" s="602"/>
      <c r="BW111" s="517"/>
      <c r="BX111" s="517"/>
      <c r="BY111" s="517"/>
      <c r="BZ111" s="517"/>
      <c r="CA111" s="517"/>
      <c r="CB111" s="517"/>
      <c r="CC111" s="517"/>
      <c r="CD111" s="517"/>
      <c r="CE111" s="517"/>
      <c r="CF111" s="603"/>
      <c r="CG111" s="517"/>
      <c r="CH111" s="517"/>
      <c r="CI111" s="517"/>
      <c r="CJ111" s="517"/>
      <c r="CK111" s="517"/>
      <c r="CL111" s="517"/>
      <c r="CM111" s="517"/>
      <c r="CN111" s="517"/>
      <c r="CO111" s="517"/>
      <c r="CP111" s="517"/>
      <c r="CQ111" s="604"/>
      <c r="CR111" s="604"/>
      <c r="CS111" s="604"/>
      <c r="CT111" s="604"/>
      <c r="CU111" s="604"/>
      <c r="CV111" s="604"/>
      <c r="CW111" s="604"/>
      <c r="CX111" s="604"/>
      <c r="CY111" s="604"/>
      <c r="CZ111" s="604"/>
      <c r="DA111" s="604"/>
      <c r="DB111" s="604"/>
      <c r="DC111" s="604"/>
      <c r="DD111" s="604"/>
      <c r="DE111" s="604"/>
      <c r="DF111" s="604"/>
      <c r="DG111" s="604"/>
      <c r="DH111" s="604"/>
      <c r="DI111" s="604"/>
      <c r="DJ111" s="604"/>
      <c r="DK111" s="604"/>
      <c r="DL111" s="604"/>
      <c r="DM111" s="604"/>
      <c r="DN111" s="604"/>
      <c r="DO111" s="604"/>
      <c r="DP111" s="604"/>
      <c r="DQ111" s="604"/>
      <c r="DR111" s="604"/>
      <c r="DS111" s="604"/>
      <c r="DT111" s="604"/>
      <c r="DU111" s="604"/>
      <c r="DV111" s="604"/>
      <c r="DW111" s="604"/>
      <c r="DX111" s="604"/>
      <c r="DY111" s="604"/>
      <c r="DZ111" s="604"/>
      <c r="EA111" s="604"/>
      <c r="EB111" s="605"/>
      <c r="EC111" s="78"/>
      <c r="ED111" s="78"/>
      <c r="EE111" s="78"/>
      <c r="EF111" s="78"/>
      <c r="EG111" s="78"/>
      <c r="EH111" s="78"/>
      <c r="EI111" s="78"/>
      <c r="EJ111" s="78"/>
      <c r="EK111" s="78"/>
      <c r="EL111" s="78"/>
      <c r="EM111" s="78"/>
      <c r="EN111" s="78"/>
      <c r="EO111" s="78"/>
      <c r="EP111" s="78"/>
      <c r="EQ111" s="78"/>
      <c r="ER111" s="78"/>
      <c r="ES111" s="78"/>
      <c r="ET111" s="78"/>
      <c r="EU111" s="78"/>
      <c r="EV111" s="78"/>
      <c r="EW111" s="78"/>
      <c r="EX111" s="78"/>
      <c r="EY111" s="78"/>
      <c r="EZ111" s="78"/>
      <c r="FA111" s="78"/>
      <c r="FB111" s="78"/>
      <c r="FC111" s="78"/>
      <c r="FD111" s="78"/>
      <c r="FE111" s="78"/>
      <c r="FF111" s="78"/>
      <c r="FG111" s="78"/>
      <c r="FH111" s="78"/>
      <c r="FI111" s="78"/>
      <c r="FJ111" s="78"/>
      <c r="FK111" s="78"/>
      <c r="FL111" s="78"/>
      <c r="FM111" s="78"/>
      <c r="FN111" s="78"/>
      <c r="FO111" s="78"/>
      <c r="FP111" s="78"/>
      <c r="FQ111" s="78"/>
      <c r="FR111" s="78"/>
      <c r="FS111" s="78"/>
      <c r="FT111" s="78"/>
      <c r="FU111" s="78"/>
      <c r="FV111" s="78"/>
      <c r="FW111" s="78"/>
      <c r="FX111" s="78"/>
      <c r="FY111" s="78"/>
      <c r="FZ111" s="78"/>
      <c r="GA111" s="78"/>
      <c r="GB111" s="78"/>
      <c r="GC111" s="78"/>
      <c r="GD111" s="78"/>
      <c r="GE111" s="78"/>
      <c r="GF111" s="78"/>
      <c r="GG111" s="78"/>
      <c r="GH111" s="78"/>
      <c r="GI111" s="42"/>
    </row>
    <row r="112" spans="1:193" x14ac:dyDescent="0.3">
      <c r="GJ112" s="117" t="s">
        <v>258</v>
      </c>
      <c r="GK112" s="118" t="s">
        <v>259</v>
      </c>
    </row>
    <row r="113" spans="192:193" x14ac:dyDescent="0.3">
      <c r="GJ113" s="117" t="s">
        <v>260</v>
      </c>
      <c r="GK113" s="118" t="s">
        <v>261</v>
      </c>
    </row>
    <row r="114" spans="192:193" x14ac:dyDescent="0.3">
      <c r="GJ114" s="117" t="s">
        <v>262</v>
      </c>
      <c r="GK114" s="118" t="s">
        <v>263</v>
      </c>
    </row>
    <row r="115" spans="192:193" x14ac:dyDescent="0.3">
      <c r="GJ115" s="117" t="s">
        <v>264</v>
      </c>
      <c r="GK115" s="118" t="s">
        <v>265</v>
      </c>
    </row>
    <row r="116" spans="192:193" x14ac:dyDescent="0.3">
      <c r="GJ116" s="117" t="s">
        <v>266</v>
      </c>
      <c r="GK116" s="118" t="s">
        <v>267</v>
      </c>
    </row>
    <row r="117" spans="192:193" x14ac:dyDescent="0.3">
      <c r="GJ117" s="117" t="s">
        <v>268</v>
      </c>
      <c r="GK117" s="118" t="s">
        <v>269</v>
      </c>
    </row>
    <row r="118" spans="192:193" x14ac:dyDescent="0.3">
      <c r="GJ118" s="117" t="s">
        <v>58</v>
      </c>
      <c r="GK118" s="118" t="s">
        <v>270</v>
      </c>
    </row>
    <row r="119" spans="192:193" x14ac:dyDescent="0.3">
      <c r="GJ119" s="117" t="s">
        <v>271</v>
      </c>
      <c r="GK119" s="118" t="s">
        <v>272</v>
      </c>
    </row>
    <row r="120" spans="192:193" x14ac:dyDescent="0.3">
      <c r="GJ120" s="117" t="s">
        <v>273</v>
      </c>
      <c r="GK120" s="118" t="s">
        <v>274</v>
      </c>
    </row>
    <row r="121" spans="192:193" x14ac:dyDescent="0.3">
      <c r="GJ121" s="117">
        <v>10</v>
      </c>
      <c r="GK121" s="118" t="s">
        <v>275</v>
      </c>
    </row>
    <row r="122" spans="192:193" x14ac:dyDescent="0.3">
      <c r="GJ122" s="117">
        <v>11</v>
      </c>
      <c r="GK122" s="118" t="s">
        <v>276</v>
      </c>
    </row>
    <row r="123" spans="192:193" x14ac:dyDescent="0.3">
      <c r="GJ123" s="117">
        <v>12</v>
      </c>
      <c r="GK123" s="118" t="s">
        <v>277</v>
      </c>
    </row>
  </sheetData>
  <mergeCells count="582">
    <mergeCell ref="BV111:CF111"/>
    <mergeCell ref="CG111:CP111"/>
    <mergeCell ref="CQ111:CY111"/>
    <mergeCell ref="CZ111:DJ111"/>
    <mergeCell ref="DK111:DS111"/>
    <mergeCell ref="DT111:EB111"/>
    <mergeCell ref="A111:Q111"/>
    <mergeCell ref="R111:Y111"/>
    <mergeCell ref="Z111:AH111"/>
    <mergeCell ref="AI111:AV111"/>
    <mergeCell ref="AW111:BJ111"/>
    <mergeCell ref="BK111:BU111"/>
    <mergeCell ref="CQ110:CY110"/>
    <mergeCell ref="CZ110:DJ110"/>
    <mergeCell ref="DK110:DS110"/>
    <mergeCell ref="DT110:EB110"/>
    <mergeCell ref="ET110:FE110"/>
    <mergeCell ref="FH110:GH110"/>
    <mergeCell ref="ET109:FE109"/>
    <mergeCell ref="FH109:GH109"/>
    <mergeCell ref="A110:Q110"/>
    <mergeCell ref="R110:Y110"/>
    <mergeCell ref="Z110:AH110"/>
    <mergeCell ref="AI110:AV110"/>
    <mergeCell ref="AW110:BJ110"/>
    <mergeCell ref="BK110:BU110"/>
    <mergeCell ref="BV110:CF110"/>
    <mergeCell ref="CG110:CP110"/>
    <mergeCell ref="BV109:CF109"/>
    <mergeCell ref="CG109:CP109"/>
    <mergeCell ref="CQ109:CY109"/>
    <mergeCell ref="CZ109:DJ109"/>
    <mergeCell ref="DK109:DS109"/>
    <mergeCell ref="DT109:EB109"/>
    <mergeCell ref="A109:Q109"/>
    <mergeCell ref="R109:Y109"/>
    <mergeCell ref="Z109:AH109"/>
    <mergeCell ref="AI109:AV109"/>
    <mergeCell ref="AW109:BJ109"/>
    <mergeCell ref="BK109:BU109"/>
    <mergeCell ref="CG108:CP108"/>
    <mergeCell ref="CQ108:CY108"/>
    <mergeCell ref="CZ108:DJ108"/>
    <mergeCell ref="DK108:DS108"/>
    <mergeCell ref="DT108:EB108"/>
    <mergeCell ref="EE108:GH108"/>
    <mergeCell ref="R108:Y108"/>
    <mergeCell ref="Z108:AH108"/>
    <mergeCell ref="AI108:AV108"/>
    <mergeCell ref="AW108:BJ108"/>
    <mergeCell ref="BK108:BU108"/>
    <mergeCell ref="BV108:CF108"/>
    <mergeCell ref="CZ105:DJ107"/>
    <mergeCell ref="DK105:DS107"/>
    <mergeCell ref="DT105:EB107"/>
    <mergeCell ref="EE105:GH105"/>
    <mergeCell ref="EE106:GH106"/>
    <mergeCell ref="BV107:CF107"/>
    <mergeCell ref="CG107:CP107"/>
    <mergeCell ref="EE107:GH107"/>
    <mergeCell ref="A105:Q108"/>
    <mergeCell ref="R105:Y107"/>
    <mergeCell ref="Z105:AH107"/>
    <mergeCell ref="AI105:AV107"/>
    <mergeCell ref="AW105:BJ107"/>
    <mergeCell ref="BK105:BU107"/>
    <mergeCell ref="BV105:CP106"/>
    <mergeCell ref="CQ105:CY107"/>
    <mergeCell ref="AX103:BH103"/>
    <mergeCell ref="BI103:BV103"/>
    <mergeCell ref="BW103:CP103"/>
    <mergeCell ref="CQ103:DC103"/>
    <mergeCell ref="ER101:GH102"/>
    <mergeCell ref="AX102:BH102"/>
    <mergeCell ref="BI102:BV102"/>
    <mergeCell ref="BW102:CP102"/>
    <mergeCell ref="CQ102:DC102"/>
    <mergeCell ref="DD102:DQ102"/>
    <mergeCell ref="DR102:EE102"/>
    <mergeCell ref="EF102:EO102"/>
    <mergeCell ref="A103:H103"/>
    <mergeCell ref="I103:P103"/>
    <mergeCell ref="Q103:X103"/>
    <mergeCell ref="Y103:AF103"/>
    <mergeCell ref="AG103:AN103"/>
    <mergeCell ref="AO103:AW103"/>
    <mergeCell ref="A102:H102"/>
    <mergeCell ref="I102:P102"/>
    <mergeCell ref="Q102:X102"/>
    <mergeCell ref="Y102:AF102"/>
    <mergeCell ref="AG102:AN102"/>
    <mergeCell ref="AO102:AW102"/>
    <mergeCell ref="EF103:EO103"/>
    <mergeCell ref="ER103:GH104"/>
    <mergeCell ref="DD103:DQ103"/>
    <mergeCell ref="DR103:EE103"/>
    <mergeCell ref="FT95:GH95"/>
    <mergeCell ref="A97:EO97"/>
    <mergeCell ref="A98:AN98"/>
    <mergeCell ref="AO98:AW98"/>
    <mergeCell ref="AX98:BV98"/>
    <mergeCell ref="BW98:CP101"/>
    <mergeCell ref="CQ98:DQ98"/>
    <mergeCell ref="DR98:EO98"/>
    <mergeCell ref="FF98:GH98"/>
    <mergeCell ref="A99:H101"/>
    <mergeCell ref="I99:P101"/>
    <mergeCell ref="Q99:X101"/>
    <mergeCell ref="Y99:AF101"/>
    <mergeCell ref="AG99:AN101"/>
    <mergeCell ref="AO99:AW99"/>
    <mergeCell ref="AX99:BH101"/>
    <mergeCell ref="BI99:BV101"/>
    <mergeCell ref="CQ99:DC101"/>
    <mergeCell ref="DD99:DQ101"/>
    <mergeCell ref="DR99:EE101"/>
    <mergeCell ref="EF99:EO101"/>
    <mergeCell ref="ER99:GH100"/>
    <mergeCell ref="AO100:AW100"/>
    <mergeCell ref="AO101:AW101"/>
    <mergeCell ref="A95:J95"/>
    <mergeCell ref="K95:AJ95"/>
    <mergeCell ref="AK95:BJ95"/>
    <mergeCell ref="BK95:CL95"/>
    <mergeCell ref="CM95:DT95"/>
    <mergeCell ref="DU95:EA95"/>
    <mergeCell ref="EB95:EP95"/>
    <mergeCell ref="EQ95:FD95"/>
    <mergeCell ref="FE95:FS95"/>
    <mergeCell ref="FT93:GH93"/>
    <mergeCell ref="A94:J94"/>
    <mergeCell ref="K94:AJ94"/>
    <mergeCell ref="AK94:BJ94"/>
    <mergeCell ref="BK94:CL94"/>
    <mergeCell ref="CM94:DT94"/>
    <mergeCell ref="DU94:EA94"/>
    <mergeCell ref="EB94:EP94"/>
    <mergeCell ref="EQ94:FD94"/>
    <mergeCell ref="FE94:FS94"/>
    <mergeCell ref="FT94:GH94"/>
    <mergeCell ref="A93:J93"/>
    <mergeCell ref="K93:AJ93"/>
    <mergeCell ref="AK93:BJ93"/>
    <mergeCell ref="BK93:CL93"/>
    <mergeCell ref="CM93:DT93"/>
    <mergeCell ref="DU93:EA93"/>
    <mergeCell ref="EB93:EP93"/>
    <mergeCell ref="EQ93:FD93"/>
    <mergeCell ref="FE93:FS93"/>
    <mergeCell ref="A91:J92"/>
    <mergeCell ref="K91:AJ92"/>
    <mergeCell ref="AK91:BJ92"/>
    <mergeCell ref="BK91:CL92"/>
    <mergeCell ref="CM91:EA91"/>
    <mergeCell ref="EB91:FD91"/>
    <mergeCell ref="FE91:FS92"/>
    <mergeCell ref="FT91:GH92"/>
    <mergeCell ref="CM92:DT92"/>
    <mergeCell ref="DU92:EA92"/>
    <mergeCell ref="EB92:EP92"/>
    <mergeCell ref="EQ92:FD92"/>
    <mergeCell ref="CM87:CX89"/>
    <mergeCell ref="CZ87:DP89"/>
    <mergeCell ref="DR85:DZ88"/>
    <mergeCell ref="N86:X86"/>
    <mergeCell ref="AA86:AV86"/>
    <mergeCell ref="BY86:CK86"/>
    <mergeCell ref="CM86:CX86"/>
    <mergeCell ref="CZ86:DP86"/>
    <mergeCell ref="A90:GH90"/>
    <mergeCell ref="FE79:GH79"/>
    <mergeCell ref="A80:G81"/>
    <mergeCell ref="Q80:AS80"/>
    <mergeCell ref="CF80:DB80"/>
    <mergeCell ref="H81:S81"/>
    <mergeCell ref="U81:AE81"/>
    <mergeCell ref="AH81:AX81"/>
    <mergeCell ref="BP81:CO82"/>
    <mergeCell ref="CP81:CZ82"/>
    <mergeCell ref="DC81:DX82"/>
    <mergeCell ref="EB81:EV83"/>
    <mergeCell ref="EX81:GH83"/>
    <mergeCell ref="I82:R83"/>
    <mergeCell ref="U82:AE83"/>
    <mergeCell ref="AH82:AX83"/>
    <mergeCell ref="CP83:CZ84"/>
    <mergeCell ref="DC83:DX84"/>
    <mergeCell ref="A84:S85"/>
    <mergeCell ref="EC84:GH85"/>
    <mergeCell ref="BE85:BM88"/>
    <mergeCell ref="EC86:GH88"/>
    <mergeCell ref="N87:X89"/>
    <mergeCell ref="AA87:AV89"/>
    <mergeCell ref="BY87:CK89"/>
    <mergeCell ref="AA78:AR78"/>
    <mergeCell ref="AY78:BM78"/>
    <mergeCell ref="CS78:DA78"/>
    <mergeCell ref="DK78:DT78"/>
    <mergeCell ref="Q79:AS79"/>
    <mergeCell ref="CF79:DB79"/>
    <mergeCell ref="AA77:AR77"/>
    <mergeCell ref="AS77:AX77"/>
    <mergeCell ref="AY77:BM77"/>
    <mergeCell ref="CS77:DA77"/>
    <mergeCell ref="DB77:DJ77"/>
    <mergeCell ref="DK77:DT77"/>
    <mergeCell ref="FH75:FT75"/>
    <mergeCell ref="FU75:GH75"/>
    <mergeCell ref="AS76:AX76"/>
    <mergeCell ref="DB76:DJ76"/>
    <mergeCell ref="EJ76:ET77"/>
    <mergeCell ref="EU76:FT76"/>
    <mergeCell ref="FU76:GH77"/>
    <mergeCell ref="EJ74:ET74"/>
    <mergeCell ref="EU74:FG74"/>
    <mergeCell ref="FH74:FT74"/>
    <mergeCell ref="FU74:GH74"/>
    <mergeCell ref="A75:AH75"/>
    <mergeCell ref="AI75:BT75"/>
    <mergeCell ref="BU75:CL75"/>
    <mergeCell ref="CM75:DB75"/>
    <mergeCell ref="DC75:EI75"/>
    <mergeCell ref="EJ75:ET75"/>
    <mergeCell ref="DC73:EI73"/>
    <mergeCell ref="EJ73:ET73"/>
    <mergeCell ref="EU73:FG73"/>
    <mergeCell ref="EU75:FG75"/>
    <mergeCell ref="FH73:FT73"/>
    <mergeCell ref="FU73:GH73"/>
    <mergeCell ref="A74:AH74"/>
    <mergeCell ref="AI74:BT74"/>
    <mergeCell ref="BU74:CL74"/>
    <mergeCell ref="CM74:DB74"/>
    <mergeCell ref="DC74:EI74"/>
    <mergeCell ref="A71:AF71"/>
    <mergeCell ref="AO71:BT72"/>
    <mergeCell ref="CH71:CY71"/>
    <mergeCell ref="A73:AH73"/>
    <mergeCell ref="AI73:BT73"/>
    <mergeCell ref="BU73:CL73"/>
    <mergeCell ref="CM73:DB73"/>
    <mergeCell ref="Q69:BU69"/>
    <mergeCell ref="CH69:CY69"/>
    <mergeCell ref="FP69:GH70"/>
    <mergeCell ref="A70:AF70"/>
    <mergeCell ref="CH70:CY70"/>
    <mergeCell ref="DV70:EW70"/>
    <mergeCell ref="Q67:CB67"/>
    <mergeCell ref="CT67:FC67"/>
    <mergeCell ref="FP67:GH68"/>
    <mergeCell ref="Q68:BU68"/>
    <mergeCell ref="CH68:CY68"/>
    <mergeCell ref="DV68:EW68"/>
    <mergeCell ref="O59:FM59"/>
    <mergeCell ref="A65:S65"/>
    <mergeCell ref="T65:AG65"/>
    <mergeCell ref="AP65:BC65"/>
    <mergeCell ref="BI65:BV65"/>
    <mergeCell ref="Q66:CB66"/>
    <mergeCell ref="CT66:FC66"/>
    <mergeCell ref="X60:FM60"/>
    <mergeCell ref="FP60:GH63"/>
    <mergeCell ref="L61:BZ61"/>
    <mergeCell ref="CU61:FA61"/>
    <mergeCell ref="L62:BZ62"/>
    <mergeCell ref="A63:W64"/>
    <mergeCell ref="Y63:BZ63"/>
    <mergeCell ref="DF63:FH63"/>
    <mergeCell ref="Y64:BZ64"/>
    <mergeCell ref="FP64:GH66"/>
    <mergeCell ref="AD55:AT55"/>
    <mergeCell ref="AW55:BC55"/>
    <mergeCell ref="A56:M57"/>
    <mergeCell ref="N56:CA57"/>
    <mergeCell ref="CC56:CN57"/>
    <mergeCell ref="CO56:DK57"/>
    <mergeCell ref="ED51:ES51"/>
    <mergeCell ref="EV51:FF51"/>
    <mergeCell ref="FI51:GE51"/>
    <mergeCell ref="BX53:DD54"/>
    <mergeCell ref="A54:S54"/>
    <mergeCell ref="T54:AG54"/>
    <mergeCell ref="AP54:BC54"/>
    <mergeCell ref="BI54:BV54"/>
    <mergeCell ref="FP54:GH55"/>
    <mergeCell ref="X55:AA55"/>
    <mergeCell ref="DL56:EJ57"/>
    <mergeCell ref="EN56:FA57"/>
    <mergeCell ref="FB56:FN56"/>
    <mergeCell ref="FP56:GH57"/>
    <mergeCell ref="FB57:FN58"/>
    <mergeCell ref="N58:CA58"/>
    <mergeCell ref="CO58:DF58"/>
    <mergeCell ref="FP58:GH59"/>
    <mergeCell ref="BE50:BI50"/>
    <mergeCell ref="BM50:CD50"/>
    <mergeCell ref="CG50:CM50"/>
    <mergeCell ref="ED50:ES50"/>
    <mergeCell ref="EV50:FF50"/>
    <mergeCell ref="FI50:GE50"/>
    <mergeCell ref="AB48:AY48"/>
    <mergeCell ref="BB48:BO48"/>
    <mergeCell ref="BR48:CQ48"/>
    <mergeCell ref="CY48:GE48"/>
    <mergeCell ref="AB49:AY49"/>
    <mergeCell ref="BB49:BO49"/>
    <mergeCell ref="BR49:CQ49"/>
    <mergeCell ref="A46:W46"/>
    <mergeCell ref="Y46:AE46"/>
    <mergeCell ref="AG46:AX46"/>
    <mergeCell ref="BQ46:BZ46"/>
    <mergeCell ref="CC46:CU46"/>
    <mergeCell ref="CY46:FH47"/>
    <mergeCell ref="A43:U44"/>
    <mergeCell ref="EB44:ER44"/>
    <mergeCell ref="EU44:FF44"/>
    <mergeCell ref="FI44:GE44"/>
    <mergeCell ref="A45:W45"/>
    <mergeCell ref="Y45:AE45"/>
    <mergeCell ref="AG45:AX45"/>
    <mergeCell ref="BQ45:BZ45"/>
    <mergeCell ref="CC45:CU45"/>
    <mergeCell ref="AR42:AZ43"/>
    <mergeCell ref="BA42:BW44"/>
    <mergeCell ref="CY42:EA43"/>
    <mergeCell ref="EB42:ER43"/>
    <mergeCell ref="EU42:FF43"/>
    <mergeCell ref="FI42:GE43"/>
    <mergeCell ref="EU39:EW40"/>
    <mergeCell ref="EX39:FP40"/>
    <mergeCell ref="FS39:FZ40"/>
    <mergeCell ref="GA39:GD40"/>
    <mergeCell ref="AV40:BU40"/>
    <mergeCell ref="AB41:BV41"/>
    <mergeCell ref="BW41:CB41"/>
    <mergeCell ref="CC41:CK41"/>
    <mergeCell ref="DJ41:GE41"/>
    <mergeCell ref="AV39:BU39"/>
    <mergeCell ref="CE39:CU39"/>
    <mergeCell ref="CY39:DS40"/>
    <mergeCell ref="DT39:EI40"/>
    <mergeCell ref="EK39:EO40"/>
    <mergeCell ref="EP39:ET40"/>
    <mergeCell ref="FC36:FM37"/>
    <mergeCell ref="J37:BU37"/>
    <mergeCell ref="CM37:DP37"/>
    <mergeCell ref="EI37:EK37"/>
    <mergeCell ref="M38:BU38"/>
    <mergeCell ref="CR38:DP38"/>
    <mergeCell ref="EO38:FB38"/>
    <mergeCell ref="FC38:FM38"/>
    <mergeCell ref="CL35:DP35"/>
    <mergeCell ref="EI35:EK35"/>
    <mergeCell ref="W36:BU36"/>
    <mergeCell ref="CR36:DP36"/>
    <mergeCell ref="DS36:EH37"/>
    <mergeCell ref="EO36:FB37"/>
    <mergeCell ref="AS32:BU32"/>
    <mergeCell ref="CV32:EL32"/>
    <mergeCell ref="EO32:FB32"/>
    <mergeCell ref="FC32:FM32"/>
    <mergeCell ref="N33:BU33"/>
    <mergeCell ref="EO33:FB35"/>
    <mergeCell ref="FC33:FM35"/>
    <mergeCell ref="N34:BU34"/>
    <mergeCell ref="DS34:EH35"/>
    <mergeCell ref="Q35:BU35"/>
    <mergeCell ref="DH31:DR31"/>
    <mergeCell ref="DS31:EC31"/>
    <mergeCell ref="ED31:EN31"/>
    <mergeCell ref="EO31:FB31"/>
    <mergeCell ref="FC31:FM31"/>
    <mergeCell ref="FN31:GE31"/>
    <mergeCell ref="A31:K31"/>
    <mergeCell ref="L31:AE31"/>
    <mergeCell ref="AF31:AR31"/>
    <mergeCell ref="AS31:BD31"/>
    <mergeCell ref="BE31:BT31"/>
    <mergeCell ref="BU31:DG31"/>
    <mergeCell ref="DH30:DR30"/>
    <mergeCell ref="DS30:EC30"/>
    <mergeCell ref="ED30:EN30"/>
    <mergeCell ref="EO30:FB30"/>
    <mergeCell ref="FC30:FM30"/>
    <mergeCell ref="FN30:GE30"/>
    <mergeCell ref="A30:K30"/>
    <mergeCell ref="L30:AE30"/>
    <mergeCell ref="AF30:AR30"/>
    <mergeCell ref="AS30:BD30"/>
    <mergeCell ref="BE30:BT30"/>
    <mergeCell ref="BU30:DG30"/>
    <mergeCell ref="DH29:DR29"/>
    <mergeCell ref="DS29:EC29"/>
    <mergeCell ref="ED29:EN29"/>
    <mergeCell ref="EO29:FB29"/>
    <mergeCell ref="FC29:FM29"/>
    <mergeCell ref="FN29:GE29"/>
    <mergeCell ref="A29:K29"/>
    <mergeCell ref="L29:AE29"/>
    <mergeCell ref="AF29:AR29"/>
    <mergeCell ref="AS29:BD29"/>
    <mergeCell ref="BE29:BT29"/>
    <mergeCell ref="BU29:DG29"/>
    <mergeCell ref="DH28:DR28"/>
    <mergeCell ref="DS28:EC28"/>
    <mergeCell ref="ED28:EN28"/>
    <mergeCell ref="EO28:FB28"/>
    <mergeCell ref="FC28:FM28"/>
    <mergeCell ref="FN28:GE28"/>
    <mergeCell ref="A28:K28"/>
    <mergeCell ref="L28:AE28"/>
    <mergeCell ref="AF28:AR28"/>
    <mergeCell ref="AS28:BD28"/>
    <mergeCell ref="BE28:BT28"/>
    <mergeCell ref="BU28:DG28"/>
    <mergeCell ref="DH27:DR27"/>
    <mergeCell ref="DS27:EC27"/>
    <mergeCell ref="ED27:EN27"/>
    <mergeCell ref="EO27:FB27"/>
    <mergeCell ref="FC27:FM27"/>
    <mergeCell ref="FN27:GE27"/>
    <mergeCell ref="A27:K27"/>
    <mergeCell ref="L27:AE27"/>
    <mergeCell ref="AF27:AR27"/>
    <mergeCell ref="AS27:BD27"/>
    <mergeCell ref="BE27:BT27"/>
    <mergeCell ref="BU27:DG27"/>
    <mergeCell ref="DH26:DR26"/>
    <mergeCell ref="DS26:EC26"/>
    <mergeCell ref="ED26:EN26"/>
    <mergeCell ref="EO26:FB26"/>
    <mergeCell ref="FC26:FM26"/>
    <mergeCell ref="FN26:GE26"/>
    <mergeCell ref="A26:K26"/>
    <mergeCell ref="L26:AE26"/>
    <mergeCell ref="AF26:AR26"/>
    <mergeCell ref="AS26:BD26"/>
    <mergeCell ref="BE26:BT26"/>
    <mergeCell ref="BU26:DG26"/>
    <mergeCell ref="DH25:DR25"/>
    <mergeCell ref="DS25:EC25"/>
    <mergeCell ref="ED25:EN25"/>
    <mergeCell ref="EO25:FB25"/>
    <mergeCell ref="FC25:FM25"/>
    <mergeCell ref="FN25:GE25"/>
    <mergeCell ref="A25:K25"/>
    <mergeCell ref="L25:AE25"/>
    <mergeCell ref="AF25:AR25"/>
    <mergeCell ref="AS25:BD25"/>
    <mergeCell ref="BE25:BT25"/>
    <mergeCell ref="BU25:DG25"/>
    <mergeCell ref="DH24:DR24"/>
    <mergeCell ref="DS24:EC24"/>
    <mergeCell ref="ED24:EN24"/>
    <mergeCell ref="EO24:FB24"/>
    <mergeCell ref="FC24:FM24"/>
    <mergeCell ref="FN24:GE24"/>
    <mergeCell ref="A24:K24"/>
    <mergeCell ref="L24:AE24"/>
    <mergeCell ref="AF24:AR24"/>
    <mergeCell ref="AS24:BD24"/>
    <mergeCell ref="BE24:BT24"/>
    <mergeCell ref="BU24:DG24"/>
    <mergeCell ref="DH23:DR23"/>
    <mergeCell ref="DS23:EC23"/>
    <mergeCell ref="ED23:EN23"/>
    <mergeCell ref="EO23:FB23"/>
    <mergeCell ref="FC23:FM23"/>
    <mergeCell ref="FN23:GE23"/>
    <mergeCell ref="A23:K23"/>
    <mergeCell ref="L23:AE23"/>
    <mergeCell ref="AF23:AR23"/>
    <mergeCell ref="AS23:BD23"/>
    <mergeCell ref="BE23:BT23"/>
    <mergeCell ref="BU23:DG23"/>
    <mergeCell ref="DH22:DR22"/>
    <mergeCell ref="DS22:EC22"/>
    <mergeCell ref="ED22:EN22"/>
    <mergeCell ref="EO22:FB22"/>
    <mergeCell ref="FC22:FM22"/>
    <mergeCell ref="FN22:GE22"/>
    <mergeCell ref="A22:K22"/>
    <mergeCell ref="L22:AE22"/>
    <mergeCell ref="AF22:AR22"/>
    <mergeCell ref="AS22:BD22"/>
    <mergeCell ref="BE22:BT22"/>
    <mergeCell ref="BU22:DG22"/>
    <mergeCell ref="DH21:DR21"/>
    <mergeCell ref="DS21:EC21"/>
    <mergeCell ref="ED21:EN21"/>
    <mergeCell ref="EO21:FB21"/>
    <mergeCell ref="FC21:FM21"/>
    <mergeCell ref="FN21:GE21"/>
    <mergeCell ref="A21:K21"/>
    <mergeCell ref="L21:AE21"/>
    <mergeCell ref="AF21:AR21"/>
    <mergeCell ref="AS21:BD21"/>
    <mergeCell ref="BE21:BT21"/>
    <mergeCell ref="BU21:DG21"/>
    <mergeCell ref="DH20:DR20"/>
    <mergeCell ref="DS20:EC20"/>
    <mergeCell ref="ED20:EN20"/>
    <mergeCell ref="EO20:FB20"/>
    <mergeCell ref="FC20:FM20"/>
    <mergeCell ref="FN20:GE20"/>
    <mergeCell ref="A20:K20"/>
    <mergeCell ref="L20:AE20"/>
    <mergeCell ref="AF20:AR20"/>
    <mergeCell ref="AS20:BD20"/>
    <mergeCell ref="BE20:BT20"/>
    <mergeCell ref="BU20:DG20"/>
    <mergeCell ref="DH18:DR18"/>
    <mergeCell ref="DS18:EC18"/>
    <mergeCell ref="ED18:EN18"/>
    <mergeCell ref="EO18:FB18"/>
    <mergeCell ref="FC19:FM19"/>
    <mergeCell ref="FC18:FM18"/>
    <mergeCell ref="FN18:GE18"/>
    <mergeCell ref="A18:K18"/>
    <mergeCell ref="L18:AE18"/>
    <mergeCell ref="AF18:AR18"/>
    <mergeCell ref="AS18:BD18"/>
    <mergeCell ref="BE18:BT18"/>
    <mergeCell ref="BU18:DG18"/>
    <mergeCell ref="FN19:GE19"/>
    <mergeCell ref="A19:K19"/>
    <mergeCell ref="L19:AE19"/>
    <mergeCell ref="AF19:AR19"/>
    <mergeCell ref="AS19:BD19"/>
    <mergeCell ref="BE19:BT19"/>
    <mergeCell ref="BU19:DG19"/>
    <mergeCell ref="DH19:DR19"/>
    <mergeCell ref="DS19:EC19"/>
    <mergeCell ref="ED19:EN19"/>
    <mergeCell ref="EO19:FB19"/>
    <mergeCell ref="FC17:FM17"/>
    <mergeCell ref="FN17:GE17"/>
    <mergeCell ref="A17:K17"/>
    <mergeCell ref="L17:AE17"/>
    <mergeCell ref="AF17:AR17"/>
    <mergeCell ref="AS17:BD17"/>
    <mergeCell ref="BE17:BT17"/>
    <mergeCell ref="BU17:DG17"/>
    <mergeCell ref="DH17:DR17"/>
    <mergeCell ref="DS17:EC17"/>
    <mergeCell ref="ED17:EN17"/>
    <mergeCell ref="EO17:FB17"/>
    <mergeCell ref="ED16:EN16"/>
    <mergeCell ref="EO16:FB16"/>
    <mergeCell ref="A12:O13"/>
    <mergeCell ref="V12:EZ12"/>
    <mergeCell ref="FA12:FL13"/>
    <mergeCell ref="FM12:GE13"/>
    <mergeCell ref="P13:EZ13"/>
    <mergeCell ref="V14:EZ14"/>
    <mergeCell ref="A15:GE15"/>
    <mergeCell ref="A16:K16"/>
    <mergeCell ref="L16:AE16"/>
    <mergeCell ref="AF16:AR16"/>
    <mergeCell ref="AS16:BD16"/>
    <mergeCell ref="BE16:BT16"/>
    <mergeCell ref="BU16:DG16"/>
    <mergeCell ref="DH16:DR16"/>
    <mergeCell ref="DS16:EC16"/>
    <mergeCell ref="FC16:FM16"/>
    <mergeCell ref="FN16:GE16"/>
    <mergeCell ref="A11:O11"/>
    <mergeCell ref="P11:EZ11"/>
    <mergeCell ref="P9:EZ9"/>
    <mergeCell ref="FA9:FL9"/>
    <mergeCell ref="FM9:GE9"/>
    <mergeCell ref="V10:EZ10"/>
    <mergeCell ref="FA10:FL11"/>
    <mergeCell ref="FM10:GE11"/>
    <mergeCell ref="FM4:GE4"/>
    <mergeCell ref="FM5:GE5"/>
    <mergeCell ref="DR6:FG6"/>
    <mergeCell ref="FM6:GE6"/>
    <mergeCell ref="DR7:FG7"/>
    <mergeCell ref="FM7:FR8"/>
    <mergeCell ref="FS7:FY8"/>
    <mergeCell ref="FZ7:GE8"/>
  </mergeCells>
  <hyperlinks>
    <hyperlink ref="BD6" r:id="rId1" xr:uid="{00000000-0004-0000-0500-000000000000}"/>
  </hyperlinks>
  <pageMargins left="0.39370078740157483" right="0.19685039370078741" top="0.55118110236220474" bottom="0.15748031496062992" header="0" footer="0"/>
  <pageSetup paperSize="9" scale="72" fitToHeight="2" orientation="landscape" blackAndWhite="1" r:id="rId2"/>
  <rowBreaks count="1" manualBreakCount="1">
    <brk id="52" max="190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CCFFFF"/>
  </sheetPr>
  <dimension ref="A1:GK123"/>
  <sheetViews>
    <sheetView view="pageBreakPreview" topLeftCell="AJ1" zoomScale="130" zoomScaleNormal="115" zoomScaleSheetLayoutView="130" workbookViewId="0">
      <selection activeCell="BU21" sqref="BU21:DG21"/>
    </sheetView>
  </sheetViews>
  <sheetFormatPr defaultRowHeight="14.4" x14ac:dyDescent="0.3"/>
  <cols>
    <col min="1" max="127" width="1" customWidth="1"/>
    <col min="128" max="128" width="1.109375" customWidth="1"/>
    <col min="129" max="186" width="0.6640625" customWidth="1"/>
    <col min="187" max="187" width="2" customWidth="1"/>
    <col min="188" max="190" width="0.33203125" customWidth="1"/>
    <col min="191" max="191" width="1.33203125" customWidth="1"/>
  </cols>
  <sheetData>
    <row r="1" spans="1:191" ht="12" customHeight="1" x14ac:dyDescent="0.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1" t="s">
        <v>48</v>
      </c>
      <c r="ED1" s="40"/>
      <c r="EE1" s="40"/>
      <c r="EF1" s="40"/>
      <c r="EG1" s="40"/>
      <c r="EH1" s="42"/>
      <c r="EI1" s="42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2"/>
    </row>
    <row r="2" spans="1:191" ht="12" customHeight="1" x14ac:dyDescent="0.3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1" t="s">
        <v>49</v>
      </c>
      <c r="ED2" s="40"/>
      <c r="EE2" s="40"/>
      <c r="EF2" s="40"/>
      <c r="EG2" s="40"/>
      <c r="EH2" s="42"/>
      <c r="EI2" s="42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2"/>
    </row>
    <row r="3" spans="1:191" ht="12" customHeigh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1" t="s">
        <v>50</v>
      </c>
      <c r="ED3" s="40"/>
      <c r="EE3" s="40"/>
      <c r="EF3" s="40"/>
      <c r="EG3" s="40"/>
      <c r="EH3" s="42"/>
      <c r="EI3" s="42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2"/>
    </row>
    <row r="4" spans="1:191" ht="15" thickBot="1" x14ac:dyDescent="0.35">
      <c r="A4" s="40"/>
      <c r="B4" s="40"/>
      <c r="C4" s="40"/>
      <c r="D4" s="43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224" t="s">
        <v>51</v>
      </c>
      <c r="FN4" s="225"/>
      <c r="FO4" s="225"/>
      <c r="FP4" s="225"/>
      <c r="FQ4" s="225"/>
      <c r="FR4" s="225"/>
      <c r="FS4" s="225"/>
      <c r="FT4" s="225"/>
      <c r="FU4" s="225"/>
      <c r="FV4" s="225"/>
      <c r="FW4" s="225"/>
      <c r="FX4" s="225"/>
      <c r="FY4" s="225"/>
      <c r="FZ4" s="225"/>
      <c r="GA4" s="225"/>
      <c r="GB4" s="225"/>
      <c r="GC4" s="225"/>
      <c r="GD4" s="225"/>
      <c r="GE4" s="226"/>
      <c r="GF4" s="40"/>
      <c r="GG4" s="40"/>
      <c r="GH4" s="40"/>
      <c r="GI4" s="42"/>
    </row>
    <row r="5" spans="1:191" x14ac:dyDescent="0.3">
      <c r="A5" s="40"/>
      <c r="B5" s="40"/>
      <c r="C5" s="40"/>
      <c r="D5" s="44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5" t="s">
        <v>52</v>
      </c>
      <c r="EQ5" s="40"/>
      <c r="ER5" s="40"/>
      <c r="ES5" s="42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227" t="s">
        <v>53</v>
      </c>
      <c r="FN5" s="228"/>
      <c r="FO5" s="228"/>
      <c r="FP5" s="228"/>
      <c r="FQ5" s="228"/>
      <c r="FR5" s="228"/>
      <c r="FS5" s="228"/>
      <c r="FT5" s="228"/>
      <c r="FU5" s="228"/>
      <c r="FV5" s="228"/>
      <c r="FW5" s="228"/>
      <c r="FX5" s="228"/>
      <c r="FY5" s="228"/>
      <c r="FZ5" s="228"/>
      <c r="GA5" s="228"/>
      <c r="GB5" s="228"/>
      <c r="GC5" s="228"/>
      <c r="GD5" s="228"/>
      <c r="GE5" s="229"/>
      <c r="GF5" s="40"/>
      <c r="GG5" s="40"/>
      <c r="GH5" s="40"/>
      <c r="GI5" s="42"/>
    </row>
    <row r="6" spans="1:191" ht="17.399999999999999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6" t="s">
        <v>54</v>
      </c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230" t="s">
        <v>55</v>
      </c>
      <c r="DS6" s="230"/>
      <c r="DT6" s="230"/>
      <c r="DU6" s="230"/>
      <c r="DV6" s="230"/>
      <c r="DW6" s="230"/>
      <c r="DX6" s="230"/>
      <c r="DY6" s="230"/>
      <c r="DZ6" s="230"/>
      <c r="EA6" s="230"/>
      <c r="EB6" s="230"/>
      <c r="EC6" s="230"/>
      <c r="ED6" s="230"/>
      <c r="EE6" s="230"/>
      <c r="EF6" s="230"/>
      <c r="EG6" s="230"/>
      <c r="EH6" s="230"/>
      <c r="EI6" s="230"/>
      <c r="EJ6" s="230"/>
      <c r="EK6" s="230"/>
      <c r="EL6" s="230"/>
      <c r="EM6" s="230"/>
      <c r="EN6" s="230"/>
      <c r="EO6" s="230"/>
      <c r="EP6" s="230"/>
      <c r="EQ6" s="230"/>
      <c r="ER6" s="230"/>
      <c r="ES6" s="230"/>
      <c r="ET6" s="230"/>
      <c r="EU6" s="230"/>
      <c r="EV6" s="230"/>
      <c r="EW6" s="230"/>
      <c r="EX6" s="230"/>
      <c r="EY6" s="230"/>
      <c r="EZ6" s="230"/>
      <c r="FA6" s="230"/>
      <c r="FB6" s="230"/>
      <c r="FC6" s="230"/>
      <c r="FD6" s="230"/>
      <c r="FE6" s="230"/>
      <c r="FF6" s="230"/>
      <c r="FG6" s="230"/>
      <c r="FH6" s="40"/>
      <c r="FI6" s="40" t="s">
        <v>56</v>
      </c>
      <c r="FJ6" s="40"/>
      <c r="FK6" s="40"/>
      <c r="FL6" s="40"/>
      <c r="FM6" s="231" t="s">
        <v>289</v>
      </c>
      <c r="FN6" s="232"/>
      <c r="FO6" s="232"/>
      <c r="FP6" s="232"/>
      <c r="FQ6" s="232"/>
      <c r="FR6" s="232"/>
      <c r="FS6" s="232"/>
      <c r="FT6" s="232"/>
      <c r="FU6" s="232"/>
      <c r="FV6" s="232"/>
      <c r="FW6" s="232"/>
      <c r="FX6" s="232"/>
      <c r="FY6" s="232"/>
      <c r="FZ6" s="232"/>
      <c r="GA6" s="232"/>
      <c r="GB6" s="232"/>
      <c r="GC6" s="232"/>
      <c r="GD6" s="232"/>
      <c r="GE6" s="233"/>
      <c r="GF6" s="40"/>
      <c r="GG6" s="40"/>
      <c r="GH6" s="40"/>
      <c r="GI6" s="42"/>
    </row>
    <row r="7" spans="1:191" ht="10.199999999999999" customHeight="1" x14ac:dyDescent="0.3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234" t="s">
        <v>57</v>
      </c>
      <c r="DS7" s="234"/>
      <c r="DT7" s="234"/>
      <c r="DU7" s="234"/>
      <c r="DV7" s="234"/>
      <c r="DW7" s="234"/>
      <c r="DX7" s="234"/>
      <c r="DY7" s="234"/>
      <c r="DZ7" s="234"/>
      <c r="EA7" s="234"/>
      <c r="EB7" s="234"/>
      <c r="EC7" s="234"/>
      <c r="ED7" s="234"/>
      <c r="EE7" s="234"/>
      <c r="EF7" s="234"/>
      <c r="EG7" s="234"/>
      <c r="EH7" s="234"/>
      <c r="EI7" s="234"/>
      <c r="EJ7" s="234"/>
      <c r="EK7" s="234"/>
      <c r="EL7" s="234"/>
      <c r="EM7" s="234"/>
      <c r="EN7" s="234"/>
      <c r="EO7" s="234"/>
      <c r="EP7" s="234"/>
      <c r="EQ7" s="234"/>
      <c r="ER7" s="234"/>
      <c r="ES7" s="234"/>
      <c r="ET7" s="234"/>
      <c r="EU7" s="234"/>
      <c r="EV7" s="234"/>
      <c r="EW7" s="234"/>
      <c r="EX7" s="234"/>
      <c r="EY7" s="234"/>
      <c r="EZ7" s="234"/>
      <c r="FA7" s="234"/>
      <c r="FB7" s="234"/>
      <c r="FC7" s="234"/>
      <c r="FD7" s="234"/>
      <c r="FE7" s="234"/>
      <c r="FF7" s="234"/>
      <c r="FG7" s="234"/>
      <c r="FH7" s="40"/>
      <c r="FI7" s="40"/>
      <c r="FJ7" s="40"/>
      <c r="FK7" s="40"/>
      <c r="FL7" s="40"/>
      <c r="FM7" s="235" t="s">
        <v>58</v>
      </c>
      <c r="FN7" s="236"/>
      <c r="FO7" s="236"/>
      <c r="FP7" s="236"/>
      <c r="FQ7" s="236"/>
      <c r="FR7" s="236"/>
      <c r="FS7" s="239" t="s">
        <v>264</v>
      </c>
      <c r="FT7" s="240"/>
      <c r="FU7" s="240"/>
      <c r="FV7" s="240"/>
      <c r="FW7" s="240"/>
      <c r="FX7" s="240"/>
      <c r="FY7" s="241"/>
      <c r="FZ7" s="236" t="s">
        <v>59</v>
      </c>
      <c r="GA7" s="236"/>
      <c r="GB7" s="236"/>
      <c r="GC7" s="236"/>
      <c r="GD7" s="236"/>
      <c r="GE7" s="245"/>
      <c r="GF7" s="40"/>
      <c r="GG7" s="40"/>
      <c r="GH7" s="40"/>
      <c r="GI7" s="42"/>
    </row>
    <row r="8" spans="1:191" ht="10.199999999999999" customHeigh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7"/>
      <c r="DS8" s="47"/>
      <c r="DT8" s="47"/>
      <c r="DU8" s="47"/>
      <c r="DV8" s="47"/>
      <c r="DW8" s="47"/>
      <c r="DX8" s="47"/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47"/>
      <c r="FC8" s="47"/>
      <c r="FD8" s="47"/>
      <c r="FE8" s="47"/>
      <c r="FF8" s="47"/>
      <c r="FG8" s="47"/>
      <c r="FH8" s="40"/>
      <c r="FI8" s="40"/>
      <c r="FJ8" s="40"/>
      <c r="FK8" s="48" t="s">
        <v>60</v>
      </c>
      <c r="FL8" s="40"/>
      <c r="FM8" s="237"/>
      <c r="FN8" s="238"/>
      <c r="FO8" s="238"/>
      <c r="FP8" s="238"/>
      <c r="FQ8" s="238"/>
      <c r="FR8" s="238"/>
      <c r="FS8" s="242"/>
      <c r="FT8" s="243"/>
      <c r="FU8" s="243"/>
      <c r="FV8" s="243"/>
      <c r="FW8" s="243"/>
      <c r="FX8" s="243"/>
      <c r="FY8" s="244"/>
      <c r="FZ8" s="238"/>
      <c r="GA8" s="238"/>
      <c r="GB8" s="238"/>
      <c r="GC8" s="238"/>
      <c r="GD8" s="238"/>
      <c r="GE8" s="246"/>
      <c r="GF8" s="40"/>
      <c r="GG8" s="40"/>
      <c r="GH8" s="40"/>
      <c r="GI8" s="42"/>
    </row>
    <row r="9" spans="1:191" ht="13.2" customHeight="1" x14ac:dyDescent="0.3">
      <c r="A9" s="40" t="s">
        <v>61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214" t="s">
        <v>332</v>
      </c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  <c r="BX9" s="214"/>
      <c r="BY9" s="214"/>
      <c r="BZ9" s="214"/>
      <c r="CA9" s="214"/>
      <c r="CB9" s="214"/>
      <c r="CC9" s="214"/>
      <c r="CD9" s="214"/>
      <c r="CE9" s="214"/>
      <c r="CF9" s="214"/>
      <c r="CG9" s="214"/>
      <c r="CH9" s="214"/>
      <c r="CI9" s="214"/>
      <c r="CJ9" s="214"/>
      <c r="CK9" s="214"/>
      <c r="CL9" s="214"/>
      <c r="CM9" s="214"/>
      <c r="CN9" s="214"/>
      <c r="CO9" s="214"/>
      <c r="CP9" s="214"/>
      <c r="CQ9" s="214"/>
      <c r="CR9" s="214"/>
      <c r="CS9" s="214"/>
      <c r="CT9" s="214"/>
      <c r="CU9" s="214"/>
      <c r="CV9" s="214"/>
      <c r="CW9" s="214"/>
      <c r="CX9" s="214"/>
      <c r="CY9" s="214"/>
      <c r="CZ9" s="214"/>
      <c r="DA9" s="214"/>
      <c r="DB9" s="214"/>
      <c r="DC9" s="214"/>
      <c r="DD9" s="214"/>
      <c r="DE9" s="214"/>
      <c r="DF9" s="214"/>
      <c r="DG9" s="214"/>
      <c r="DH9" s="214"/>
      <c r="DI9" s="214"/>
      <c r="DJ9" s="214"/>
      <c r="DK9" s="214"/>
      <c r="DL9" s="214"/>
      <c r="DM9" s="214"/>
      <c r="DN9" s="214"/>
      <c r="DO9" s="214"/>
      <c r="DP9" s="214"/>
      <c r="DQ9" s="214"/>
      <c r="DR9" s="214"/>
      <c r="DS9" s="214"/>
      <c r="DT9" s="214"/>
      <c r="DU9" s="214"/>
      <c r="DV9" s="214"/>
      <c r="DW9" s="214"/>
      <c r="DX9" s="214"/>
      <c r="DY9" s="214"/>
      <c r="DZ9" s="214"/>
      <c r="EA9" s="214"/>
      <c r="EB9" s="214"/>
      <c r="EC9" s="214"/>
      <c r="ED9" s="214"/>
      <c r="EE9" s="214"/>
      <c r="EF9" s="214"/>
      <c r="EG9" s="214"/>
      <c r="EH9" s="214"/>
      <c r="EI9" s="214"/>
      <c r="EJ9" s="214"/>
      <c r="EK9" s="214"/>
      <c r="EL9" s="214"/>
      <c r="EM9" s="214"/>
      <c r="EN9" s="214"/>
      <c r="EO9" s="214"/>
      <c r="EP9" s="214"/>
      <c r="EQ9" s="214"/>
      <c r="ER9" s="214"/>
      <c r="ES9" s="214"/>
      <c r="ET9" s="214"/>
      <c r="EU9" s="214"/>
      <c r="EV9" s="214"/>
      <c r="EW9" s="214"/>
      <c r="EX9" s="214"/>
      <c r="EY9" s="214"/>
      <c r="EZ9" s="214"/>
      <c r="FA9" s="215" t="s">
        <v>63</v>
      </c>
      <c r="FB9" s="215"/>
      <c r="FC9" s="215"/>
      <c r="FD9" s="215"/>
      <c r="FE9" s="215"/>
      <c r="FF9" s="215"/>
      <c r="FG9" s="215"/>
      <c r="FH9" s="215"/>
      <c r="FI9" s="215"/>
      <c r="FJ9" s="215"/>
      <c r="FK9" s="215"/>
      <c r="FL9" s="216"/>
      <c r="FM9" s="217"/>
      <c r="FN9" s="218"/>
      <c r="FO9" s="218"/>
      <c r="FP9" s="218"/>
      <c r="FQ9" s="218"/>
      <c r="FR9" s="218"/>
      <c r="FS9" s="218"/>
      <c r="FT9" s="218"/>
      <c r="FU9" s="218"/>
      <c r="FV9" s="218"/>
      <c r="FW9" s="218"/>
      <c r="FX9" s="218"/>
      <c r="FY9" s="218"/>
      <c r="FZ9" s="218"/>
      <c r="GA9" s="218"/>
      <c r="GB9" s="218"/>
      <c r="GC9" s="218"/>
      <c r="GD9" s="218"/>
      <c r="GE9" s="219"/>
      <c r="GF9" s="40"/>
      <c r="GG9" s="40"/>
      <c r="GH9" s="40"/>
      <c r="GI9" s="42"/>
    </row>
    <row r="10" spans="1:191" ht="6.6" customHeight="1" x14ac:dyDescent="0.3">
      <c r="A10" s="42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0"/>
      <c r="V10" s="220" t="s">
        <v>64</v>
      </c>
      <c r="W10" s="220"/>
      <c r="X10" s="220"/>
      <c r="Y10" s="220"/>
      <c r="Z10" s="220"/>
      <c r="AA10" s="220"/>
      <c r="AB10" s="220"/>
      <c r="AC10" s="220"/>
      <c r="AD10" s="220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220"/>
      <c r="CK10" s="220"/>
      <c r="CL10" s="220"/>
      <c r="CM10" s="220"/>
      <c r="CN10" s="220"/>
      <c r="CO10" s="220"/>
      <c r="CP10" s="220"/>
      <c r="CQ10" s="220"/>
      <c r="CR10" s="220"/>
      <c r="CS10" s="220"/>
      <c r="CT10" s="220"/>
      <c r="CU10" s="220"/>
      <c r="CV10" s="220"/>
      <c r="CW10" s="220"/>
      <c r="CX10" s="220"/>
      <c r="CY10" s="220"/>
      <c r="CZ10" s="220"/>
      <c r="DA10" s="220"/>
      <c r="DB10" s="220"/>
      <c r="DC10" s="220"/>
      <c r="DD10" s="220"/>
      <c r="DE10" s="220"/>
      <c r="DF10" s="220"/>
      <c r="DG10" s="220"/>
      <c r="DH10" s="220"/>
      <c r="DI10" s="220"/>
      <c r="DJ10" s="220"/>
      <c r="DK10" s="220"/>
      <c r="DL10" s="220"/>
      <c r="DM10" s="220"/>
      <c r="DN10" s="220"/>
      <c r="DO10" s="220"/>
      <c r="DP10" s="220"/>
      <c r="DQ10" s="220"/>
      <c r="DR10" s="220"/>
      <c r="DS10" s="220"/>
      <c r="DT10" s="220"/>
      <c r="DU10" s="220"/>
      <c r="DV10" s="220"/>
      <c r="DW10" s="220"/>
      <c r="DX10" s="220"/>
      <c r="DY10" s="220"/>
      <c r="DZ10" s="220"/>
      <c r="EA10" s="220"/>
      <c r="EB10" s="220"/>
      <c r="EC10" s="220"/>
      <c r="ED10" s="220"/>
      <c r="EE10" s="220"/>
      <c r="EF10" s="220"/>
      <c r="EG10" s="220"/>
      <c r="EH10" s="220"/>
      <c r="EI10" s="220"/>
      <c r="EJ10" s="220"/>
      <c r="EK10" s="220"/>
      <c r="EL10" s="220"/>
      <c r="EM10" s="220"/>
      <c r="EN10" s="220"/>
      <c r="EO10" s="220"/>
      <c r="EP10" s="220"/>
      <c r="EQ10" s="220"/>
      <c r="ER10" s="220"/>
      <c r="ES10" s="220"/>
      <c r="ET10" s="220"/>
      <c r="EU10" s="220"/>
      <c r="EV10" s="220"/>
      <c r="EW10" s="220"/>
      <c r="EX10" s="220"/>
      <c r="EY10" s="220"/>
      <c r="EZ10" s="220"/>
      <c r="FA10" s="215" t="s">
        <v>63</v>
      </c>
      <c r="FB10" s="215"/>
      <c r="FC10" s="215"/>
      <c r="FD10" s="215"/>
      <c r="FE10" s="215"/>
      <c r="FF10" s="215"/>
      <c r="FG10" s="215"/>
      <c r="FH10" s="215"/>
      <c r="FI10" s="215"/>
      <c r="FJ10" s="215"/>
      <c r="FK10" s="215"/>
      <c r="FL10" s="216"/>
      <c r="FM10" s="221"/>
      <c r="FN10" s="222"/>
      <c r="FO10" s="222"/>
      <c r="FP10" s="222"/>
      <c r="FQ10" s="222"/>
      <c r="FR10" s="222"/>
      <c r="FS10" s="222"/>
      <c r="FT10" s="222"/>
      <c r="FU10" s="222"/>
      <c r="FV10" s="222"/>
      <c r="FW10" s="222"/>
      <c r="FX10" s="222"/>
      <c r="FY10" s="222"/>
      <c r="FZ10" s="222"/>
      <c r="GA10" s="222"/>
      <c r="GB10" s="222"/>
      <c r="GC10" s="222"/>
      <c r="GD10" s="222"/>
      <c r="GE10" s="223"/>
      <c r="GF10" s="40"/>
      <c r="GG10" s="40"/>
      <c r="GH10" s="40"/>
      <c r="GI10" s="42"/>
    </row>
    <row r="11" spans="1:191" ht="12.6" customHeight="1" x14ac:dyDescent="0.3">
      <c r="A11" s="213" t="s">
        <v>65</v>
      </c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4" t="s">
        <v>62</v>
      </c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/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5"/>
      <c r="FB11" s="215"/>
      <c r="FC11" s="215"/>
      <c r="FD11" s="215"/>
      <c r="FE11" s="215"/>
      <c r="FF11" s="215"/>
      <c r="FG11" s="215"/>
      <c r="FH11" s="215"/>
      <c r="FI11" s="215"/>
      <c r="FJ11" s="215"/>
      <c r="FK11" s="215"/>
      <c r="FL11" s="216"/>
      <c r="FM11" s="217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/>
      <c r="GE11" s="219"/>
      <c r="GF11" s="40"/>
      <c r="GG11" s="40"/>
      <c r="GH11" s="40"/>
      <c r="GI11" s="42"/>
    </row>
    <row r="12" spans="1:191" ht="6.6" customHeight="1" x14ac:dyDescent="0.3">
      <c r="A12" s="251" t="s">
        <v>66</v>
      </c>
      <c r="B12" s="251"/>
      <c r="C12" s="251"/>
      <c r="D12" s="251"/>
      <c r="E12" s="251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40"/>
      <c r="Q12" s="40"/>
      <c r="R12" s="40"/>
      <c r="S12" s="40"/>
      <c r="T12" s="40"/>
      <c r="U12" s="40"/>
      <c r="V12" s="252" t="s">
        <v>64</v>
      </c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0"/>
      <c r="DQ12" s="220"/>
      <c r="DR12" s="220"/>
      <c r="DS12" s="220"/>
      <c r="DT12" s="220"/>
      <c r="DU12" s="220"/>
      <c r="DV12" s="220"/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15" t="s">
        <v>63</v>
      </c>
      <c r="FB12" s="215"/>
      <c r="FC12" s="215"/>
      <c r="FD12" s="215"/>
      <c r="FE12" s="215"/>
      <c r="FF12" s="215"/>
      <c r="FG12" s="215"/>
      <c r="FH12" s="215"/>
      <c r="FI12" s="215"/>
      <c r="FJ12" s="215"/>
      <c r="FK12" s="215"/>
      <c r="FL12" s="216"/>
      <c r="FM12" s="221"/>
      <c r="FN12" s="222"/>
      <c r="FO12" s="222"/>
      <c r="FP12" s="222"/>
      <c r="FQ12" s="222"/>
      <c r="FR12" s="222"/>
      <c r="FS12" s="222"/>
      <c r="FT12" s="222"/>
      <c r="FU12" s="222"/>
      <c r="FV12" s="222"/>
      <c r="FW12" s="222"/>
      <c r="FX12" s="222"/>
      <c r="FY12" s="222"/>
      <c r="FZ12" s="222"/>
      <c r="GA12" s="222"/>
      <c r="GB12" s="222"/>
      <c r="GC12" s="222"/>
      <c r="GD12" s="222"/>
      <c r="GE12" s="223"/>
      <c r="GF12" s="40"/>
      <c r="GG12" s="40"/>
      <c r="GH12" s="40"/>
      <c r="GI12" s="42"/>
    </row>
    <row r="13" spans="1:191" ht="12.6" customHeight="1" thickBot="1" x14ac:dyDescent="0.35">
      <c r="A13" s="251"/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6" t="s">
        <v>62</v>
      </c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6"/>
      <c r="FM13" s="253"/>
      <c r="FN13" s="254"/>
      <c r="FO13" s="254"/>
      <c r="FP13" s="254"/>
      <c r="FQ13" s="254"/>
      <c r="FR13" s="254"/>
      <c r="FS13" s="254"/>
      <c r="FT13" s="254"/>
      <c r="FU13" s="254"/>
      <c r="FV13" s="254"/>
      <c r="FW13" s="254"/>
      <c r="FX13" s="254"/>
      <c r="FY13" s="254"/>
      <c r="FZ13" s="254"/>
      <c r="GA13" s="254"/>
      <c r="GB13" s="254"/>
      <c r="GC13" s="254"/>
      <c r="GD13" s="254"/>
      <c r="GE13" s="255"/>
      <c r="GF13" s="40"/>
      <c r="GG13" s="40"/>
      <c r="GH13" s="40"/>
      <c r="GI13" s="42"/>
    </row>
    <row r="14" spans="1:191" ht="7.95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257" t="s">
        <v>67</v>
      </c>
      <c r="W14" s="257"/>
      <c r="X14" s="257"/>
      <c r="Y14" s="257"/>
      <c r="Z14" s="257"/>
      <c r="AA14" s="257"/>
      <c r="AB14" s="257"/>
      <c r="AC14" s="257"/>
      <c r="AD14" s="257"/>
      <c r="AE14" s="257"/>
      <c r="AF14" s="257"/>
      <c r="AG14" s="257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7"/>
      <c r="BI14" s="257"/>
      <c r="BJ14" s="257"/>
      <c r="BK14" s="257"/>
      <c r="BL14" s="257"/>
      <c r="BM14" s="257"/>
      <c r="BN14" s="257"/>
      <c r="BO14" s="257"/>
      <c r="BP14" s="257"/>
      <c r="BQ14" s="257"/>
      <c r="BR14" s="257"/>
      <c r="BS14" s="257"/>
      <c r="BT14" s="257"/>
      <c r="BU14" s="257"/>
      <c r="BV14" s="257"/>
      <c r="BW14" s="257"/>
      <c r="BX14" s="257"/>
      <c r="BY14" s="257"/>
      <c r="BZ14" s="257"/>
      <c r="CA14" s="257"/>
      <c r="CB14" s="257"/>
      <c r="CC14" s="257"/>
      <c r="CD14" s="257"/>
      <c r="CE14" s="257"/>
      <c r="CF14" s="257"/>
      <c r="CG14" s="257"/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  <c r="DI14" s="257"/>
      <c r="DJ14" s="257"/>
      <c r="DK14" s="257"/>
      <c r="DL14" s="257"/>
      <c r="DM14" s="257"/>
      <c r="DN14" s="257"/>
      <c r="DO14" s="257"/>
      <c r="DP14" s="257"/>
      <c r="DQ14" s="257"/>
      <c r="DR14" s="257"/>
      <c r="DS14" s="257"/>
      <c r="DT14" s="257"/>
      <c r="DU14" s="257"/>
      <c r="DV14" s="257"/>
      <c r="DW14" s="257"/>
      <c r="DX14" s="257"/>
      <c r="DY14" s="257"/>
      <c r="DZ14" s="257"/>
      <c r="EA14" s="257"/>
      <c r="EB14" s="257"/>
      <c r="EC14" s="257"/>
      <c r="ED14" s="257"/>
      <c r="EE14" s="257"/>
      <c r="EF14" s="257"/>
      <c r="EG14" s="257"/>
      <c r="EH14" s="257"/>
      <c r="EI14" s="257"/>
      <c r="EJ14" s="257"/>
      <c r="EK14" s="257"/>
      <c r="EL14" s="257"/>
      <c r="EM14" s="257"/>
      <c r="EN14" s="257"/>
      <c r="EO14" s="257"/>
      <c r="EP14" s="257"/>
      <c r="EQ14" s="257"/>
      <c r="ER14" s="257"/>
      <c r="ES14" s="257"/>
      <c r="ET14" s="257"/>
      <c r="EU14" s="257"/>
      <c r="EV14" s="257"/>
      <c r="EW14" s="257"/>
      <c r="EX14" s="257"/>
      <c r="EY14" s="257"/>
      <c r="EZ14" s="257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2"/>
    </row>
    <row r="15" spans="1:191" ht="15" thickBot="1" x14ac:dyDescent="0.35">
      <c r="A15" s="258" t="s">
        <v>68</v>
      </c>
      <c r="B15" s="258"/>
      <c r="C15" s="258"/>
      <c r="D15" s="258"/>
      <c r="E15" s="258"/>
      <c r="F15" s="258"/>
      <c r="G15" s="258"/>
      <c r="H15" s="258"/>
      <c r="I15" s="258"/>
      <c r="J15" s="258"/>
      <c r="K15" s="258"/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  <c r="AB15" s="258"/>
      <c r="AC15" s="258"/>
      <c r="AD15" s="258"/>
      <c r="AE15" s="258"/>
      <c r="AF15" s="258"/>
      <c r="AG15" s="258"/>
      <c r="AH15" s="258"/>
      <c r="AI15" s="258"/>
      <c r="AJ15" s="258"/>
      <c r="AK15" s="258"/>
      <c r="AL15" s="258"/>
      <c r="AM15" s="258"/>
      <c r="AN15" s="258"/>
      <c r="AO15" s="258"/>
      <c r="AP15" s="258"/>
      <c r="AQ15" s="258"/>
      <c r="AR15" s="258"/>
      <c r="AS15" s="258"/>
      <c r="AT15" s="258"/>
      <c r="AU15" s="258"/>
      <c r="AV15" s="258"/>
      <c r="AW15" s="258"/>
      <c r="AX15" s="258"/>
      <c r="AY15" s="258"/>
      <c r="AZ15" s="258"/>
      <c r="BA15" s="258"/>
      <c r="BB15" s="258"/>
      <c r="BC15" s="258"/>
      <c r="BD15" s="258"/>
      <c r="BE15" s="258"/>
      <c r="BF15" s="258"/>
      <c r="BG15" s="258"/>
      <c r="BH15" s="258"/>
      <c r="BI15" s="258"/>
      <c r="BJ15" s="258"/>
      <c r="BK15" s="258"/>
      <c r="BL15" s="258"/>
      <c r="BM15" s="258"/>
      <c r="BN15" s="258"/>
      <c r="BO15" s="258"/>
      <c r="BP15" s="258"/>
      <c r="BQ15" s="258"/>
      <c r="BR15" s="258"/>
      <c r="BS15" s="258"/>
      <c r="BT15" s="258"/>
      <c r="BU15" s="258"/>
      <c r="BV15" s="258"/>
      <c r="BW15" s="258"/>
      <c r="BX15" s="258"/>
      <c r="BY15" s="258"/>
      <c r="BZ15" s="258"/>
      <c r="CA15" s="258"/>
      <c r="CB15" s="258"/>
      <c r="CC15" s="258"/>
      <c r="CD15" s="258"/>
      <c r="CE15" s="258"/>
      <c r="CF15" s="258"/>
      <c r="CG15" s="258"/>
      <c r="CH15" s="258"/>
      <c r="CI15" s="258"/>
      <c r="CJ15" s="258"/>
      <c r="CK15" s="258"/>
      <c r="CL15" s="258"/>
      <c r="CM15" s="258"/>
      <c r="CN15" s="258"/>
      <c r="CO15" s="258"/>
      <c r="CP15" s="258"/>
      <c r="CQ15" s="258"/>
      <c r="CR15" s="258"/>
      <c r="CS15" s="258"/>
      <c r="CT15" s="258"/>
      <c r="CU15" s="258"/>
      <c r="CV15" s="258"/>
      <c r="CW15" s="258"/>
      <c r="CX15" s="258"/>
      <c r="CY15" s="258"/>
      <c r="CZ15" s="258"/>
      <c r="DA15" s="258"/>
      <c r="DB15" s="258"/>
      <c r="DC15" s="258"/>
      <c r="DD15" s="258"/>
      <c r="DE15" s="258"/>
      <c r="DF15" s="258"/>
      <c r="DG15" s="258"/>
      <c r="DH15" s="258"/>
      <c r="DI15" s="258"/>
      <c r="DJ15" s="258"/>
      <c r="DK15" s="258"/>
      <c r="DL15" s="258"/>
      <c r="DM15" s="258"/>
      <c r="DN15" s="258"/>
      <c r="DO15" s="258"/>
      <c r="DP15" s="258"/>
      <c r="DQ15" s="258"/>
      <c r="DR15" s="258"/>
      <c r="DS15" s="258"/>
      <c r="DT15" s="258"/>
      <c r="DU15" s="258"/>
      <c r="DV15" s="258"/>
      <c r="DW15" s="258"/>
      <c r="DX15" s="258"/>
      <c r="DY15" s="258"/>
      <c r="DZ15" s="258"/>
      <c r="EA15" s="258"/>
      <c r="EB15" s="258"/>
      <c r="EC15" s="258"/>
      <c r="ED15" s="258"/>
      <c r="EE15" s="258"/>
      <c r="EF15" s="258"/>
      <c r="EG15" s="258"/>
      <c r="EH15" s="258"/>
      <c r="EI15" s="258"/>
      <c r="EJ15" s="258"/>
      <c r="EK15" s="258"/>
      <c r="EL15" s="258"/>
      <c r="EM15" s="258"/>
      <c r="EN15" s="258"/>
      <c r="EO15" s="258"/>
      <c r="EP15" s="258"/>
      <c r="EQ15" s="258"/>
      <c r="ER15" s="258"/>
      <c r="ES15" s="258"/>
      <c r="ET15" s="258"/>
      <c r="EU15" s="258"/>
      <c r="EV15" s="258"/>
      <c r="EW15" s="258"/>
      <c r="EX15" s="258"/>
      <c r="EY15" s="258"/>
      <c r="EZ15" s="258"/>
      <c r="FA15" s="258"/>
      <c r="FB15" s="258"/>
      <c r="FC15" s="258"/>
      <c r="FD15" s="258"/>
      <c r="FE15" s="258"/>
      <c r="FF15" s="258"/>
      <c r="FG15" s="258"/>
      <c r="FH15" s="258"/>
      <c r="FI15" s="258"/>
      <c r="FJ15" s="258"/>
      <c r="FK15" s="258"/>
      <c r="FL15" s="258"/>
      <c r="FM15" s="258"/>
      <c r="FN15" s="258"/>
      <c r="FO15" s="258"/>
      <c r="FP15" s="258"/>
      <c r="FQ15" s="258"/>
      <c r="FR15" s="258"/>
      <c r="FS15" s="258"/>
      <c r="FT15" s="258"/>
      <c r="FU15" s="258"/>
      <c r="FV15" s="258"/>
      <c r="FW15" s="258"/>
      <c r="FX15" s="258"/>
      <c r="FY15" s="258"/>
      <c r="FZ15" s="258"/>
      <c r="GA15" s="258"/>
      <c r="GB15" s="258"/>
      <c r="GC15" s="258"/>
      <c r="GD15" s="258"/>
      <c r="GE15" s="258"/>
      <c r="GF15" s="40"/>
      <c r="GG15" s="40"/>
      <c r="GH15" s="40"/>
      <c r="GI15" s="42"/>
    </row>
    <row r="16" spans="1:191" ht="28.95" customHeight="1" thickTop="1" x14ac:dyDescent="0.3">
      <c r="A16" s="259" t="s">
        <v>69</v>
      </c>
      <c r="B16" s="248"/>
      <c r="C16" s="248"/>
      <c r="D16" s="248"/>
      <c r="E16" s="248"/>
      <c r="F16" s="248"/>
      <c r="G16" s="248"/>
      <c r="H16" s="248"/>
      <c r="I16" s="248"/>
      <c r="J16" s="248"/>
      <c r="K16" s="248"/>
      <c r="L16" s="259" t="s">
        <v>70</v>
      </c>
      <c r="M16" s="248"/>
      <c r="N16" s="248"/>
      <c r="O16" s="248"/>
      <c r="P16" s="248"/>
      <c r="Q16" s="248"/>
      <c r="R16" s="248"/>
      <c r="S16" s="248"/>
      <c r="T16" s="248"/>
      <c r="U16" s="248"/>
      <c r="V16" s="248"/>
      <c r="W16" s="248"/>
      <c r="X16" s="248"/>
      <c r="Y16" s="248"/>
      <c r="Z16" s="248"/>
      <c r="AA16" s="248"/>
      <c r="AB16" s="248"/>
      <c r="AC16" s="248"/>
      <c r="AD16" s="248"/>
      <c r="AE16" s="249"/>
      <c r="AF16" s="248" t="s">
        <v>71</v>
      </c>
      <c r="AG16" s="248"/>
      <c r="AH16" s="248"/>
      <c r="AI16" s="248"/>
      <c r="AJ16" s="248"/>
      <c r="AK16" s="248"/>
      <c r="AL16" s="248"/>
      <c r="AM16" s="248"/>
      <c r="AN16" s="248"/>
      <c r="AO16" s="248"/>
      <c r="AP16" s="248"/>
      <c r="AQ16" s="248"/>
      <c r="AR16" s="249"/>
      <c r="AS16" s="259" t="s">
        <v>72</v>
      </c>
      <c r="AT16" s="248"/>
      <c r="AU16" s="248"/>
      <c r="AV16" s="248"/>
      <c r="AW16" s="248"/>
      <c r="AX16" s="248"/>
      <c r="AY16" s="248"/>
      <c r="AZ16" s="248"/>
      <c r="BA16" s="248"/>
      <c r="BB16" s="248"/>
      <c r="BC16" s="248"/>
      <c r="BD16" s="249"/>
      <c r="BE16" s="248" t="s">
        <v>73</v>
      </c>
      <c r="BF16" s="248"/>
      <c r="BG16" s="248"/>
      <c r="BH16" s="248"/>
      <c r="BI16" s="248"/>
      <c r="BJ16" s="248"/>
      <c r="BK16" s="248"/>
      <c r="BL16" s="248"/>
      <c r="BM16" s="248"/>
      <c r="BN16" s="248"/>
      <c r="BO16" s="248"/>
      <c r="BP16" s="248"/>
      <c r="BQ16" s="248"/>
      <c r="BR16" s="248"/>
      <c r="BS16" s="248"/>
      <c r="BT16" s="250"/>
      <c r="BU16" s="247" t="s">
        <v>74</v>
      </c>
      <c r="BV16" s="248"/>
      <c r="BW16" s="248"/>
      <c r="BX16" s="248"/>
      <c r="BY16" s="248"/>
      <c r="BZ16" s="248"/>
      <c r="CA16" s="248"/>
      <c r="CB16" s="248"/>
      <c r="CC16" s="248"/>
      <c r="CD16" s="248"/>
      <c r="CE16" s="248"/>
      <c r="CF16" s="248"/>
      <c r="CG16" s="248"/>
      <c r="CH16" s="248"/>
      <c r="CI16" s="248"/>
      <c r="CJ16" s="248"/>
      <c r="CK16" s="248"/>
      <c r="CL16" s="248"/>
      <c r="CM16" s="248"/>
      <c r="CN16" s="248"/>
      <c r="CO16" s="248"/>
      <c r="CP16" s="248"/>
      <c r="CQ16" s="248"/>
      <c r="CR16" s="248"/>
      <c r="CS16" s="248"/>
      <c r="CT16" s="248"/>
      <c r="CU16" s="248"/>
      <c r="CV16" s="248"/>
      <c r="CW16" s="248"/>
      <c r="CX16" s="248"/>
      <c r="CY16" s="248"/>
      <c r="CZ16" s="248"/>
      <c r="DA16" s="248"/>
      <c r="DB16" s="248"/>
      <c r="DC16" s="248"/>
      <c r="DD16" s="248"/>
      <c r="DE16" s="248"/>
      <c r="DF16" s="248"/>
      <c r="DG16" s="250"/>
      <c r="DH16" s="247" t="s">
        <v>75</v>
      </c>
      <c r="DI16" s="248"/>
      <c r="DJ16" s="248"/>
      <c r="DK16" s="248"/>
      <c r="DL16" s="248"/>
      <c r="DM16" s="248"/>
      <c r="DN16" s="248"/>
      <c r="DO16" s="248"/>
      <c r="DP16" s="248"/>
      <c r="DQ16" s="248"/>
      <c r="DR16" s="250"/>
      <c r="DS16" s="247" t="s">
        <v>43</v>
      </c>
      <c r="DT16" s="248"/>
      <c r="DU16" s="248"/>
      <c r="DV16" s="248"/>
      <c r="DW16" s="248"/>
      <c r="DX16" s="248"/>
      <c r="DY16" s="248"/>
      <c r="DZ16" s="248"/>
      <c r="EA16" s="248"/>
      <c r="EB16" s="248"/>
      <c r="EC16" s="250"/>
      <c r="ED16" s="247">
        <v>2</v>
      </c>
      <c r="EE16" s="248"/>
      <c r="EF16" s="248"/>
      <c r="EG16" s="248"/>
      <c r="EH16" s="248"/>
      <c r="EI16" s="248"/>
      <c r="EJ16" s="248"/>
      <c r="EK16" s="248"/>
      <c r="EL16" s="248"/>
      <c r="EM16" s="248"/>
      <c r="EN16" s="249"/>
      <c r="EO16" s="248" t="s">
        <v>288</v>
      </c>
      <c r="EP16" s="248"/>
      <c r="EQ16" s="248"/>
      <c r="ER16" s="248"/>
      <c r="ES16" s="248"/>
      <c r="ET16" s="248"/>
      <c r="EU16" s="248"/>
      <c r="EV16" s="248"/>
      <c r="EW16" s="248"/>
      <c r="EX16" s="248"/>
      <c r="EY16" s="248"/>
      <c r="EZ16" s="248"/>
      <c r="FA16" s="248"/>
      <c r="FB16" s="250"/>
      <c r="FC16" s="247" t="s">
        <v>76</v>
      </c>
      <c r="FD16" s="248"/>
      <c r="FE16" s="248"/>
      <c r="FF16" s="248"/>
      <c r="FG16" s="248"/>
      <c r="FH16" s="248"/>
      <c r="FI16" s="248"/>
      <c r="FJ16" s="248"/>
      <c r="FK16" s="248"/>
      <c r="FL16" s="248"/>
      <c r="FM16" s="250"/>
      <c r="FN16" s="247" t="s">
        <v>77</v>
      </c>
      <c r="FO16" s="248"/>
      <c r="FP16" s="248"/>
      <c r="FQ16" s="248"/>
      <c r="FR16" s="248"/>
      <c r="FS16" s="248"/>
      <c r="FT16" s="248"/>
      <c r="FU16" s="248"/>
      <c r="FV16" s="248"/>
      <c r="FW16" s="248"/>
      <c r="FX16" s="248"/>
      <c r="FY16" s="248"/>
      <c r="FZ16" s="248"/>
      <c r="GA16" s="248"/>
      <c r="GB16" s="248"/>
      <c r="GC16" s="248"/>
      <c r="GD16" s="248"/>
      <c r="GE16" s="249"/>
      <c r="GF16" s="40"/>
      <c r="GG16" s="40"/>
      <c r="GH16" s="40"/>
      <c r="GI16" s="42"/>
    </row>
    <row r="17" spans="1:192" ht="9" customHeight="1" thickBot="1" x14ac:dyDescent="0.35">
      <c r="A17" s="264">
        <v>1</v>
      </c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4">
        <v>2</v>
      </c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261"/>
      <c r="Z17" s="261"/>
      <c r="AA17" s="261"/>
      <c r="AB17" s="261"/>
      <c r="AC17" s="261"/>
      <c r="AD17" s="261"/>
      <c r="AE17" s="263"/>
      <c r="AF17" s="261">
        <v>3</v>
      </c>
      <c r="AG17" s="261"/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3"/>
      <c r="AS17" s="264">
        <v>4</v>
      </c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3"/>
      <c r="BE17" s="261">
        <v>5</v>
      </c>
      <c r="BF17" s="261"/>
      <c r="BG17" s="261"/>
      <c r="BH17" s="261"/>
      <c r="BI17" s="261"/>
      <c r="BJ17" s="261"/>
      <c r="BK17" s="261"/>
      <c r="BL17" s="261"/>
      <c r="BM17" s="261"/>
      <c r="BN17" s="261"/>
      <c r="BO17" s="261"/>
      <c r="BP17" s="261"/>
      <c r="BQ17" s="261"/>
      <c r="BR17" s="261"/>
      <c r="BS17" s="261"/>
      <c r="BT17" s="262"/>
      <c r="BU17" s="260">
        <v>6</v>
      </c>
      <c r="BV17" s="261"/>
      <c r="BW17" s="261"/>
      <c r="BX17" s="261"/>
      <c r="BY17" s="261"/>
      <c r="BZ17" s="261"/>
      <c r="CA17" s="261"/>
      <c r="CB17" s="261"/>
      <c r="CC17" s="261"/>
      <c r="CD17" s="261"/>
      <c r="CE17" s="261"/>
      <c r="CF17" s="261"/>
      <c r="CG17" s="261"/>
      <c r="CH17" s="261"/>
      <c r="CI17" s="261"/>
      <c r="CJ17" s="261"/>
      <c r="CK17" s="261"/>
      <c r="CL17" s="261"/>
      <c r="CM17" s="261"/>
      <c r="CN17" s="261"/>
      <c r="CO17" s="261"/>
      <c r="CP17" s="261"/>
      <c r="CQ17" s="261"/>
      <c r="CR17" s="261"/>
      <c r="CS17" s="261"/>
      <c r="CT17" s="261"/>
      <c r="CU17" s="261"/>
      <c r="CV17" s="261"/>
      <c r="CW17" s="261"/>
      <c r="CX17" s="261"/>
      <c r="CY17" s="261"/>
      <c r="CZ17" s="261"/>
      <c r="DA17" s="261"/>
      <c r="DB17" s="261"/>
      <c r="DC17" s="261"/>
      <c r="DD17" s="261"/>
      <c r="DE17" s="261"/>
      <c r="DF17" s="261"/>
      <c r="DG17" s="262"/>
      <c r="DH17" s="260">
        <v>7</v>
      </c>
      <c r="DI17" s="261"/>
      <c r="DJ17" s="261"/>
      <c r="DK17" s="261"/>
      <c r="DL17" s="261"/>
      <c r="DM17" s="261"/>
      <c r="DN17" s="261"/>
      <c r="DO17" s="261"/>
      <c r="DP17" s="261"/>
      <c r="DQ17" s="261"/>
      <c r="DR17" s="262"/>
      <c r="DS17" s="260">
        <v>8</v>
      </c>
      <c r="DT17" s="261"/>
      <c r="DU17" s="261"/>
      <c r="DV17" s="261"/>
      <c r="DW17" s="261"/>
      <c r="DX17" s="261"/>
      <c r="DY17" s="261"/>
      <c r="DZ17" s="261"/>
      <c r="EA17" s="261"/>
      <c r="EB17" s="261"/>
      <c r="EC17" s="262"/>
      <c r="ED17" s="260">
        <v>9</v>
      </c>
      <c r="EE17" s="261"/>
      <c r="EF17" s="261"/>
      <c r="EG17" s="261"/>
      <c r="EH17" s="261"/>
      <c r="EI17" s="261"/>
      <c r="EJ17" s="261"/>
      <c r="EK17" s="261"/>
      <c r="EL17" s="261"/>
      <c r="EM17" s="261"/>
      <c r="EN17" s="263"/>
      <c r="EO17" s="261">
        <v>10</v>
      </c>
      <c r="EP17" s="261"/>
      <c r="EQ17" s="261"/>
      <c r="ER17" s="261"/>
      <c r="ES17" s="261"/>
      <c r="ET17" s="261"/>
      <c r="EU17" s="261"/>
      <c r="EV17" s="261"/>
      <c r="EW17" s="261"/>
      <c r="EX17" s="261"/>
      <c r="EY17" s="261"/>
      <c r="EZ17" s="261"/>
      <c r="FA17" s="261"/>
      <c r="FB17" s="262"/>
      <c r="FC17" s="260">
        <v>11</v>
      </c>
      <c r="FD17" s="261"/>
      <c r="FE17" s="261"/>
      <c r="FF17" s="261"/>
      <c r="FG17" s="261"/>
      <c r="FH17" s="261"/>
      <c r="FI17" s="261"/>
      <c r="FJ17" s="261"/>
      <c r="FK17" s="261"/>
      <c r="FL17" s="261"/>
      <c r="FM17" s="262"/>
      <c r="FN17" s="260">
        <v>12</v>
      </c>
      <c r="FO17" s="261"/>
      <c r="FP17" s="261"/>
      <c r="FQ17" s="261"/>
      <c r="FR17" s="261"/>
      <c r="FS17" s="261"/>
      <c r="FT17" s="261"/>
      <c r="FU17" s="261"/>
      <c r="FV17" s="261"/>
      <c r="FW17" s="261"/>
      <c r="FX17" s="261"/>
      <c r="FY17" s="261"/>
      <c r="FZ17" s="261"/>
      <c r="GA17" s="261"/>
      <c r="GB17" s="261"/>
      <c r="GC17" s="261"/>
      <c r="GD17" s="261"/>
      <c r="GE17" s="263"/>
      <c r="GF17" s="40"/>
      <c r="GG17" s="40"/>
      <c r="GH17" s="40"/>
      <c r="GI17" s="42"/>
    </row>
    <row r="18" spans="1:192" ht="24.6" customHeight="1" thickBot="1" x14ac:dyDescent="0.35">
      <c r="A18" s="272" t="s">
        <v>78</v>
      </c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  <c r="AR18" s="270"/>
      <c r="AS18" s="273">
        <v>1</v>
      </c>
      <c r="AT18" s="273"/>
      <c r="AU18" s="273"/>
      <c r="AV18" s="273"/>
      <c r="AW18" s="273"/>
      <c r="AX18" s="273"/>
      <c r="AY18" s="273"/>
      <c r="AZ18" s="273"/>
      <c r="BA18" s="273"/>
      <c r="BB18" s="273"/>
      <c r="BC18" s="273"/>
      <c r="BD18" s="273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607" t="s">
        <v>331</v>
      </c>
      <c r="BV18" s="608" t="s">
        <v>79</v>
      </c>
      <c r="BW18" s="608" t="s">
        <v>79</v>
      </c>
      <c r="BX18" s="608" t="s">
        <v>79</v>
      </c>
      <c r="BY18" s="608" t="s">
        <v>79</v>
      </c>
      <c r="BZ18" s="608" t="s">
        <v>79</v>
      </c>
      <c r="CA18" s="608" t="s">
        <v>79</v>
      </c>
      <c r="CB18" s="608" t="s">
        <v>79</v>
      </c>
      <c r="CC18" s="608" t="s">
        <v>79</v>
      </c>
      <c r="CD18" s="608" t="s">
        <v>79</v>
      </c>
      <c r="CE18" s="608" t="s">
        <v>79</v>
      </c>
      <c r="CF18" s="608" t="s">
        <v>79</v>
      </c>
      <c r="CG18" s="608" t="s">
        <v>79</v>
      </c>
      <c r="CH18" s="608" t="s">
        <v>79</v>
      </c>
      <c r="CI18" s="608" t="s">
        <v>79</v>
      </c>
      <c r="CJ18" s="608" t="s">
        <v>79</v>
      </c>
      <c r="CK18" s="608" t="s">
        <v>79</v>
      </c>
      <c r="CL18" s="608" t="s">
        <v>79</v>
      </c>
      <c r="CM18" s="608" t="s">
        <v>79</v>
      </c>
      <c r="CN18" s="608" t="s">
        <v>79</v>
      </c>
      <c r="CO18" s="608" t="s">
        <v>79</v>
      </c>
      <c r="CP18" s="608" t="s">
        <v>79</v>
      </c>
      <c r="CQ18" s="608" t="s">
        <v>79</v>
      </c>
      <c r="CR18" s="608" t="s">
        <v>79</v>
      </c>
      <c r="CS18" s="608" t="s">
        <v>79</v>
      </c>
      <c r="CT18" s="608" t="s">
        <v>79</v>
      </c>
      <c r="CU18" s="608" t="s">
        <v>79</v>
      </c>
      <c r="CV18" s="608" t="s">
        <v>79</v>
      </c>
      <c r="CW18" s="608" t="s">
        <v>79</v>
      </c>
      <c r="CX18" s="608" t="s">
        <v>79</v>
      </c>
      <c r="CY18" s="608" t="s">
        <v>79</v>
      </c>
      <c r="CZ18" s="608" t="s">
        <v>79</v>
      </c>
      <c r="DA18" s="608" t="s">
        <v>79</v>
      </c>
      <c r="DB18" s="608" t="s">
        <v>79</v>
      </c>
      <c r="DC18" s="608" t="s">
        <v>79</v>
      </c>
      <c r="DD18" s="608" t="s">
        <v>79</v>
      </c>
      <c r="DE18" s="608" t="s">
        <v>79</v>
      </c>
      <c r="DF18" s="608" t="s">
        <v>79</v>
      </c>
      <c r="DG18" s="609" t="s">
        <v>79</v>
      </c>
      <c r="DH18" s="265"/>
      <c r="DI18" s="265"/>
      <c r="DJ18" s="265"/>
      <c r="DK18" s="265"/>
      <c r="DL18" s="265"/>
      <c r="DM18" s="265"/>
      <c r="DN18" s="265"/>
      <c r="DO18" s="265"/>
      <c r="DP18" s="265"/>
      <c r="DQ18" s="265"/>
      <c r="DR18" s="265"/>
      <c r="DS18" s="266"/>
      <c r="DT18" s="266"/>
      <c r="DU18" s="266"/>
      <c r="DV18" s="266"/>
      <c r="DW18" s="266"/>
      <c r="DX18" s="266"/>
      <c r="DY18" s="266"/>
      <c r="DZ18" s="266"/>
      <c r="EA18" s="266"/>
      <c r="EB18" s="266"/>
      <c r="EC18" s="266"/>
      <c r="ED18" s="266"/>
      <c r="EE18" s="266"/>
      <c r="EF18" s="266"/>
      <c r="EG18" s="266"/>
      <c r="EH18" s="266"/>
      <c r="EI18" s="266"/>
      <c r="EJ18" s="266"/>
      <c r="EK18" s="266"/>
      <c r="EL18" s="266"/>
      <c r="EM18" s="266"/>
      <c r="EN18" s="266"/>
      <c r="EO18" s="267">
        <v>3000</v>
      </c>
      <c r="EP18" s="267"/>
      <c r="EQ18" s="267"/>
      <c r="ER18" s="267"/>
      <c r="ES18" s="267"/>
      <c r="ET18" s="267"/>
      <c r="EU18" s="267"/>
      <c r="EV18" s="267"/>
      <c r="EW18" s="267"/>
      <c r="EX18" s="267"/>
      <c r="EY18" s="267"/>
      <c r="EZ18" s="267"/>
      <c r="FA18" s="267"/>
      <c r="FB18" s="267"/>
      <c r="FC18" s="269"/>
      <c r="FD18" s="269"/>
      <c r="FE18" s="269"/>
      <c r="FF18" s="269"/>
      <c r="FG18" s="269"/>
      <c r="FH18" s="269"/>
      <c r="FI18" s="269"/>
      <c r="FJ18" s="269"/>
      <c r="FK18" s="269"/>
      <c r="FL18" s="269"/>
      <c r="FM18" s="269"/>
      <c r="FN18" s="270"/>
      <c r="FO18" s="270"/>
      <c r="FP18" s="270"/>
      <c r="FQ18" s="270"/>
      <c r="FR18" s="270"/>
      <c r="FS18" s="270"/>
      <c r="FT18" s="270"/>
      <c r="FU18" s="270"/>
      <c r="FV18" s="270"/>
      <c r="FW18" s="270"/>
      <c r="FX18" s="270"/>
      <c r="FY18" s="270"/>
      <c r="FZ18" s="270"/>
      <c r="GA18" s="270"/>
      <c r="GB18" s="270"/>
      <c r="GC18" s="270"/>
      <c r="GD18" s="270"/>
      <c r="GE18" s="271"/>
      <c r="GF18" s="40"/>
      <c r="GG18" s="40"/>
      <c r="GH18" s="40"/>
      <c r="GI18" s="42"/>
      <c r="GJ18">
        <f>AS18*0.6</f>
        <v>0.6</v>
      </c>
    </row>
    <row r="19" spans="1:192" ht="29.4" customHeight="1" thickBot="1" x14ac:dyDescent="0.35">
      <c r="A19" s="279" t="s">
        <v>81</v>
      </c>
      <c r="B19" s="277"/>
      <c r="C19" s="277"/>
      <c r="D19" s="277"/>
      <c r="E19" s="277"/>
      <c r="F19" s="277"/>
      <c r="G19" s="277"/>
      <c r="H19" s="277"/>
      <c r="I19" s="277"/>
      <c r="J19" s="277"/>
      <c r="K19" s="277"/>
      <c r="L19" s="277"/>
      <c r="M19" s="277"/>
      <c r="N19" s="277"/>
      <c r="O19" s="277"/>
      <c r="P19" s="277"/>
      <c r="Q19" s="277"/>
      <c r="R19" s="277"/>
      <c r="S19" s="277"/>
      <c r="T19" s="277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80">
        <v>1</v>
      </c>
      <c r="AT19" s="280"/>
      <c r="AU19" s="280"/>
      <c r="AV19" s="280"/>
      <c r="AW19" s="280"/>
      <c r="AX19" s="280"/>
      <c r="AY19" s="280"/>
      <c r="AZ19" s="280"/>
      <c r="BA19" s="280"/>
      <c r="BB19" s="280"/>
      <c r="BC19" s="280"/>
      <c r="BD19" s="280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610" t="s">
        <v>306</v>
      </c>
      <c r="BV19" s="611"/>
      <c r="BW19" s="611"/>
      <c r="BX19" s="611"/>
      <c r="BY19" s="611"/>
      <c r="BZ19" s="611"/>
      <c r="CA19" s="611"/>
      <c r="CB19" s="611"/>
      <c r="CC19" s="611"/>
      <c r="CD19" s="611"/>
      <c r="CE19" s="611"/>
      <c r="CF19" s="611"/>
      <c r="CG19" s="611"/>
      <c r="CH19" s="611"/>
      <c r="CI19" s="611"/>
      <c r="CJ19" s="611"/>
      <c r="CK19" s="611"/>
      <c r="CL19" s="611"/>
      <c r="CM19" s="611"/>
      <c r="CN19" s="611"/>
      <c r="CO19" s="611"/>
      <c r="CP19" s="611"/>
      <c r="CQ19" s="611"/>
      <c r="CR19" s="611"/>
      <c r="CS19" s="611"/>
      <c r="CT19" s="611"/>
      <c r="CU19" s="611"/>
      <c r="CV19" s="611"/>
      <c r="CW19" s="611"/>
      <c r="CX19" s="611"/>
      <c r="CY19" s="611"/>
      <c r="CZ19" s="611"/>
      <c r="DA19" s="611"/>
      <c r="DB19" s="611"/>
      <c r="DC19" s="611"/>
      <c r="DD19" s="611"/>
      <c r="DE19" s="611"/>
      <c r="DF19" s="611"/>
      <c r="DG19" s="612"/>
      <c r="DH19" s="285"/>
      <c r="DI19" s="286"/>
      <c r="DJ19" s="286"/>
      <c r="DK19" s="286"/>
      <c r="DL19" s="286"/>
      <c r="DM19" s="286"/>
      <c r="DN19" s="286"/>
      <c r="DO19" s="286"/>
      <c r="DP19" s="286"/>
      <c r="DQ19" s="286"/>
      <c r="DR19" s="287"/>
      <c r="DS19" s="284"/>
      <c r="DT19" s="284"/>
      <c r="DU19" s="284"/>
      <c r="DV19" s="284"/>
      <c r="DW19" s="284"/>
      <c r="DX19" s="284"/>
      <c r="DY19" s="284"/>
      <c r="DZ19" s="284"/>
      <c r="EA19" s="284"/>
      <c r="EB19" s="284"/>
      <c r="EC19" s="284"/>
      <c r="ED19" s="284"/>
      <c r="EE19" s="284"/>
      <c r="EF19" s="284"/>
      <c r="EG19" s="284"/>
      <c r="EH19" s="284"/>
      <c r="EI19" s="284"/>
      <c r="EJ19" s="284"/>
      <c r="EK19" s="284"/>
      <c r="EL19" s="284"/>
      <c r="EM19" s="284"/>
      <c r="EN19" s="284"/>
      <c r="EO19" s="267">
        <v>240</v>
      </c>
      <c r="EP19" s="267"/>
      <c r="EQ19" s="267"/>
      <c r="ER19" s="267"/>
      <c r="ES19" s="267"/>
      <c r="ET19" s="267"/>
      <c r="EU19" s="267"/>
      <c r="EV19" s="267"/>
      <c r="EW19" s="267"/>
      <c r="EX19" s="267"/>
      <c r="EY19" s="267"/>
      <c r="EZ19" s="267"/>
      <c r="FA19" s="267"/>
      <c r="FB19" s="267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77"/>
      <c r="FO19" s="277"/>
      <c r="FP19" s="277"/>
      <c r="FQ19" s="277"/>
      <c r="FR19" s="277"/>
      <c r="FS19" s="277"/>
      <c r="FT19" s="277"/>
      <c r="FU19" s="277"/>
      <c r="FV19" s="277"/>
      <c r="FW19" s="277"/>
      <c r="FX19" s="277"/>
      <c r="FY19" s="277"/>
      <c r="FZ19" s="277"/>
      <c r="GA19" s="277"/>
      <c r="GB19" s="277"/>
      <c r="GC19" s="277"/>
      <c r="GD19" s="277"/>
      <c r="GE19" s="278"/>
      <c r="GF19" s="40"/>
      <c r="GG19" s="40"/>
      <c r="GH19" s="40"/>
      <c r="GI19" s="42"/>
      <c r="GJ19">
        <f>AS19*1.5</f>
        <v>1.5</v>
      </c>
    </row>
    <row r="20" spans="1:192" ht="22.2" customHeight="1" thickBot="1" x14ac:dyDescent="0.35">
      <c r="A20" s="279" t="s">
        <v>82</v>
      </c>
      <c r="B20" s="277"/>
      <c r="C20" s="277"/>
      <c r="D20" s="277"/>
      <c r="E20" s="277"/>
      <c r="F20" s="277"/>
      <c r="G20" s="277"/>
      <c r="H20" s="277"/>
      <c r="I20" s="277"/>
      <c r="J20" s="277"/>
      <c r="K20" s="277"/>
      <c r="L20" s="277"/>
      <c r="M20" s="277"/>
      <c r="N20" s="277"/>
      <c r="O20" s="277"/>
      <c r="P20" s="277"/>
      <c r="Q20" s="277"/>
      <c r="R20" s="277"/>
      <c r="S20" s="277"/>
      <c r="T20" s="277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80">
        <v>1</v>
      </c>
      <c r="AT20" s="280"/>
      <c r="AU20" s="280"/>
      <c r="AV20" s="280"/>
      <c r="AW20" s="280"/>
      <c r="AX20" s="280"/>
      <c r="AY20" s="280"/>
      <c r="AZ20" s="280"/>
      <c r="BA20" s="280"/>
      <c r="BB20" s="280"/>
      <c r="BC20" s="280"/>
      <c r="BD20" s="280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610" t="s">
        <v>307</v>
      </c>
      <c r="BV20" s="611"/>
      <c r="BW20" s="611"/>
      <c r="BX20" s="611"/>
      <c r="BY20" s="611"/>
      <c r="BZ20" s="611"/>
      <c r="CA20" s="611"/>
      <c r="CB20" s="611"/>
      <c r="CC20" s="611"/>
      <c r="CD20" s="611"/>
      <c r="CE20" s="611"/>
      <c r="CF20" s="611"/>
      <c r="CG20" s="611"/>
      <c r="CH20" s="611"/>
      <c r="CI20" s="611"/>
      <c r="CJ20" s="611"/>
      <c r="CK20" s="611"/>
      <c r="CL20" s="611"/>
      <c r="CM20" s="611"/>
      <c r="CN20" s="611"/>
      <c r="CO20" s="611"/>
      <c r="CP20" s="611"/>
      <c r="CQ20" s="611"/>
      <c r="CR20" s="611"/>
      <c r="CS20" s="611"/>
      <c r="CT20" s="611"/>
      <c r="CU20" s="611"/>
      <c r="CV20" s="611"/>
      <c r="CW20" s="611"/>
      <c r="CX20" s="611"/>
      <c r="CY20" s="611"/>
      <c r="CZ20" s="611"/>
      <c r="DA20" s="611"/>
      <c r="DB20" s="611"/>
      <c r="DC20" s="611"/>
      <c r="DD20" s="611"/>
      <c r="DE20" s="611"/>
      <c r="DF20" s="611"/>
      <c r="DG20" s="612"/>
      <c r="DH20" s="285"/>
      <c r="DI20" s="286"/>
      <c r="DJ20" s="286"/>
      <c r="DK20" s="286"/>
      <c r="DL20" s="286"/>
      <c r="DM20" s="286"/>
      <c r="DN20" s="286"/>
      <c r="DO20" s="286"/>
      <c r="DP20" s="286"/>
      <c r="DQ20" s="286"/>
      <c r="DR20" s="287"/>
      <c r="DS20" s="284"/>
      <c r="DT20" s="284"/>
      <c r="DU20" s="284"/>
      <c r="DV20" s="284"/>
      <c r="DW20" s="284"/>
      <c r="DX20" s="284"/>
      <c r="DY20" s="284"/>
      <c r="DZ20" s="284"/>
      <c r="EA20" s="284"/>
      <c r="EB20" s="284"/>
      <c r="EC20" s="284"/>
      <c r="ED20" s="284"/>
      <c r="EE20" s="284"/>
      <c r="EF20" s="284"/>
      <c r="EG20" s="284"/>
      <c r="EH20" s="284"/>
      <c r="EI20" s="284"/>
      <c r="EJ20" s="284"/>
      <c r="EK20" s="284"/>
      <c r="EL20" s="284"/>
      <c r="EM20" s="284"/>
      <c r="EN20" s="284"/>
      <c r="EO20" s="267">
        <v>4500</v>
      </c>
      <c r="EP20" s="267"/>
      <c r="EQ20" s="267"/>
      <c r="ER20" s="267"/>
      <c r="ES20" s="267"/>
      <c r="ET20" s="267"/>
      <c r="EU20" s="267"/>
      <c r="EV20" s="267"/>
      <c r="EW20" s="267"/>
      <c r="EX20" s="267"/>
      <c r="EY20" s="267"/>
      <c r="EZ20" s="267"/>
      <c r="FA20" s="267"/>
      <c r="FB20" s="267"/>
      <c r="FC20" s="268"/>
      <c r="FD20" s="268"/>
      <c r="FE20" s="268"/>
      <c r="FF20" s="268"/>
      <c r="FG20" s="268"/>
      <c r="FH20" s="268"/>
      <c r="FI20" s="268"/>
      <c r="FJ20" s="268"/>
      <c r="FK20" s="268"/>
      <c r="FL20" s="268"/>
      <c r="FM20" s="268"/>
      <c r="FN20" s="277"/>
      <c r="FO20" s="277"/>
      <c r="FP20" s="277"/>
      <c r="FQ20" s="277"/>
      <c r="FR20" s="277"/>
      <c r="FS20" s="277"/>
      <c r="FT20" s="277"/>
      <c r="FU20" s="277"/>
      <c r="FV20" s="277"/>
      <c r="FW20" s="277"/>
      <c r="FX20" s="277"/>
      <c r="FY20" s="277"/>
      <c r="FZ20" s="277"/>
      <c r="GA20" s="277"/>
      <c r="GB20" s="277"/>
      <c r="GC20" s="277"/>
      <c r="GD20" s="277"/>
      <c r="GE20" s="278"/>
      <c r="GF20" s="40"/>
      <c r="GG20" s="40"/>
      <c r="GH20" s="40"/>
      <c r="GI20" s="42"/>
      <c r="GJ20">
        <f>AS20*2</f>
        <v>2</v>
      </c>
    </row>
    <row r="21" spans="1:192" ht="24" customHeight="1" thickBot="1" x14ac:dyDescent="0.35">
      <c r="A21" s="279" t="s">
        <v>83</v>
      </c>
      <c r="B21" s="277"/>
      <c r="C21" s="277"/>
      <c r="D21" s="277"/>
      <c r="E21" s="277"/>
      <c r="F21" s="277"/>
      <c r="G21" s="277"/>
      <c r="H21" s="277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80"/>
      <c r="AT21" s="280"/>
      <c r="AU21" s="280"/>
      <c r="AV21" s="280"/>
      <c r="AW21" s="280"/>
      <c r="AX21" s="280"/>
      <c r="AY21" s="280"/>
      <c r="AZ21" s="280"/>
      <c r="BA21" s="280"/>
      <c r="BB21" s="280"/>
      <c r="BC21" s="280"/>
      <c r="BD21" s="280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610"/>
      <c r="BV21" s="611"/>
      <c r="BW21" s="611"/>
      <c r="BX21" s="611"/>
      <c r="BY21" s="611"/>
      <c r="BZ21" s="611"/>
      <c r="CA21" s="611"/>
      <c r="CB21" s="611"/>
      <c r="CC21" s="611"/>
      <c r="CD21" s="611"/>
      <c r="CE21" s="611"/>
      <c r="CF21" s="611"/>
      <c r="CG21" s="611"/>
      <c r="CH21" s="611"/>
      <c r="CI21" s="611"/>
      <c r="CJ21" s="611"/>
      <c r="CK21" s="611"/>
      <c r="CL21" s="611"/>
      <c r="CM21" s="611"/>
      <c r="CN21" s="611"/>
      <c r="CO21" s="611"/>
      <c r="CP21" s="611"/>
      <c r="CQ21" s="611"/>
      <c r="CR21" s="611"/>
      <c r="CS21" s="611"/>
      <c r="CT21" s="611"/>
      <c r="CU21" s="611"/>
      <c r="CV21" s="611"/>
      <c r="CW21" s="611"/>
      <c r="CX21" s="611"/>
      <c r="CY21" s="611"/>
      <c r="CZ21" s="611"/>
      <c r="DA21" s="611"/>
      <c r="DB21" s="611"/>
      <c r="DC21" s="611"/>
      <c r="DD21" s="611"/>
      <c r="DE21" s="611"/>
      <c r="DF21" s="611"/>
      <c r="DG21" s="612"/>
      <c r="DH21" s="285"/>
      <c r="DI21" s="286"/>
      <c r="DJ21" s="286"/>
      <c r="DK21" s="286"/>
      <c r="DL21" s="286"/>
      <c r="DM21" s="286"/>
      <c r="DN21" s="286"/>
      <c r="DO21" s="286"/>
      <c r="DP21" s="286"/>
      <c r="DQ21" s="286"/>
      <c r="DR21" s="287"/>
      <c r="DS21" s="284"/>
      <c r="DT21" s="284"/>
      <c r="DU21" s="284"/>
      <c r="DV21" s="284"/>
      <c r="DW21" s="284"/>
      <c r="DX21" s="284"/>
      <c r="DY21" s="284"/>
      <c r="DZ21" s="284"/>
      <c r="EA21" s="284"/>
      <c r="EB21" s="284"/>
      <c r="EC21" s="284"/>
      <c r="ED21" s="284"/>
      <c r="EE21" s="284"/>
      <c r="EF21" s="284"/>
      <c r="EG21" s="284"/>
      <c r="EH21" s="284"/>
      <c r="EI21" s="284"/>
      <c r="EJ21" s="284"/>
      <c r="EK21" s="284"/>
      <c r="EL21" s="284"/>
      <c r="EM21" s="284"/>
      <c r="EN21" s="284"/>
      <c r="EO21" s="267"/>
      <c r="EP21" s="267"/>
      <c r="EQ21" s="267"/>
      <c r="ER21" s="267"/>
      <c r="ES21" s="267"/>
      <c r="ET21" s="267"/>
      <c r="EU21" s="267"/>
      <c r="EV21" s="267"/>
      <c r="EW21" s="267"/>
      <c r="EX21" s="267"/>
      <c r="EY21" s="267"/>
      <c r="EZ21" s="267"/>
      <c r="FA21" s="267"/>
      <c r="FB21" s="267"/>
      <c r="FC21" s="268"/>
      <c r="FD21" s="268"/>
      <c r="FE21" s="268"/>
      <c r="FF21" s="268"/>
      <c r="FG21" s="268"/>
      <c r="FH21" s="268"/>
      <c r="FI21" s="268"/>
      <c r="FJ21" s="268"/>
      <c r="FK21" s="268"/>
      <c r="FL21" s="268"/>
      <c r="FM21" s="268"/>
      <c r="FN21" s="277"/>
      <c r="FO21" s="277"/>
      <c r="FP21" s="277"/>
      <c r="FQ21" s="277"/>
      <c r="FR21" s="277"/>
      <c r="FS21" s="277"/>
      <c r="FT21" s="277"/>
      <c r="FU21" s="277"/>
      <c r="FV21" s="277"/>
      <c r="FW21" s="277"/>
      <c r="FX21" s="277"/>
      <c r="FY21" s="277"/>
      <c r="FZ21" s="277"/>
      <c r="GA21" s="277"/>
      <c r="GB21" s="277"/>
      <c r="GC21" s="277"/>
      <c r="GD21" s="277"/>
      <c r="GE21" s="278"/>
      <c r="GF21" s="40"/>
      <c r="GG21" s="40"/>
      <c r="GH21" s="40"/>
      <c r="GI21" s="42"/>
      <c r="GJ21">
        <f>AS21*0.6</f>
        <v>0</v>
      </c>
    </row>
    <row r="22" spans="1:192" ht="18.600000000000001" customHeight="1" thickBot="1" x14ac:dyDescent="0.35">
      <c r="A22" s="279" t="s">
        <v>84</v>
      </c>
      <c r="B22" s="277"/>
      <c r="C22" s="277"/>
      <c r="D22" s="277"/>
      <c r="E22" s="277"/>
      <c r="F22" s="277"/>
      <c r="G22" s="277"/>
      <c r="H22" s="277"/>
      <c r="I22" s="277"/>
      <c r="J22" s="277"/>
      <c r="K22" s="277"/>
      <c r="L22" s="277"/>
      <c r="M22" s="277"/>
      <c r="N22" s="277"/>
      <c r="O22" s="277"/>
      <c r="P22" s="277"/>
      <c r="Q22" s="277"/>
      <c r="R22" s="277"/>
      <c r="S22" s="277"/>
      <c r="T22" s="277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80"/>
      <c r="AT22" s="280"/>
      <c r="AU22" s="280"/>
      <c r="AV22" s="280"/>
      <c r="AW22" s="280"/>
      <c r="AX22" s="280"/>
      <c r="AY22" s="280"/>
      <c r="AZ22" s="280"/>
      <c r="BA22" s="280"/>
      <c r="BB22" s="280"/>
      <c r="BC22" s="280"/>
      <c r="BD22" s="280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613"/>
      <c r="BV22" s="614"/>
      <c r="BW22" s="614"/>
      <c r="BX22" s="614"/>
      <c r="BY22" s="614"/>
      <c r="BZ22" s="614"/>
      <c r="CA22" s="614"/>
      <c r="CB22" s="614"/>
      <c r="CC22" s="614"/>
      <c r="CD22" s="614"/>
      <c r="CE22" s="614"/>
      <c r="CF22" s="614"/>
      <c r="CG22" s="614"/>
      <c r="CH22" s="614"/>
      <c r="CI22" s="614"/>
      <c r="CJ22" s="614"/>
      <c r="CK22" s="614"/>
      <c r="CL22" s="614"/>
      <c r="CM22" s="614"/>
      <c r="CN22" s="614"/>
      <c r="CO22" s="614"/>
      <c r="CP22" s="614"/>
      <c r="CQ22" s="614"/>
      <c r="CR22" s="614"/>
      <c r="CS22" s="614"/>
      <c r="CT22" s="614"/>
      <c r="CU22" s="614"/>
      <c r="CV22" s="614"/>
      <c r="CW22" s="614"/>
      <c r="CX22" s="614"/>
      <c r="CY22" s="614"/>
      <c r="CZ22" s="614"/>
      <c r="DA22" s="614"/>
      <c r="DB22" s="614"/>
      <c r="DC22" s="614"/>
      <c r="DD22" s="614"/>
      <c r="DE22" s="614"/>
      <c r="DF22" s="614"/>
      <c r="DG22" s="615"/>
      <c r="DH22" s="285"/>
      <c r="DI22" s="286"/>
      <c r="DJ22" s="286"/>
      <c r="DK22" s="286"/>
      <c r="DL22" s="286"/>
      <c r="DM22" s="286"/>
      <c r="DN22" s="286"/>
      <c r="DO22" s="286"/>
      <c r="DP22" s="286"/>
      <c r="DQ22" s="286"/>
      <c r="DR22" s="287"/>
      <c r="DS22" s="284"/>
      <c r="DT22" s="284"/>
      <c r="DU22" s="284"/>
      <c r="DV22" s="284"/>
      <c r="DW22" s="284"/>
      <c r="DX22" s="284"/>
      <c r="DY22" s="284"/>
      <c r="DZ22" s="284"/>
      <c r="EA22" s="284"/>
      <c r="EB22" s="284"/>
      <c r="EC22" s="284"/>
      <c r="ED22" s="284"/>
      <c r="EE22" s="284"/>
      <c r="EF22" s="284"/>
      <c r="EG22" s="284"/>
      <c r="EH22" s="284"/>
      <c r="EI22" s="284"/>
      <c r="EJ22" s="284"/>
      <c r="EK22" s="284"/>
      <c r="EL22" s="284"/>
      <c r="EM22" s="284"/>
      <c r="EN22" s="284"/>
      <c r="EO22" s="267"/>
      <c r="EP22" s="267"/>
      <c r="EQ22" s="267"/>
      <c r="ER22" s="267"/>
      <c r="ES22" s="267"/>
      <c r="ET22" s="267"/>
      <c r="EU22" s="267"/>
      <c r="EV22" s="267"/>
      <c r="EW22" s="267"/>
      <c r="EX22" s="267"/>
      <c r="EY22" s="267"/>
      <c r="EZ22" s="267"/>
      <c r="FA22" s="267"/>
      <c r="FB22" s="267"/>
      <c r="FC22" s="268"/>
      <c r="FD22" s="268"/>
      <c r="FE22" s="268"/>
      <c r="FF22" s="268"/>
      <c r="FG22" s="268"/>
      <c r="FH22" s="268"/>
      <c r="FI22" s="268"/>
      <c r="FJ22" s="268"/>
      <c r="FK22" s="268"/>
      <c r="FL22" s="268"/>
      <c r="FM22" s="268"/>
      <c r="FN22" s="277"/>
      <c r="FO22" s="277"/>
      <c r="FP22" s="277"/>
      <c r="FQ22" s="277"/>
      <c r="FR22" s="277"/>
      <c r="FS22" s="277"/>
      <c r="FT22" s="277"/>
      <c r="FU22" s="277"/>
      <c r="FV22" s="277"/>
      <c r="FW22" s="277"/>
      <c r="FX22" s="277"/>
      <c r="FY22" s="277"/>
      <c r="FZ22" s="277"/>
      <c r="GA22" s="277"/>
      <c r="GB22" s="277"/>
      <c r="GC22" s="277"/>
      <c r="GD22" s="277"/>
      <c r="GE22" s="278"/>
      <c r="GF22" s="40"/>
      <c r="GG22" s="40"/>
      <c r="GH22" s="40"/>
      <c r="GI22" s="42"/>
      <c r="GJ22">
        <f>AS22*3.1</f>
        <v>0</v>
      </c>
    </row>
    <row r="23" spans="1:192" ht="18.600000000000001" customHeight="1" thickBot="1" x14ac:dyDescent="0.35">
      <c r="A23" s="279" t="s">
        <v>85</v>
      </c>
      <c r="B23" s="277"/>
      <c r="C23" s="277"/>
      <c r="D23" s="277"/>
      <c r="E23" s="277"/>
      <c r="F23" s="277"/>
      <c r="G23" s="277"/>
      <c r="H23" s="277"/>
      <c r="I23" s="277"/>
      <c r="J23" s="277"/>
      <c r="K23" s="277"/>
      <c r="L23" s="277"/>
      <c r="M23" s="277"/>
      <c r="N23" s="277"/>
      <c r="O23" s="277"/>
      <c r="P23" s="277"/>
      <c r="Q23" s="277"/>
      <c r="R23" s="277"/>
      <c r="S23" s="277"/>
      <c r="T23" s="277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80"/>
      <c r="AT23" s="280"/>
      <c r="AU23" s="280"/>
      <c r="AV23" s="280"/>
      <c r="AW23" s="280"/>
      <c r="AX23" s="280"/>
      <c r="AY23" s="280"/>
      <c r="AZ23" s="280"/>
      <c r="BA23" s="280"/>
      <c r="BB23" s="280"/>
      <c r="BC23" s="280"/>
      <c r="BD23" s="280"/>
      <c r="BE23" s="268"/>
      <c r="BF23" s="268"/>
      <c r="BG23" s="268"/>
      <c r="BH23" s="268"/>
      <c r="BI23" s="268"/>
      <c r="BJ23" s="268"/>
      <c r="BK23" s="268"/>
      <c r="BL23" s="268"/>
      <c r="BM23" s="268"/>
      <c r="BN23" s="268"/>
      <c r="BO23" s="268"/>
      <c r="BP23" s="268"/>
      <c r="BQ23" s="268"/>
      <c r="BR23" s="268"/>
      <c r="BS23" s="268"/>
      <c r="BT23" s="268"/>
      <c r="BU23" s="289"/>
      <c r="BV23" s="290"/>
      <c r="BW23" s="290"/>
      <c r="BX23" s="290"/>
      <c r="BY23" s="290"/>
      <c r="BZ23" s="290"/>
      <c r="CA23" s="290"/>
      <c r="CB23" s="290"/>
      <c r="CC23" s="290"/>
      <c r="CD23" s="290"/>
      <c r="CE23" s="290"/>
      <c r="CF23" s="290"/>
      <c r="CG23" s="290"/>
      <c r="CH23" s="290"/>
      <c r="CI23" s="290"/>
      <c r="CJ23" s="290"/>
      <c r="CK23" s="290"/>
      <c r="CL23" s="290"/>
      <c r="CM23" s="290"/>
      <c r="CN23" s="290"/>
      <c r="CO23" s="290"/>
      <c r="CP23" s="290"/>
      <c r="CQ23" s="290"/>
      <c r="CR23" s="290"/>
      <c r="CS23" s="290"/>
      <c r="CT23" s="290"/>
      <c r="CU23" s="290"/>
      <c r="CV23" s="290"/>
      <c r="CW23" s="290"/>
      <c r="CX23" s="290"/>
      <c r="CY23" s="290"/>
      <c r="CZ23" s="290"/>
      <c r="DA23" s="290"/>
      <c r="DB23" s="290"/>
      <c r="DC23" s="290"/>
      <c r="DD23" s="290"/>
      <c r="DE23" s="290"/>
      <c r="DF23" s="290"/>
      <c r="DG23" s="291"/>
      <c r="DH23" s="285"/>
      <c r="DI23" s="286"/>
      <c r="DJ23" s="286"/>
      <c r="DK23" s="286"/>
      <c r="DL23" s="286"/>
      <c r="DM23" s="286"/>
      <c r="DN23" s="286"/>
      <c r="DO23" s="286"/>
      <c r="DP23" s="286"/>
      <c r="DQ23" s="286"/>
      <c r="DR23" s="287"/>
      <c r="DS23" s="284"/>
      <c r="DT23" s="284"/>
      <c r="DU23" s="284"/>
      <c r="DV23" s="284"/>
      <c r="DW23" s="284"/>
      <c r="DX23" s="284"/>
      <c r="DY23" s="284"/>
      <c r="DZ23" s="284"/>
      <c r="EA23" s="284"/>
      <c r="EB23" s="284"/>
      <c r="EC23" s="284"/>
      <c r="ED23" s="284"/>
      <c r="EE23" s="284"/>
      <c r="EF23" s="284"/>
      <c r="EG23" s="284"/>
      <c r="EH23" s="284"/>
      <c r="EI23" s="284"/>
      <c r="EJ23" s="284"/>
      <c r="EK23" s="284"/>
      <c r="EL23" s="284"/>
      <c r="EM23" s="284"/>
      <c r="EN23" s="284"/>
      <c r="EO23" s="288"/>
      <c r="EP23" s="288"/>
      <c r="EQ23" s="288"/>
      <c r="ER23" s="288"/>
      <c r="ES23" s="288"/>
      <c r="ET23" s="288"/>
      <c r="EU23" s="288"/>
      <c r="EV23" s="288"/>
      <c r="EW23" s="288"/>
      <c r="EX23" s="288"/>
      <c r="EY23" s="288"/>
      <c r="EZ23" s="288"/>
      <c r="FA23" s="288"/>
      <c r="FB23" s="288"/>
      <c r="FC23" s="268"/>
      <c r="FD23" s="268"/>
      <c r="FE23" s="268"/>
      <c r="FF23" s="268"/>
      <c r="FG23" s="268"/>
      <c r="FH23" s="268"/>
      <c r="FI23" s="268"/>
      <c r="FJ23" s="268"/>
      <c r="FK23" s="268"/>
      <c r="FL23" s="268"/>
      <c r="FM23" s="268"/>
      <c r="FN23" s="277"/>
      <c r="FO23" s="277"/>
      <c r="FP23" s="277"/>
      <c r="FQ23" s="277"/>
      <c r="FR23" s="277"/>
      <c r="FS23" s="277"/>
      <c r="FT23" s="277"/>
      <c r="FU23" s="277"/>
      <c r="FV23" s="277"/>
      <c r="FW23" s="277"/>
      <c r="FX23" s="277"/>
      <c r="FY23" s="277"/>
      <c r="FZ23" s="277"/>
      <c r="GA23" s="277"/>
      <c r="GB23" s="277"/>
      <c r="GC23" s="277"/>
      <c r="GD23" s="277"/>
      <c r="GE23" s="278"/>
      <c r="GF23" s="40"/>
      <c r="GG23" s="40"/>
      <c r="GH23" s="40"/>
      <c r="GI23" s="42"/>
      <c r="GJ23">
        <f>AS23*1.46</f>
        <v>0</v>
      </c>
    </row>
    <row r="24" spans="1:192" ht="18.600000000000001" customHeight="1" thickBot="1" x14ac:dyDescent="0.35">
      <c r="A24" s="279" t="s">
        <v>86</v>
      </c>
      <c r="B24" s="277"/>
      <c r="C24" s="277"/>
      <c r="D24" s="277"/>
      <c r="E24" s="277"/>
      <c r="F24" s="277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80"/>
      <c r="AT24" s="280"/>
      <c r="AU24" s="280"/>
      <c r="AV24" s="280"/>
      <c r="AW24" s="280"/>
      <c r="AX24" s="280"/>
      <c r="AY24" s="280"/>
      <c r="AZ24" s="280"/>
      <c r="BA24" s="280"/>
      <c r="BB24" s="280"/>
      <c r="BC24" s="280"/>
      <c r="BD24" s="280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89"/>
      <c r="BV24" s="290"/>
      <c r="BW24" s="290"/>
      <c r="BX24" s="290"/>
      <c r="BY24" s="290"/>
      <c r="BZ24" s="290"/>
      <c r="CA24" s="290"/>
      <c r="CB24" s="290"/>
      <c r="CC24" s="290"/>
      <c r="CD24" s="290"/>
      <c r="CE24" s="290"/>
      <c r="CF24" s="290"/>
      <c r="CG24" s="290"/>
      <c r="CH24" s="290"/>
      <c r="CI24" s="290"/>
      <c r="CJ24" s="290"/>
      <c r="CK24" s="290"/>
      <c r="CL24" s="290"/>
      <c r="CM24" s="290"/>
      <c r="CN24" s="290"/>
      <c r="CO24" s="290"/>
      <c r="CP24" s="290"/>
      <c r="CQ24" s="290"/>
      <c r="CR24" s="290"/>
      <c r="CS24" s="290"/>
      <c r="CT24" s="290"/>
      <c r="CU24" s="290"/>
      <c r="CV24" s="290"/>
      <c r="CW24" s="290"/>
      <c r="CX24" s="290"/>
      <c r="CY24" s="290"/>
      <c r="CZ24" s="290"/>
      <c r="DA24" s="290"/>
      <c r="DB24" s="290"/>
      <c r="DC24" s="290"/>
      <c r="DD24" s="290"/>
      <c r="DE24" s="290"/>
      <c r="DF24" s="290"/>
      <c r="DG24" s="291"/>
      <c r="DH24" s="285"/>
      <c r="DI24" s="286"/>
      <c r="DJ24" s="286"/>
      <c r="DK24" s="286"/>
      <c r="DL24" s="286"/>
      <c r="DM24" s="286"/>
      <c r="DN24" s="286"/>
      <c r="DO24" s="286"/>
      <c r="DP24" s="286"/>
      <c r="DQ24" s="286"/>
      <c r="DR24" s="287"/>
      <c r="DS24" s="284"/>
      <c r="DT24" s="284"/>
      <c r="DU24" s="284"/>
      <c r="DV24" s="284"/>
      <c r="DW24" s="284"/>
      <c r="DX24" s="284"/>
      <c r="DY24" s="284"/>
      <c r="DZ24" s="284"/>
      <c r="EA24" s="284"/>
      <c r="EB24" s="284"/>
      <c r="EC24" s="284"/>
      <c r="ED24" s="284"/>
      <c r="EE24" s="284"/>
      <c r="EF24" s="284"/>
      <c r="EG24" s="284"/>
      <c r="EH24" s="284"/>
      <c r="EI24" s="284"/>
      <c r="EJ24" s="284"/>
      <c r="EK24" s="284"/>
      <c r="EL24" s="284"/>
      <c r="EM24" s="284"/>
      <c r="EN24" s="284"/>
      <c r="EO24" s="288"/>
      <c r="EP24" s="288"/>
      <c r="EQ24" s="288"/>
      <c r="ER24" s="288"/>
      <c r="ES24" s="288"/>
      <c r="ET24" s="288"/>
      <c r="EU24" s="288"/>
      <c r="EV24" s="288"/>
      <c r="EW24" s="288"/>
      <c r="EX24" s="288"/>
      <c r="EY24" s="288"/>
      <c r="EZ24" s="288"/>
      <c r="FA24" s="288"/>
      <c r="FB24" s="288"/>
      <c r="FC24" s="268"/>
      <c r="FD24" s="268"/>
      <c r="FE24" s="268"/>
      <c r="FF24" s="268"/>
      <c r="FG24" s="268"/>
      <c r="FH24" s="268"/>
      <c r="FI24" s="268"/>
      <c r="FJ24" s="268"/>
      <c r="FK24" s="268"/>
      <c r="FL24" s="268"/>
      <c r="FM24" s="268"/>
      <c r="FN24" s="277"/>
      <c r="FO24" s="277"/>
      <c r="FP24" s="277"/>
      <c r="FQ24" s="277"/>
      <c r="FR24" s="277"/>
      <c r="FS24" s="277"/>
      <c r="FT24" s="277"/>
      <c r="FU24" s="277"/>
      <c r="FV24" s="277"/>
      <c r="FW24" s="277"/>
      <c r="FX24" s="277"/>
      <c r="FY24" s="277"/>
      <c r="FZ24" s="277"/>
      <c r="GA24" s="277"/>
      <c r="GB24" s="277"/>
      <c r="GC24" s="277"/>
      <c r="GD24" s="277"/>
      <c r="GE24" s="278"/>
      <c r="GF24" s="40"/>
      <c r="GG24" s="40"/>
      <c r="GH24" s="40"/>
      <c r="GI24" s="42"/>
      <c r="GJ24">
        <f>AS24*1.2</f>
        <v>0</v>
      </c>
    </row>
    <row r="25" spans="1:192" ht="18.600000000000001" customHeight="1" thickBot="1" x14ac:dyDescent="0.35">
      <c r="A25" s="279" t="s">
        <v>87</v>
      </c>
      <c r="B25" s="277"/>
      <c r="C25" s="277"/>
      <c r="D25" s="27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80"/>
      <c r="AT25" s="280"/>
      <c r="AU25" s="280"/>
      <c r="AV25" s="280"/>
      <c r="AW25" s="280"/>
      <c r="AX25" s="280"/>
      <c r="AY25" s="280"/>
      <c r="AZ25" s="280"/>
      <c r="BA25" s="280"/>
      <c r="BB25" s="280"/>
      <c r="BC25" s="280"/>
      <c r="BD25" s="280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89"/>
      <c r="BV25" s="290"/>
      <c r="BW25" s="290"/>
      <c r="BX25" s="290"/>
      <c r="BY25" s="290"/>
      <c r="BZ25" s="290"/>
      <c r="CA25" s="290"/>
      <c r="CB25" s="290"/>
      <c r="CC25" s="290"/>
      <c r="CD25" s="290"/>
      <c r="CE25" s="290"/>
      <c r="CF25" s="290"/>
      <c r="CG25" s="290"/>
      <c r="CH25" s="290"/>
      <c r="CI25" s="290"/>
      <c r="CJ25" s="290"/>
      <c r="CK25" s="290"/>
      <c r="CL25" s="290"/>
      <c r="CM25" s="290"/>
      <c r="CN25" s="290"/>
      <c r="CO25" s="290"/>
      <c r="CP25" s="290"/>
      <c r="CQ25" s="290"/>
      <c r="CR25" s="290"/>
      <c r="CS25" s="290"/>
      <c r="CT25" s="290"/>
      <c r="CU25" s="290"/>
      <c r="CV25" s="290"/>
      <c r="CW25" s="290"/>
      <c r="CX25" s="290"/>
      <c r="CY25" s="290"/>
      <c r="CZ25" s="290"/>
      <c r="DA25" s="290"/>
      <c r="DB25" s="290"/>
      <c r="DC25" s="290"/>
      <c r="DD25" s="290"/>
      <c r="DE25" s="290"/>
      <c r="DF25" s="290"/>
      <c r="DG25" s="291"/>
      <c r="DH25" s="285"/>
      <c r="DI25" s="286"/>
      <c r="DJ25" s="286"/>
      <c r="DK25" s="286"/>
      <c r="DL25" s="286"/>
      <c r="DM25" s="286"/>
      <c r="DN25" s="286"/>
      <c r="DO25" s="286"/>
      <c r="DP25" s="286"/>
      <c r="DQ25" s="286"/>
      <c r="DR25" s="287"/>
      <c r="DS25" s="284"/>
      <c r="DT25" s="284"/>
      <c r="DU25" s="284"/>
      <c r="DV25" s="284"/>
      <c r="DW25" s="284"/>
      <c r="DX25" s="284"/>
      <c r="DY25" s="284"/>
      <c r="DZ25" s="284"/>
      <c r="EA25" s="284"/>
      <c r="EB25" s="284"/>
      <c r="EC25" s="284"/>
      <c r="ED25" s="284"/>
      <c r="EE25" s="284"/>
      <c r="EF25" s="284"/>
      <c r="EG25" s="284"/>
      <c r="EH25" s="284"/>
      <c r="EI25" s="284"/>
      <c r="EJ25" s="284"/>
      <c r="EK25" s="284"/>
      <c r="EL25" s="284"/>
      <c r="EM25" s="284"/>
      <c r="EN25" s="284"/>
      <c r="EO25" s="288"/>
      <c r="EP25" s="288"/>
      <c r="EQ25" s="288"/>
      <c r="ER25" s="288"/>
      <c r="ES25" s="288"/>
      <c r="ET25" s="288"/>
      <c r="EU25" s="288"/>
      <c r="EV25" s="288"/>
      <c r="EW25" s="288"/>
      <c r="EX25" s="288"/>
      <c r="EY25" s="288"/>
      <c r="EZ25" s="288"/>
      <c r="FA25" s="288"/>
      <c r="FB25" s="288"/>
      <c r="FC25" s="268"/>
      <c r="FD25" s="268"/>
      <c r="FE25" s="268"/>
      <c r="FF25" s="268"/>
      <c r="FG25" s="268"/>
      <c r="FH25" s="268"/>
      <c r="FI25" s="268"/>
      <c r="FJ25" s="268"/>
      <c r="FK25" s="268"/>
      <c r="FL25" s="268"/>
      <c r="FM25" s="268"/>
      <c r="FN25" s="277"/>
      <c r="FO25" s="277"/>
      <c r="FP25" s="277"/>
      <c r="FQ25" s="277"/>
      <c r="FR25" s="277"/>
      <c r="FS25" s="277"/>
      <c r="FT25" s="277"/>
      <c r="FU25" s="277"/>
      <c r="FV25" s="277"/>
      <c r="FW25" s="277"/>
      <c r="FX25" s="277"/>
      <c r="FY25" s="277"/>
      <c r="FZ25" s="277"/>
      <c r="GA25" s="277"/>
      <c r="GB25" s="277"/>
      <c r="GC25" s="277"/>
      <c r="GD25" s="277"/>
      <c r="GE25" s="278"/>
      <c r="GF25" s="40"/>
      <c r="GG25" s="40"/>
      <c r="GH25" s="40"/>
      <c r="GI25" s="42"/>
      <c r="GJ25">
        <f>AS25*1.2</f>
        <v>0</v>
      </c>
    </row>
    <row r="26" spans="1:192" ht="18.600000000000001" customHeight="1" thickBot="1" x14ac:dyDescent="0.35">
      <c r="A26" s="279" t="s">
        <v>88</v>
      </c>
      <c r="B26" s="277"/>
      <c r="C26" s="277"/>
      <c r="D26" s="277"/>
      <c r="E26" s="277"/>
      <c r="F26" s="277"/>
      <c r="G26" s="277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80"/>
      <c r="AT26" s="280"/>
      <c r="AU26" s="280"/>
      <c r="AV26" s="280"/>
      <c r="AW26" s="280"/>
      <c r="AX26" s="280"/>
      <c r="AY26" s="280"/>
      <c r="AZ26" s="280"/>
      <c r="BA26" s="280"/>
      <c r="BB26" s="280"/>
      <c r="BC26" s="280"/>
      <c r="BD26" s="280"/>
      <c r="BE26" s="268"/>
      <c r="BF26" s="268"/>
      <c r="BG26" s="268"/>
      <c r="BH26" s="268"/>
      <c r="BI26" s="268"/>
      <c r="BJ26" s="268"/>
      <c r="BK26" s="268"/>
      <c r="BL26" s="268"/>
      <c r="BM26" s="268"/>
      <c r="BN26" s="268"/>
      <c r="BO26" s="268"/>
      <c r="BP26" s="268"/>
      <c r="BQ26" s="268"/>
      <c r="BR26" s="268"/>
      <c r="BS26" s="268"/>
      <c r="BT26" s="268"/>
      <c r="BU26" s="289"/>
      <c r="BV26" s="290"/>
      <c r="BW26" s="290"/>
      <c r="BX26" s="290"/>
      <c r="BY26" s="290"/>
      <c r="BZ26" s="290"/>
      <c r="CA26" s="290"/>
      <c r="CB26" s="290"/>
      <c r="CC26" s="290"/>
      <c r="CD26" s="290"/>
      <c r="CE26" s="290"/>
      <c r="CF26" s="290"/>
      <c r="CG26" s="290"/>
      <c r="CH26" s="290"/>
      <c r="CI26" s="290"/>
      <c r="CJ26" s="290"/>
      <c r="CK26" s="290"/>
      <c r="CL26" s="290"/>
      <c r="CM26" s="290"/>
      <c r="CN26" s="290"/>
      <c r="CO26" s="290"/>
      <c r="CP26" s="290"/>
      <c r="CQ26" s="290"/>
      <c r="CR26" s="290"/>
      <c r="CS26" s="290"/>
      <c r="CT26" s="290"/>
      <c r="CU26" s="290"/>
      <c r="CV26" s="290"/>
      <c r="CW26" s="290"/>
      <c r="CX26" s="290"/>
      <c r="CY26" s="290"/>
      <c r="CZ26" s="290"/>
      <c r="DA26" s="290"/>
      <c r="DB26" s="290"/>
      <c r="DC26" s="290"/>
      <c r="DD26" s="290"/>
      <c r="DE26" s="290"/>
      <c r="DF26" s="290"/>
      <c r="DG26" s="291"/>
      <c r="DH26" s="285"/>
      <c r="DI26" s="286"/>
      <c r="DJ26" s="286"/>
      <c r="DK26" s="286"/>
      <c r="DL26" s="286"/>
      <c r="DM26" s="286"/>
      <c r="DN26" s="286"/>
      <c r="DO26" s="286"/>
      <c r="DP26" s="286"/>
      <c r="DQ26" s="286"/>
      <c r="DR26" s="287"/>
      <c r="DS26" s="284"/>
      <c r="DT26" s="284"/>
      <c r="DU26" s="284"/>
      <c r="DV26" s="284"/>
      <c r="DW26" s="284"/>
      <c r="DX26" s="284"/>
      <c r="DY26" s="284"/>
      <c r="DZ26" s="284"/>
      <c r="EA26" s="284"/>
      <c r="EB26" s="284"/>
      <c r="EC26" s="284"/>
      <c r="ED26" s="284"/>
      <c r="EE26" s="284"/>
      <c r="EF26" s="284"/>
      <c r="EG26" s="284"/>
      <c r="EH26" s="284"/>
      <c r="EI26" s="284"/>
      <c r="EJ26" s="284"/>
      <c r="EK26" s="284"/>
      <c r="EL26" s="284"/>
      <c r="EM26" s="284"/>
      <c r="EN26" s="284"/>
      <c r="EO26" s="288"/>
      <c r="EP26" s="288"/>
      <c r="EQ26" s="288"/>
      <c r="ER26" s="288"/>
      <c r="ES26" s="288"/>
      <c r="ET26" s="288"/>
      <c r="EU26" s="288"/>
      <c r="EV26" s="288"/>
      <c r="EW26" s="288"/>
      <c r="EX26" s="288"/>
      <c r="EY26" s="288"/>
      <c r="EZ26" s="288"/>
      <c r="FA26" s="288"/>
      <c r="FB26" s="288"/>
      <c r="FC26" s="268"/>
      <c r="FD26" s="268"/>
      <c r="FE26" s="268"/>
      <c r="FF26" s="268"/>
      <c r="FG26" s="268"/>
      <c r="FH26" s="268"/>
      <c r="FI26" s="268"/>
      <c r="FJ26" s="268"/>
      <c r="FK26" s="268"/>
      <c r="FL26" s="268"/>
      <c r="FM26" s="268"/>
      <c r="FN26" s="277"/>
      <c r="FO26" s="277"/>
      <c r="FP26" s="277"/>
      <c r="FQ26" s="277"/>
      <c r="FR26" s="277"/>
      <c r="FS26" s="277"/>
      <c r="FT26" s="277"/>
      <c r="FU26" s="277"/>
      <c r="FV26" s="277"/>
      <c r="FW26" s="277"/>
      <c r="FX26" s="277"/>
      <c r="FY26" s="277"/>
      <c r="FZ26" s="277"/>
      <c r="GA26" s="277"/>
      <c r="GB26" s="277"/>
      <c r="GC26" s="277"/>
      <c r="GD26" s="277"/>
      <c r="GE26" s="278"/>
      <c r="GF26" s="40"/>
      <c r="GG26" s="40"/>
      <c r="GH26" s="40"/>
      <c r="GI26" s="42"/>
      <c r="GJ26">
        <f>AS26*4.3</f>
        <v>0</v>
      </c>
    </row>
    <row r="27" spans="1:192" ht="18.600000000000001" customHeight="1" thickBot="1" x14ac:dyDescent="0.35">
      <c r="A27" s="279" t="s">
        <v>89</v>
      </c>
      <c r="B27" s="277"/>
      <c r="C27" s="277"/>
      <c r="D27" s="277"/>
      <c r="E27" s="277"/>
      <c r="F27" s="277"/>
      <c r="G27" s="277"/>
      <c r="H27" s="277"/>
      <c r="I27" s="277"/>
      <c r="J27" s="277"/>
      <c r="K27" s="277"/>
      <c r="L27" s="277"/>
      <c r="M27" s="277"/>
      <c r="N27" s="277"/>
      <c r="O27" s="277"/>
      <c r="P27" s="277"/>
      <c r="Q27" s="277"/>
      <c r="R27" s="277"/>
      <c r="S27" s="277"/>
      <c r="T27" s="277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80"/>
      <c r="AT27" s="280"/>
      <c r="AU27" s="280"/>
      <c r="AV27" s="280"/>
      <c r="AW27" s="280"/>
      <c r="AX27" s="280"/>
      <c r="AY27" s="280"/>
      <c r="AZ27" s="280"/>
      <c r="BA27" s="280"/>
      <c r="BB27" s="280"/>
      <c r="BC27" s="280"/>
      <c r="BD27" s="280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89"/>
      <c r="BV27" s="290"/>
      <c r="BW27" s="290"/>
      <c r="BX27" s="290"/>
      <c r="BY27" s="290"/>
      <c r="BZ27" s="290"/>
      <c r="CA27" s="290"/>
      <c r="CB27" s="290"/>
      <c r="CC27" s="290"/>
      <c r="CD27" s="290"/>
      <c r="CE27" s="290"/>
      <c r="CF27" s="290"/>
      <c r="CG27" s="290"/>
      <c r="CH27" s="290"/>
      <c r="CI27" s="290"/>
      <c r="CJ27" s="290"/>
      <c r="CK27" s="290"/>
      <c r="CL27" s="290"/>
      <c r="CM27" s="290"/>
      <c r="CN27" s="290"/>
      <c r="CO27" s="290"/>
      <c r="CP27" s="290"/>
      <c r="CQ27" s="290"/>
      <c r="CR27" s="290"/>
      <c r="CS27" s="290"/>
      <c r="CT27" s="290"/>
      <c r="CU27" s="290"/>
      <c r="CV27" s="290"/>
      <c r="CW27" s="290"/>
      <c r="CX27" s="290"/>
      <c r="CY27" s="290"/>
      <c r="CZ27" s="290"/>
      <c r="DA27" s="290"/>
      <c r="DB27" s="290"/>
      <c r="DC27" s="290"/>
      <c r="DD27" s="290"/>
      <c r="DE27" s="290"/>
      <c r="DF27" s="290"/>
      <c r="DG27" s="291"/>
      <c r="DH27" s="285"/>
      <c r="DI27" s="286"/>
      <c r="DJ27" s="286"/>
      <c r="DK27" s="286"/>
      <c r="DL27" s="286"/>
      <c r="DM27" s="286"/>
      <c r="DN27" s="286"/>
      <c r="DO27" s="286"/>
      <c r="DP27" s="286"/>
      <c r="DQ27" s="286"/>
      <c r="DR27" s="287"/>
      <c r="DS27" s="284"/>
      <c r="DT27" s="284"/>
      <c r="DU27" s="284"/>
      <c r="DV27" s="284"/>
      <c r="DW27" s="284"/>
      <c r="DX27" s="284"/>
      <c r="DY27" s="284"/>
      <c r="DZ27" s="284"/>
      <c r="EA27" s="284"/>
      <c r="EB27" s="284"/>
      <c r="EC27" s="284"/>
      <c r="ED27" s="284"/>
      <c r="EE27" s="284"/>
      <c r="EF27" s="284"/>
      <c r="EG27" s="284"/>
      <c r="EH27" s="284"/>
      <c r="EI27" s="284"/>
      <c r="EJ27" s="284"/>
      <c r="EK27" s="284"/>
      <c r="EL27" s="284"/>
      <c r="EM27" s="284"/>
      <c r="EN27" s="284"/>
      <c r="EO27" s="288"/>
      <c r="EP27" s="288"/>
      <c r="EQ27" s="288"/>
      <c r="ER27" s="288"/>
      <c r="ES27" s="288"/>
      <c r="ET27" s="288"/>
      <c r="EU27" s="288"/>
      <c r="EV27" s="288"/>
      <c r="EW27" s="288"/>
      <c r="EX27" s="288"/>
      <c r="EY27" s="288"/>
      <c r="EZ27" s="288"/>
      <c r="FA27" s="288"/>
      <c r="FB27" s="288"/>
      <c r="FC27" s="268"/>
      <c r="FD27" s="268"/>
      <c r="FE27" s="268"/>
      <c r="FF27" s="268"/>
      <c r="FG27" s="268"/>
      <c r="FH27" s="268"/>
      <c r="FI27" s="268"/>
      <c r="FJ27" s="268"/>
      <c r="FK27" s="268"/>
      <c r="FL27" s="268"/>
      <c r="FM27" s="268"/>
      <c r="FN27" s="277"/>
      <c r="FO27" s="277"/>
      <c r="FP27" s="277"/>
      <c r="FQ27" s="277"/>
      <c r="FR27" s="277"/>
      <c r="FS27" s="277"/>
      <c r="FT27" s="277"/>
      <c r="FU27" s="277"/>
      <c r="FV27" s="277"/>
      <c r="FW27" s="277"/>
      <c r="FX27" s="277"/>
      <c r="FY27" s="277"/>
      <c r="FZ27" s="277"/>
      <c r="GA27" s="277"/>
      <c r="GB27" s="277"/>
      <c r="GC27" s="277"/>
      <c r="GD27" s="277"/>
      <c r="GE27" s="278"/>
      <c r="GF27" s="40"/>
      <c r="GG27" s="40"/>
      <c r="GH27" s="40"/>
      <c r="GI27" s="42"/>
      <c r="GJ27">
        <f>AS27*3.8</f>
        <v>0</v>
      </c>
    </row>
    <row r="28" spans="1:192" ht="18.600000000000001" customHeight="1" thickBot="1" x14ac:dyDescent="0.35">
      <c r="A28" s="279" t="s">
        <v>90</v>
      </c>
      <c r="B28" s="277"/>
      <c r="C28" s="277"/>
      <c r="D28" s="277"/>
      <c r="E28" s="277"/>
      <c r="F28" s="277"/>
      <c r="G28" s="277"/>
      <c r="H28" s="277"/>
      <c r="I28" s="277"/>
      <c r="J28" s="277"/>
      <c r="K28" s="277"/>
      <c r="L28" s="277"/>
      <c r="M28" s="277"/>
      <c r="N28" s="277"/>
      <c r="O28" s="277"/>
      <c r="P28" s="277"/>
      <c r="Q28" s="277"/>
      <c r="R28" s="277"/>
      <c r="S28" s="277"/>
      <c r="T28" s="277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80"/>
      <c r="AT28" s="280"/>
      <c r="AU28" s="280"/>
      <c r="AV28" s="280"/>
      <c r="AW28" s="280"/>
      <c r="AX28" s="280"/>
      <c r="AY28" s="280"/>
      <c r="AZ28" s="280"/>
      <c r="BA28" s="280"/>
      <c r="BB28" s="280"/>
      <c r="BC28" s="280"/>
      <c r="BD28" s="280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89"/>
      <c r="BV28" s="290"/>
      <c r="BW28" s="290"/>
      <c r="BX28" s="290"/>
      <c r="BY28" s="290"/>
      <c r="BZ28" s="290"/>
      <c r="CA28" s="290"/>
      <c r="CB28" s="290"/>
      <c r="CC28" s="290"/>
      <c r="CD28" s="290"/>
      <c r="CE28" s="290"/>
      <c r="CF28" s="290"/>
      <c r="CG28" s="290"/>
      <c r="CH28" s="290"/>
      <c r="CI28" s="290"/>
      <c r="CJ28" s="290"/>
      <c r="CK28" s="290"/>
      <c r="CL28" s="290"/>
      <c r="CM28" s="290"/>
      <c r="CN28" s="290"/>
      <c r="CO28" s="290"/>
      <c r="CP28" s="290"/>
      <c r="CQ28" s="290"/>
      <c r="CR28" s="290"/>
      <c r="CS28" s="290"/>
      <c r="CT28" s="290"/>
      <c r="CU28" s="290"/>
      <c r="CV28" s="290"/>
      <c r="CW28" s="290"/>
      <c r="CX28" s="290"/>
      <c r="CY28" s="290"/>
      <c r="CZ28" s="290"/>
      <c r="DA28" s="290"/>
      <c r="DB28" s="290"/>
      <c r="DC28" s="290"/>
      <c r="DD28" s="290"/>
      <c r="DE28" s="290"/>
      <c r="DF28" s="290"/>
      <c r="DG28" s="291"/>
      <c r="DH28" s="285"/>
      <c r="DI28" s="286"/>
      <c r="DJ28" s="286"/>
      <c r="DK28" s="286"/>
      <c r="DL28" s="286"/>
      <c r="DM28" s="286"/>
      <c r="DN28" s="286"/>
      <c r="DO28" s="286"/>
      <c r="DP28" s="286"/>
      <c r="DQ28" s="286"/>
      <c r="DR28" s="287"/>
      <c r="DS28" s="284"/>
      <c r="DT28" s="284"/>
      <c r="DU28" s="284"/>
      <c r="DV28" s="284"/>
      <c r="DW28" s="284"/>
      <c r="DX28" s="284"/>
      <c r="DY28" s="284"/>
      <c r="DZ28" s="284"/>
      <c r="EA28" s="284"/>
      <c r="EB28" s="284"/>
      <c r="EC28" s="284"/>
      <c r="ED28" s="284"/>
      <c r="EE28" s="284"/>
      <c r="EF28" s="284"/>
      <c r="EG28" s="284"/>
      <c r="EH28" s="284"/>
      <c r="EI28" s="284"/>
      <c r="EJ28" s="284"/>
      <c r="EK28" s="284"/>
      <c r="EL28" s="284"/>
      <c r="EM28" s="284"/>
      <c r="EN28" s="284"/>
      <c r="EO28" s="288"/>
      <c r="EP28" s="288"/>
      <c r="EQ28" s="288"/>
      <c r="ER28" s="288"/>
      <c r="ES28" s="288"/>
      <c r="ET28" s="288"/>
      <c r="EU28" s="288"/>
      <c r="EV28" s="288"/>
      <c r="EW28" s="288"/>
      <c r="EX28" s="288"/>
      <c r="EY28" s="288"/>
      <c r="EZ28" s="288"/>
      <c r="FA28" s="288"/>
      <c r="FB28" s="288"/>
      <c r="FC28" s="268"/>
      <c r="FD28" s="268"/>
      <c r="FE28" s="268"/>
      <c r="FF28" s="268"/>
      <c r="FG28" s="268"/>
      <c r="FH28" s="268"/>
      <c r="FI28" s="268"/>
      <c r="FJ28" s="268"/>
      <c r="FK28" s="268"/>
      <c r="FL28" s="268"/>
      <c r="FM28" s="268"/>
      <c r="FN28" s="277"/>
      <c r="FO28" s="277"/>
      <c r="FP28" s="277"/>
      <c r="FQ28" s="277"/>
      <c r="FR28" s="277"/>
      <c r="FS28" s="277"/>
      <c r="FT28" s="277"/>
      <c r="FU28" s="277"/>
      <c r="FV28" s="277"/>
      <c r="FW28" s="277"/>
      <c r="FX28" s="277"/>
      <c r="FY28" s="277"/>
      <c r="FZ28" s="277"/>
      <c r="GA28" s="277"/>
      <c r="GB28" s="277"/>
      <c r="GC28" s="277"/>
      <c r="GD28" s="277"/>
      <c r="GE28" s="278"/>
      <c r="GF28" s="40"/>
      <c r="GG28" s="40"/>
      <c r="GH28" s="40"/>
      <c r="GI28" s="42"/>
      <c r="GJ28">
        <f>AS28*6.3</f>
        <v>0</v>
      </c>
    </row>
    <row r="29" spans="1:192" ht="18.600000000000001" customHeight="1" x14ac:dyDescent="0.3">
      <c r="A29" s="279" t="s">
        <v>91</v>
      </c>
      <c r="B29" s="277"/>
      <c r="C29" s="277"/>
      <c r="D29" s="277"/>
      <c r="E29" s="277"/>
      <c r="F29" s="277"/>
      <c r="G29" s="277"/>
      <c r="H29" s="277"/>
      <c r="I29" s="277"/>
      <c r="J29" s="277"/>
      <c r="K29" s="277"/>
      <c r="L29" s="277"/>
      <c r="M29" s="277"/>
      <c r="N29" s="277"/>
      <c r="O29" s="277"/>
      <c r="P29" s="277"/>
      <c r="Q29" s="277"/>
      <c r="R29" s="277"/>
      <c r="S29" s="277"/>
      <c r="T29" s="277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80"/>
      <c r="AT29" s="280"/>
      <c r="AU29" s="280"/>
      <c r="AV29" s="280"/>
      <c r="AW29" s="280"/>
      <c r="AX29" s="280"/>
      <c r="AY29" s="280"/>
      <c r="AZ29" s="280"/>
      <c r="BA29" s="280"/>
      <c r="BB29" s="280"/>
      <c r="BC29" s="280"/>
      <c r="BD29" s="280"/>
      <c r="BE29" s="268"/>
      <c r="BF29" s="268"/>
      <c r="BG29" s="268"/>
      <c r="BH29" s="268"/>
      <c r="BI29" s="268"/>
      <c r="BJ29" s="268"/>
      <c r="BK29" s="268"/>
      <c r="BL29" s="268"/>
      <c r="BM29" s="268"/>
      <c r="BN29" s="268"/>
      <c r="BO29" s="268"/>
      <c r="BP29" s="268"/>
      <c r="BQ29" s="268"/>
      <c r="BR29" s="268"/>
      <c r="BS29" s="268"/>
      <c r="BT29" s="268"/>
      <c r="BU29" s="289"/>
      <c r="BV29" s="290"/>
      <c r="BW29" s="290"/>
      <c r="BX29" s="290"/>
      <c r="BY29" s="290"/>
      <c r="BZ29" s="290"/>
      <c r="CA29" s="290"/>
      <c r="CB29" s="290"/>
      <c r="CC29" s="290"/>
      <c r="CD29" s="290"/>
      <c r="CE29" s="290"/>
      <c r="CF29" s="290"/>
      <c r="CG29" s="290"/>
      <c r="CH29" s="290"/>
      <c r="CI29" s="290"/>
      <c r="CJ29" s="290"/>
      <c r="CK29" s="290"/>
      <c r="CL29" s="290"/>
      <c r="CM29" s="290"/>
      <c r="CN29" s="290"/>
      <c r="CO29" s="290"/>
      <c r="CP29" s="290"/>
      <c r="CQ29" s="290"/>
      <c r="CR29" s="290"/>
      <c r="CS29" s="290"/>
      <c r="CT29" s="290"/>
      <c r="CU29" s="290"/>
      <c r="CV29" s="290"/>
      <c r="CW29" s="290"/>
      <c r="CX29" s="290"/>
      <c r="CY29" s="290"/>
      <c r="CZ29" s="290"/>
      <c r="DA29" s="290"/>
      <c r="DB29" s="290"/>
      <c r="DC29" s="290"/>
      <c r="DD29" s="290"/>
      <c r="DE29" s="290"/>
      <c r="DF29" s="290"/>
      <c r="DG29" s="291"/>
      <c r="DH29" s="285"/>
      <c r="DI29" s="286"/>
      <c r="DJ29" s="286"/>
      <c r="DK29" s="286"/>
      <c r="DL29" s="286"/>
      <c r="DM29" s="286"/>
      <c r="DN29" s="286"/>
      <c r="DO29" s="286"/>
      <c r="DP29" s="286"/>
      <c r="DQ29" s="286"/>
      <c r="DR29" s="287"/>
      <c r="DS29" s="284"/>
      <c r="DT29" s="284"/>
      <c r="DU29" s="284"/>
      <c r="DV29" s="284"/>
      <c r="DW29" s="284"/>
      <c r="DX29" s="284"/>
      <c r="DY29" s="284"/>
      <c r="DZ29" s="284"/>
      <c r="EA29" s="284"/>
      <c r="EB29" s="284"/>
      <c r="EC29" s="284"/>
      <c r="ED29" s="284"/>
      <c r="EE29" s="284"/>
      <c r="EF29" s="284"/>
      <c r="EG29" s="284"/>
      <c r="EH29" s="284"/>
      <c r="EI29" s="284"/>
      <c r="EJ29" s="284"/>
      <c r="EK29" s="284"/>
      <c r="EL29" s="284"/>
      <c r="EM29" s="284"/>
      <c r="EN29" s="284"/>
      <c r="EO29" s="288"/>
      <c r="EP29" s="288"/>
      <c r="EQ29" s="288"/>
      <c r="ER29" s="288"/>
      <c r="ES29" s="288"/>
      <c r="ET29" s="288"/>
      <c r="EU29" s="288"/>
      <c r="EV29" s="288"/>
      <c r="EW29" s="288"/>
      <c r="EX29" s="288"/>
      <c r="EY29" s="288"/>
      <c r="EZ29" s="288"/>
      <c r="FA29" s="288"/>
      <c r="FB29" s="288"/>
      <c r="FC29" s="268"/>
      <c r="FD29" s="268"/>
      <c r="FE29" s="268"/>
      <c r="FF29" s="268"/>
      <c r="FG29" s="268"/>
      <c r="FH29" s="268"/>
      <c r="FI29" s="268"/>
      <c r="FJ29" s="268"/>
      <c r="FK29" s="268"/>
      <c r="FL29" s="268"/>
      <c r="FM29" s="268"/>
      <c r="FN29" s="277"/>
      <c r="FO29" s="277"/>
      <c r="FP29" s="277"/>
      <c r="FQ29" s="277"/>
      <c r="FR29" s="277"/>
      <c r="FS29" s="277"/>
      <c r="FT29" s="277"/>
      <c r="FU29" s="277"/>
      <c r="FV29" s="277"/>
      <c r="FW29" s="277"/>
      <c r="FX29" s="277"/>
      <c r="FY29" s="277"/>
      <c r="FZ29" s="277"/>
      <c r="GA29" s="277"/>
      <c r="GB29" s="277"/>
      <c r="GC29" s="277"/>
      <c r="GD29" s="277"/>
      <c r="GE29" s="278"/>
      <c r="GF29" s="40"/>
      <c r="GG29" s="40"/>
      <c r="GH29" s="40"/>
      <c r="GI29" s="42"/>
      <c r="GJ29">
        <f>AS29*4.3</f>
        <v>0</v>
      </c>
    </row>
    <row r="30" spans="1:192" ht="18.600000000000001" customHeight="1" x14ac:dyDescent="0.3">
      <c r="A30" s="628" t="s">
        <v>92</v>
      </c>
      <c r="B30" s="626"/>
      <c r="C30" s="626"/>
      <c r="D30" s="626"/>
      <c r="E30" s="626"/>
      <c r="F30" s="626"/>
      <c r="G30" s="626"/>
      <c r="H30" s="626"/>
      <c r="I30" s="626"/>
      <c r="J30" s="626"/>
      <c r="K30" s="629"/>
      <c r="L30" s="625"/>
      <c r="M30" s="626"/>
      <c r="N30" s="626"/>
      <c r="O30" s="626"/>
      <c r="P30" s="626"/>
      <c r="Q30" s="626"/>
      <c r="R30" s="626"/>
      <c r="S30" s="626"/>
      <c r="T30" s="626"/>
      <c r="U30" s="626"/>
      <c r="V30" s="626"/>
      <c r="W30" s="626"/>
      <c r="X30" s="626"/>
      <c r="Y30" s="626"/>
      <c r="Z30" s="626"/>
      <c r="AA30" s="626"/>
      <c r="AB30" s="626"/>
      <c r="AC30" s="626"/>
      <c r="AD30" s="626"/>
      <c r="AE30" s="629"/>
      <c r="AF30" s="625"/>
      <c r="AG30" s="626"/>
      <c r="AH30" s="626"/>
      <c r="AI30" s="626"/>
      <c r="AJ30" s="626"/>
      <c r="AK30" s="626"/>
      <c r="AL30" s="626"/>
      <c r="AM30" s="626"/>
      <c r="AN30" s="626"/>
      <c r="AO30" s="626"/>
      <c r="AP30" s="626"/>
      <c r="AQ30" s="626"/>
      <c r="AR30" s="629"/>
      <c r="AS30" s="294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6"/>
      <c r="BE30" s="622"/>
      <c r="BF30" s="623"/>
      <c r="BG30" s="623"/>
      <c r="BH30" s="623"/>
      <c r="BI30" s="623"/>
      <c r="BJ30" s="623"/>
      <c r="BK30" s="623"/>
      <c r="BL30" s="623"/>
      <c r="BM30" s="623"/>
      <c r="BN30" s="623"/>
      <c r="BO30" s="623"/>
      <c r="BP30" s="623"/>
      <c r="BQ30" s="623"/>
      <c r="BR30" s="623"/>
      <c r="BS30" s="623"/>
      <c r="BT30" s="624"/>
      <c r="BU30" s="294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6"/>
      <c r="DH30" s="285"/>
      <c r="DI30" s="286"/>
      <c r="DJ30" s="286"/>
      <c r="DK30" s="286"/>
      <c r="DL30" s="286"/>
      <c r="DM30" s="286"/>
      <c r="DN30" s="286"/>
      <c r="DO30" s="286"/>
      <c r="DP30" s="286"/>
      <c r="DQ30" s="286"/>
      <c r="DR30" s="287"/>
      <c r="DS30" s="616"/>
      <c r="DT30" s="617"/>
      <c r="DU30" s="617"/>
      <c r="DV30" s="617"/>
      <c r="DW30" s="617"/>
      <c r="DX30" s="617"/>
      <c r="DY30" s="617"/>
      <c r="DZ30" s="617"/>
      <c r="EA30" s="617"/>
      <c r="EB30" s="617"/>
      <c r="EC30" s="618"/>
      <c r="ED30" s="616"/>
      <c r="EE30" s="617"/>
      <c r="EF30" s="617"/>
      <c r="EG30" s="617"/>
      <c r="EH30" s="617"/>
      <c r="EI30" s="617"/>
      <c r="EJ30" s="617"/>
      <c r="EK30" s="617"/>
      <c r="EL30" s="617"/>
      <c r="EM30" s="617"/>
      <c r="EN30" s="618"/>
      <c r="EO30" s="619"/>
      <c r="EP30" s="620"/>
      <c r="EQ30" s="620"/>
      <c r="ER30" s="620"/>
      <c r="ES30" s="620"/>
      <c r="ET30" s="620"/>
      <c r="EU30" s="620"/>
      <c r="EV30" s="620"/>
      <c r="EW30" s="620"/>
      <c r="EX30" s="620"/>
      <c r="EY30" s="620"/>
      <c r="EZ30" s="620"/>
      <c r="FA30" s="620"/>
      <c r="FB30" s="621"/>
      <c r="FC30" s="622"/>
      <c r="FD30" s="623"/>
      <c r="FE30" s="623"/>
      <c r="FF30" s="623"/>
      <c r="FG30" s="623"/>
      <c r="FH30" s="623"/>
      <c r="FI30" s="623"/>
      <c r="FJ30" s="623"/>
      <c r="FK30" s="623"/>
      <c r="FL30" s="623"/>
      <c r="FM30" s="624"/>
      <c r="FN30" s="625"/>
      <c r="FO30" s="626"/>
      <c r="FP30" s="626"/>
      <c r="FQ30" s="626"/>
      <c r="FR30" s="626"/>
      <c r="FS30" s="626"/>
      <c r="FT30" s="626"/>
      <c r="FU30" s="626"/>
      <c r="FV30" s="626"/>
      <c r="FW30" s="626"/>
      <c r="FX30" s="626"/>
      <c r="FY30" s="626"/>
      <c r="FZ30" s="626"/>
      <c r="GA30" s="626"/>
      <c r="GB30" s="626"/>
      <c r="GC30" s="626"/>
      <c r="GD30" s="626"/>
      <c r="GE30" s="627"/>
      <c r="GF30" s="40"/>
      <c r="GG30" s="40"/>
      <c r="GH30" s="40"/>
      <c r="GI30" s="42"/>
      <c r="GJ30">
        <f>SUM(GJ18:GJ29)</f>
        <v>4.0999999999999996</v>
      </c>
    </row>
    <row r="31" spans="1:192" ht="18.600000000000001" customHeight="1" x14ac:dyDescent="0.3">
      <c r="A31" s="628" t="s">
        <v>300</v>
      </c>
      <c r="B31" s="626"/>
      <c r="C31" s="626"/>
      <c r="D31" s="626"/>
      <c r="E31" s="626"/>
      <c r="F31" s="626"/>
      <c r="G31" s="626"/>
      <c r="H31" s="626"/>
      <c r="I31" s="626"/>
      <c r="J31" s="626"/>
      <c r="K31" s="629"/>
      <c r="L31" s="625"/>
      <c r="M31" s="626"/>
      <c r="N31" s="626"/>
      <c r="O31" s="626"/>
      <c r="P31" s="626"/>
      <c r="Q31" s="626"/>
      <c r="R31" s="626"/>
      <c r="S31" s="626"/>
      <c r="T31" s="626"/>
      <c r="U31" s="626"/>
      <c r="V31" s="626"/>
      <c r="W31" s="626"/>
      <c r="X31" s="626"/>
      <c r="Y31" s="626"/>
      <c r="Z31" s="626"/>
      <c r="AA31" s="626"/>
      <c r="AB31" s="626"/>
      <c r="AC31" s="626"/>
      <c r="AD31" s="626"/>
      <c r="AE31" s="629"/>
      <c r="AF31" s="625"/>
      <c r="AG31" s="626"/>
      <c r="AH31" s="626"/>
      <c r="AI31" s="626"/>
      <c r="AJ31" s="626"/>
      <c r="AK31" s="626"/>
      <c r="AL31" s="626"/>
      <c r="AM31" s="626"/>
      <c r="AN31" s="626"/>
      <c r="AO31" s="626"/>
      <c r="AP31" s="626"/>
      <c r="AQ31" s="626"/>
      <c r="AR31" s="629"/>
      <c r="AS31" s="294">
        <f>SUM(AS18:AS30)</f>
        <v>3</v>
      </c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6"/>
      <c r="BE31" s="622"/>
      <c r="BF31" s="623"/>
      <c r="BG31" s="623"/>
      <c r="BH31" s="623"/>
      <c r="BI31" s="623"/>
      <c r="BJ31" s="623"/>
      <c r="BK31" s="623"/>
      <c r="BL31" s="623"/>
      <c r="BM31" s="623"/>
      <c r="BN31" s="623"/>
      <c r="BO31" s="623"/>
      <c r="BP31" s="623"/>
      <c r="BQ31" s="623"/>
      <c r="BR31" s="623"/>
      <c r="BS31" s="623"/>
      <c r="BT31" s="624"/>
      <c r="BU31" s="294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6"/>
      <c r="DH31" s="285"/>
      <c r="DI31" s="286"/>
      <c r="DJ31" s="286"/>
      <c r="DK31" s="286"/>
      <c r="DL31" s="286"/>
      <c r="DM31" s="286"/>
      <c r="DN31" s="286"/>
      <c r="DO31" s="286"/>
      <c r="DP31" s="286"/>
      <c r="DQ31" s="286"/>
      <c r="DR31" s="287"/>
      <c r="DS31" s="616"/>
      <c r="DT31" s="617"/>
      <c r="DU31" s="617"/>
      <c r="DV31" s="617"/>
      <c r="DW31" s="617"/>
      <c r="DX31" s="617"/>
      <c r="DY31" s="617"/>
      <c r="DZ31" s="617"/>
      <c r="EA31" s="617"/>
      <c r="EB31" s="617"/>
      <c r="EC31" s="618"/>
      <c r="ED31" s="616"/>
      <c r="EE31" s="617"/>
      <c r="EF31" s="617"/>
      <c r="EG31" s="617"/>
      <c r="EH31" s="617"/>
      <c r="EI31" s="617"/>
      <c r="EJ31" s="617"/>
      <c r="EK31" s="617"/>
      <c r="EL31" s="617"/>
      <c r="EM31" s="617"/>
      <c r="EN31" s="618"/>
      <c r="EO31" s="630">
        <f>SUM(EO18:EO30)</f>
        <v>7740</v>
      </c>
      <c r="EP31" s="631"/>
      <c r="EQ31" s="631"/>
      <c r="ER31" s="631"/>
      <c r="ES31" s="631"/>
      <c r="ET31" s="631"/>
      <c r="EU31" s="631"/>
      <c r="EV31" s="631"/>
      <c r="EW31" s="631"/>
      <c r="EX31" s="631"/>
      <c r="EY31" s="631"/>
      <c r="EZ31" s="631"/>
      <c r="FA31" s="631"/>
      <c r="FB31" s="632"/>
      <c r="FC31" s="622"/>
      <c r="FD31" s="623"/>
      <c r="FE31" s="623"/>
      <c r="FF31" s="623"/>
      <c r="FG31" s="623"/>
      <c r="FH31" s="623"/>
      <c r="FI31" s="623"/>
      <c r="FJ31" s="623"/>
      <c r="FK31" s="623"/>
      <c r="FL31" s="623"/>
      <c r="FM31" s="624"/>
      <c r="FN31" s="625"/>
      <c r="FO31" s="626"/>
      <c r="FP31" s="626"/>
      <c r="FQ31" s="626"/>
      <c r="FR31" s="626"/>
      <c r="FS31" s="626"/>
      <c r="FT31" s="626"/>
      <c r="FU31" s="626"/>
      <c r="FV31" s="626"/>
      <c r="FW31" s="626"/>
      <c r="FX31" s="626"/>
      <c r="FY31" s="626"/>
      <c r="FZ31" s="626"/>
      <c r="GA31" s="626"/>
      <c r="GB31" s="626"/>
      <c r="GC31" s="626"/>
      <c r="GD31" s="626"/>
      <c r="GE31" s="627"/>
      <c r="GF31" s="40"/>
      <c r="GG31" s="40"/>
      <c r="GH31" s="40"/>
      <c r="GI31" s="42"/>
    </row>
    <row r="32" spans="1:192" x14ac:dyDescent="0.3">
      <c r="A32" s="41" t="s">
        <v>93</v>
      </c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50"/>
      <c r="AO32" s="50"/>
      <c r="AP32" s="50"/>
      <c r="AQ32" s="50"/>
      <c r="AR32" s="50"/>
      <c r="AS32" s="297"/>
      <c r="AT32" s="297"/>
      <c r="AU32" s="297"/>
      <c r="AV32" s="297"/>
      <c r="AW32" s="297"/>
      <c r="AX32" s="297"/>
      <c r="AY32" s="297"/>
      <c r="AZ32" s="297"/>
      <c r="BA32" s="297"/>
      <c r="BB32" s="297"/>
      <c r="BC32" s="297"/>
      <c r="BD32" s="297"/>
      <c r="BE32" s="297"/>
      <c r="BF32" s="297"/>
      <c r="BG32" s="297"/>
      <c r="BH32" s="297"/>
      <c r="BI32" s="297"/>
      <c r="BJ32" s="297"/>
      <c r="BK32" s="297"/>
      <c r="BL32" s="297"/>
      <c r="BM32" s="297"/>
      <c r="BN32" s="297"/>
      <c r="BO32" s="297"/>
      <c r="BP32" s="297"/>
      <c r="BQ32" s="297"/>
      <c r="BR32" s="297"/>
      <c r="BS32" s="297"/>
      <c r="BT32" s="297"/>
      <c r="BU32" s="297"/>
      <c r="BV32" s="40"/>
      <c r="BW32" s="41" t="s">
        <v>94</v>
      </c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40"/>
      <c r="EN32" s="40"/>
      <c r="EO32" s="299" t="s">
        <v>95</v>
      </c>
      <c r="EP32" s="300"/>
      <c r="EQ32" s="300"/>
      <c r="ER32" s="300"/>
      <c r="ES32" s="300"/>
      <c r="ET32" s="300"/>
      <c r="EU32" s="300"/>
      <c r="EV32" s="300"/>
      <c r="EW32" s="300"/>
      <c r="EX32" s="300"/>
      <c r="EY32" s="300"/>
      <c r="EZ32" s="300"/>
      <c r="FA32" s="300"/>
      <c r="FB32" s="301"/>
      <c r="FC32" s="302"/>
      <c r="FD32" s="300"/>
      <c r="FE32" s="300"/>
      <c r="FF32" s="300"/>
      <c r="FG32" s="300"/>
      <c r="FH32" s="300"/>
      <c r="FI32" s="300"/>
      <c r="FJ32" s="300"/>
      <c r="FK32" s="300"/>
      <c r="FL32" s="300"/>
      <c r="FM32" s="303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2"/>
    </row>
    <row r="33" spans="1:191" ht="11.4" customHeight="1" thickBot="1" x14ac:dyDescent="0.35">
      <c r="A33" s="41" t="s">
        <v>96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297"/>
      <c r="AF33" s="297"/>
      <c r="AG33" s="297"/>
      <c r="AH33" s="297"/>
      <c r="AI33" s="297"/>
      <c r="AJ33" s="297"/>
      <c r="AK33" s="297"/>
      <c r="AL33" s="297"/>
      <c r="AM33" s="297"/>
      <c r="AN33" s="297"/>
      <c r="AO33" s="297"/>
      <c r="AP33" s="297"/>
      <c r="AQ33" s="297"/>
      <c r="AR33" s="297"/>
      <c r="AS33" s="297"/>
      <c r="AT33" s="297"/>
      <c r="AU33" s="297"/>
      <c r="AV33" s="297"/>
      <c r="AW33" s="297"/>
      <c r="AX33" s="297"/>
      <c r="AY33" s="297"/>
      <c r="AZ33" s="297"/>
      <c r="BA33" s="297"/>
      <c r="BB33" s="297"/>
      <c r="BC33" s="297"/>
      <c r="BD33" s="297"/>
      <c r="BE33" s="297"/>
      <c r="BF33" s="297"/>
      <c r="BG33" s="297"/>
      <c r="BH33" s="297"/>
      <c r="BI33" s="297"/>
      <c r="BJ33" s="297"/>
      <c r="BK33" s="297"/>
      <c r="BL33" s="297"/>
      <c r="BM33" s="297"/>
      <c r="BN33" s="297"/>
      <c r="BO33" s="297"/>
      <c r="BP33" s="297"/>
      <c r="BQ33" s="297"/>
      <c r="BR33" s="297"/>
      <c r="BS33" s="297"/>
      <c r="BT33" s="297"/>
      <c r="BU33" s="297"/>
      <c r="BV33" s="40"/>
      <c r="BW33" s="41" t="s">
        <v>97</v>
      </c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304" t="s">
        <v>98</v>
      </c>
      <c r="EP33" s="305"/>
      <c r="EQ33" s="305"/>
      <c r="ER33" s="305"/>
      <c r="ES33" s="305"/>
      <c r="ET33" s="305"/>
      <c r="EU33" s="305"/>
      <c r="EV33" s="305"/>
      <c r="EW33" s="305"/>
      <c r="EX33" s="305"/>
      <c r="EY33" s="305"/>
      <c r="EZ33" s="305"/>
      <c r="FA33" s="305"/>
      <c r="FB33" s="306"/>
      <c r="FC33" s="260"/>
      <c r="FD33" s="261"/>
      <c r="FE33" s="261"/>
      <c r="FF33" s="261"/>
      <c r="FG33" s="261"/>
      <c r="FH33" s="261"/>
      <c r="FI33" s="261"/>
      <c r="FJ33" s="261"/>
      <c r="FK33" s="261"/>
      <c r="FL33" s="261"/>
      <c r="FM33" s="263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2"/>
    </row>
    <row r="34" spans="1:191" ht="11.4" customHeight="1" x14ac:dyDescent="0.3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316" t="s">
        <v>99</v>
      </c>
      <c r="O34" s="316"/>
      <c r="P34" s="316"/>
      <c r="Q34" s="316"/>
      <c r="R34" s="316"/>
      <c r="S34" s="316"/>
      <c r="T34" s="316"/>
      <c r="U34" s="316"/>
      <c r="V34" s="316"/>
      <c r="W34" s="316"/>
      <c r="X34" s="316"/>
      <c r="Y34" s="316"/>
      <c r="Z34" s="316"/>
      <c r="AA34" s="316"/>
      <c r="AB34" s="316"/>
      <c r="AC34" s="316"/>
      <c r="AD34" s="316"/>
      <c r="AE34" s="316"/>
      <c r="AF34" s="316"/>
      <c r="AG34" s="316"/>
      <c r="AH34" s="316"/>
      <c r="AI34" s="316"/>
      <c r="AJ34" s="316"/>
      <c r="AK34" s="316"/>
      <c r="AL34" s="316"/>
      <c r="AM34" s="316"/>
      <c r="AN34" s="316"/>
      <c r="AO34" s="316"/>
      <c r="AP34" s="316"/>
      <c r="AQ34" s="316"/>
      <c r="AR34" s="316"/>
      <c r="AS34" s="316"/>
      <c r="AT34" s="316"/>
      <c r="AU34" s="316"/>
      <c r="AV34" s="316"/>
      <c r="AW34" s="316"/>
      <c r="AX34" s="316"/>
      <c r="AY34" s="316"/>
      <c r="AZ34" s="316"/>
      <c r="BA34" s="316"/>
      <c r="BB34" s="316"/>
      <c r="BC34" s="316"/>
      <c r="BD34" s="316"/>
      <c r="BE34" s="316"/>
      <c r="BF34" s="316"/>
      <c r="BG34" s="316"/>
      <c r="BH34" s="316"/>
      <c r="BI34" s="316"/>
      <c r="BJ34" s="316"/>
      <c r="BK34" s="316"/>
      <c r="BL34" s="316"/>
      <c r="BM34" s="316"/>
      <c r="BN34" s="316"/>
      <c r="BO34" s="316"/>
      <c r="BP34" s="316"/>
      <c r="BQ34" s="316"/>
      <c r="BR34" s="316"/>
      <c r="BS34" s="316"/>
      <c r="BT34" s="316"/>
      <c r="BU34" s="316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633">
        <f>EO31</f>
        <v>7740</v>
      </c>
      <c r="DT34" s="634"/>
      <c r="DU34" s="634"/>
      <c r="DV34" s="634"/>
      <c r="DW34" s="634"/>
      <c r="DX34" s="634"/>
      <c r="DY34" s="634"/>
      <c r="DZ34" s="634"/>
      <c r="EA34" s="634"/>
      <c r="EB34" s="634"/>
      <c r="EC34" s="634"/>
      <c r="ED34" s="634"/>
      <c r="EE34" s="634"/>
      <c r="EF34" s="634"/>
      <c r="EG34" s="634"/>
      <c r="EH34" s="635"/>
      <c r="EI34" s="40"/>
      <c r="EJ34" s="40"/>
      <c r="EK34" s="40"/>
      <c r="EL34" s="40"/>
      <c r="EM34" s="40"/>
      <c r="EN34" s="40"/>
      <c r="EO34" s="307"/>
      <c r="EP34" s="308"/>
      <c r="EQ34" s="308"/>
      <c r="ER34" s="308"/>
      <c r="ES34" s="308"/>
      <c r="ET34" s="308"/>
      <c r="EU34" s="308"/>
      <c r="EV34" s="308"/>
      <c r="EW34" s="308"/>
      <c r="EX34" s="308"/>
      <c r="EY34" s="308"/>
      <c r="EZ34" s="308"/>
      <c r="FA34" s="308"/>
      <c r="FB34" s="309"/>
      <c r="FC34" s="313"/>
      <c r="FD34" s="314"/>
      <c r="FE34" s="314"/>
      <c r="FF34" s="314"/>
      <c r="FG34" s="314"/>
      <c r="FH34" s="314"/>
      <c r="FI34" s="314"/>
      <c r="FJ34" s="314"/>
      <c r="FK34" s="314"/>
      <c r="FL34" s="314"/>
      <c r="FM34" s="315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2"/>
    </row>
    <row r="35" spans="1:191" ht="11.4" customHeight="1" x14ac:dyDescent="0.3">
      <c r="A35" s="41" t="s">
        <v>100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51"/>
      <c r="N35" s="51"/>
      <c r="O35" s="51"/>
      <c r="P35" s="51"/>
      <c r="Q35" s="323">
        <v>3</v>
      </c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  <c r="AL35" s="323"/>
      <c r="AM35" s="323"/>
      <c r="AN35" s="323"/>
      <c r="AO35" s="323"/>
      <c r="AP35" s="323"/>
      <c r="AQ35" s="323"/>
      <c r="AR35" s="323"/>
      <c r="AS35" s="323"/>
      <c r="AT35" s="323"/>
      <c r="AU35" s="323"/>
      <c r="AV35" s="323"/>
      <c r="AW35" s="323"/>
      <c r="AX35" s="323"/>
      <c r="AY35" s="323"/>
      <c r="AZ35" s="323"/>
      <c r="BA35" s="323"/>
      <c r="BB35" s="323"/>
      <c r="BC35" s="323"/>
      <c r="BD35" s="323"/>
      <c r="BE35" s="323"/>
      <c r="BF35" s="323"/>
      <c r="BG35" s="323"/>
      <c r="BH35" s="323"/>
      <c r="BI35" s="323"/>
      <c r="BJ35" s="323"/>
      <c r="BK35" s="323"/>
      <c r="BL35" s="323"/>
      <c r="BM35" s="323"/>
      <c r="BN35" s="323"/>
      <c r="BO35" s="323"/>
      <c r="BP35" s="323"/>
      <c r="BQ35" s="323"/>
      <c r="BR35" s="323"/>
      <c r="BS35" s="323"/>
      <c r="BT35" s="323"/>
      <c r="BU35" s="323"/>
      <c r="BV35" s="40"/>
      <c r="BW35" s="41" t="s">
        <v>101</v>
      </c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333" t="s">
        <v>333</v>
      </c>
      <c r="CM35" s="333"/>
      <c r="CN35" s="333"/>
      <c r="CO35" s="333"/>
      <c r="CP35" s="333"/>
      <c r="CQ35" s="333"/>
      <c r="CR35" s="333"/>
      <c r="CS35" s="333"/>
      <c r="CT35" s="333"/>
      <c r="CU35" s="333"/>
      <c r="CV35" s="333"/>
      <c r="CW35" s="333"/>
      <c r="CX35" s="333"/>
      <c r="CY35" s="333"/>
      <c r="CZ35" s="333"/>
      <c r="DA35" s="333"/>
      <c r="DB35" s="333"/>
      <c r="DC35" s="333"/>
      <c r="DD35" s="333"/>
      <c r="DE35" s="333"/>
      <c r="DF35" s="333"/>
      <c r="DG35" s="333"/>
      <c r="DH35" s="333"/>
      <c r="DI35" s="333"/>
      <c r="DJ35" s="333"/>
      <c r="DK35" s="333"/>
      <c r="DL35" s="333"/>
      <c r="DM35" s="333"/>
      <c r="DN35" s="333"/>
      <c r="DO35" s="333"/>
      <c r="DP35" s="333"/>
      <c r="DQ35" s="40"/>
      <c r="DR35" s="40"/>
      <c r="DS35" s="636"/>
      <c r="DT35" s="637"/>
      <c r="DU35" s="637"/>
      <c r="DV35" s="637"/>
      <c r="DW35" s="637"/>
      <c r="DX35" s="637"/>
      <c r="DY35" s="637"/>
      <c r="DZ35" s="637"/>
      <c r="EA35" s="637"/>
      <c r="EB35" s="637"/>
      <c r="EC35" s="637"/>
      <c r="ED35" s="637"/>
      <c r="EE35" s="637"/>
      <c r="EF35" s="637"/>
      <c r="EG35" s="637"/>
      <c r="EH35" s="638"/>
      <c r="EI35" s="325"/>
      <c r="EJ35" s="325"/>
      <c r="EK35" s="325"/>
      <c r="EL35" s="40"/>
      <c r="EM35" s="40"/>
      <c r="EN35" s="40"/>
      <c r="EO35" s="310"/>
      <c r="EP35" s="311"/>
      <c r="EQ35" s="311"/>
      <c r="ER35" s="311"/>
      <c r="ES35" s="311"/>
      <c r="ET35" s="311"/>
      <c r="EU35" s="311"/>
      <c r="EV35" s="311"/>
      <c r="EW35" s="311"/>
      <c r="EX35" s="311"/>
      <c r="EY35" s="311"/>
      <c r="EZ35" s="311"/>
      <c r="FA35" s="311"/>
      <c r="FB35" s="312"/>
      <c r="FC35" s="302"/>
      <c r="FD35" s="300"/>
      <c r="FE35" s="300"/>
      <c r="FF35" s="300"/>
      <c r="FG35" s="300"/>
      <c r="FH35" s="300"/>
      <c r="FI35" s="300"/>
      <c r="FJ35" s="300"/>
      <c r="FK35" s="300"/>
      <c r="FL35" s="300"/>
      <c r="FM35" s="303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2"/>
    </row>
    <row r="36" spans="1:191" ht="10.95" customHeight="1" x14ac:dyDescent="0.3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334" t="s">
        <v>99</v>
      </c>
      <c r="X36" s="334"/>
      <c r="Y36" s="334"/>
      <c r="Z36" s="334"/>
      <c r="AA36" s="334"/>
      <c r="AB36" s="334"/>
      <c r="AC36" s="334"/>
      <c r="AD36" s="334"/>
      <c r="AE36" s="334"/>
      <c r="AF36" s="334"/>
      <c r="AG36" s="334"/>
      <c r="AH36" s="334"/>
      <c r="AI36" s="334"/>
      <c r="AJ36" s="334"/>
      <c r="AK36" s="334"/>
      <c r="AL36" s="334"/>
      <c r="AM36" s="334"/>
      <c r="AN36" s="334"/>
      <c r="AO36" s="334"/>
      <c r="AP36" s="334"/>
      <c r="AQ36" s="334"/>
      <c r="AR36" s="334"/>
      <c r="AS36" s="334"/>
      <c r="AT36" s="334"/>
      <c r="AU36" s="334"/>
      <c r="AV36" s="334"/>
      <c r="AW36" s="334"/>
      <c r="AX36" s="334"/>
      <c r="AY36" s="334"/>
      <c r="AZ36" s="334"/>
      <c r="BA36" s="334"/>
      <c r="BB36" s="334"/>
      <c r="BC36" s="334"/>
      <c r="BD36" s="334"/>
      <c r="BE36" s="334"/>
      <c r="BF36" s="334"/>
      <c r="BG36" s="334"/>
      <c r="BH36" s="334"/>
      <c r="BI36" s="334"/>
      <c r="BJ36" s="334"/>
      <c r="BK36" s="334"/>
      <c r="BL36" s="334"/>
      <c r="BM36" s="334"/>
      <c r="BN36" s="334"/>
      <c r="BO36" s="334"/>
      <c r="BP36" s="334"/>
      <c r="BQ36" s="334"/>
      <c r="BR36" s="334"/>
      <c r="BS36" s="334"/>
      <c r="BT36" s="334"/>
      <c r="BU36" s="334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335" t="s">
        <v>99</v>
      </c>
      <c r="CS36" s="335"/>
      <c r="CT36" s="335"/>
      <c r="CU36" s="335"/>
      <c r="CV36" s="335"/>
      <c r="CW36" s="335"/>
      <c r="CX36" s="335"/>
      <c r="CY36" s="335"/>
      <c r="CZ36" s="335"/>
      <c r="DA36" s="335"/>
      <c r="DB36" s="335"/>
      <c r="DC36" s="335"/>
      <c r="DD36" s="335"/>
      <c r="DE36" s="335"/>
      <c r="DF36" s="335"/>
      <c r="DG36" s="335"/>
      <c r="DH36" s="335"/>
      <c r="DI36" s="335"/>
      <c r="DJ36" s="335"/>
      <c r="DK36" s="335"/>
      <c r="DL36" s="335"/>
      <c r="DM36" s="335"/>
      <c r="DN36" s="335"/>
      <c r="DO36" s="335"/>
      <c r="DP36" s="335"/>
      <c r="DQ36" s="52"/>
      <c r="DR36" s="52"/>
      <c r="DS36" s="636">
        <f>DS34</f>
        <v>7740</v>
      </c>
      <c r="DT36" s="637"/>
      <c r="DU36" s="637"/>
      <c r="DV36" s="637"/>
      <c r="DW36" s="637"/>
      <c r="DX36" s="637"/>
      <c r="DY36" s="637"/>
      <c r="DZ36" s="637"/>
      <c r="EA36" s="637"/>
      <c r="EB36" s="637"/>
      <c r="EC36" s="637"/>
      <c r="ED36" s="637"/>
      <c r="EE36" s="637"/>
      <c r="EF36" s="637"/>
      <c r="EG36" s="637"/>
      <c r="EH36" s="638"/>
      <c r="EI36" s="40"/>
      <c r="EJ36" s="40"/>
      <c r="EK36" s="40"/>
      <c r="EL36" s="40"/>
      <c r="EM36" s="40"/>
      <c r="EN36" s="40"/>
      <c r="EO36" s="304"/>
      <c r="EP36" s="305"/>
      <c r="EQ36" s="305"/>
      <c r="ER36" s="305"/>
      <c r="ES36" s="305"/>
      <c r="ET36" s="305"/>
      <c r="EU36" s="305"/>
      <c r="EV36" s="305"/>
      <c r="EW36" s="305"/>
      <c r="EX36" s="305"/>
      <c r="EY36" s="305"/>
      <c r="EZ36" s="305"/>
      <c r="FA36" s="305"/>
      <c r="FB36" s="306"/>
      <c r="FC36" s="260"/>
      <c r="FD36" s="261"/>
      <c r="FE36" s="261"/>
      <c r="FF36" s="261"/>
      <c r="FG36" s="261"/>
      <c r="FH36" s="261"/>
      <c r="FI36" s="261"/>
      <c r="FJ36" s="261"/>
      <c r="FK36" s="261"/>
      <c r="FL36" s="261"/>
      <c r="FM36" s="263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2"/>
    </row>
    <row r="37" spans="1:191" ht="13.95" customHeight="1" thickBot="1" x14ac:dyDescent="0.35">
      <c r="A37" s="53" t="s">
        <v>102</v>
      </c>
      <c r="B37" s="40"/>
      <c r="C37" s="40"/>
      <c r="D37" s="40"/>
      <c r="E37" s="40"/>
      <c r="F37" s="40"/>
      <c r="G37" s="40"/>
      <c r="H37" s="40"/>
      <c r="I37" s="40"/>
      <c r="J37" s="324">
        <v>3</v>
      </c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  <c r="AL37" s="324"/>
      <c r="AM37" s="324"/>
      <c r="AN37" s="324"/>
      <c r="AO37" s="324"/>
      <c r="AP37" s="324"/>
      <c r="AQ37" s="324"/>
      <c r="AR37" s="324"/>
      <c r="AS37" s="324"/>
      <c r="AT37" s="324"/>
      <c r="AU37" s="324"/>
      <c r="AV37" s="324"/>
      <c r="AW37" s="324"/>
      <c r="AX37" s="324"/>
      <c r="AY37" s="324"/>
      <c r="AZ37" s="324"/>
      <c r="BA37" s="324"/>
      <c r="BB37" s="324"/>
      <c r="BC37" s="324"/>
      <c r="BD37" s="324"/>
      <c r="BE37" s="324"/>
      <c r="BF37" s="324"/>
      <c r="BG37" s="324"/>
      <c r="BH37" s="324"/>
      <c r="BI37" s="324"/>
      <c r="BJ37" s="324"/>
      <c r="BK37" s="324"/>
      <c r="BL37" s="324"/>
      <c r="BM37" s="324"/>
      <c r="BN37" s="324"/>
      <c r="BO37" s="324"/>
      <c r="BP37" s="324"/>
      <c r="BQ37" s="324"/>
      <c r="BR37" s="324"/>
      <c r="BS37" s="324"/>
      <c r="BT37" s="324"/>
      <c r="BU37" s="324"/>
      <c r="BV37" s="40"/>
      <c r="BW37" s="41" t="s">
        <v>103</v>
      </c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324" t="str">
        <f>CL35</f>
        <v>7740 кг</v>
      </c>
      <c r="CN37" s="324"/>
      <c r="CO37" s="324"/>
      <c r="CP37" s="324"/>
      <c r="CQ37" s="324"/>
      <c r="CR37" s="324"/>
      <c r="CS37" s="324"/>
      <c r="CT37" s="324"/>
      <c r="CU37" s="324"/>
      <c r="CV37" s="324"/>
      <c r="CW37" s="324"/>
      <c r="CX37" s="324"/>
      <c r="CY37" s="324"/>
      <c r="CZ37" s="324"/>
      <c r="DA37" s="324"/>
      <c r="DB37" s="324"/>
      <c r="DC37" s="324"/>
      <c r="DD37" s="324"/>
      <c r="DE37" s="324"/>
      <c r="DF37" s="324"/>
      <c r="DG37" s="324"/>
      <c r="DH37" s="324"/>
      <c r="DI37" s="324"/>
      <c r="DJ37" s="324"/>
      <c r="DK37" s="324"/>
      <c r="DL37" s="324"/>
      <c r="DM37" s="324"/>
      <c r="DN37" s="324"/>
      <c r="DO37" s="324"/>
      <c r="DP37" s="324"/>
      <c r="DQ37" s="52"/>
      <c r="DR37" s="52"/>
      <c r="DS37" s="639"/>
      <c r="DT37" s="640"/>
      <c r="DU37" s="640"/>
      <c r="DV37" s="640"/>
      <c r="DW37" s="640"/>
      <c r="DX37" s="640"/>
      <c r="DY37" s="640"/>
      <c r="DZ37" s="640"/>
      <c r="EA37" s="640"/>
      <c r="EB37" s="640"/>
      <c r="EC37" s="640"/>
      <c r="ED37" s="640"/>
      <c r="EE37" s="640"/>
      <c r="EF37" s="640"/>
      <c r="EG37" s="640"/>
      <c r="EH37" s="641"/>
      <c r="EI37" s="325"/>
      <c r="EJ37" s="325"/>
      <c r="EK37" s="325"/>
      <c r="EL37" s="40"/>
      <c r="EM37" s="40"/>
      <c r="EN37" s="40"/>
      <c r="EO37" s="310"/>
      <c r="EP37" s="311"/>
      <c r="EQ37" s="311"/>
      <c r="ER37" s="311"/>
      <c r="ES37" s="311"/>
      <c r="ET37" s="311"/>
      <c r="EU37" s="311"/>
      <c r="EV37" s="311"/>
      <c r="EW37" s="311"/>
      <c r="EX37" s="311"/>
      <c r="EY37" s="311"/>
      <c r="EZ37" s="311"/>
      <c r="FA37" s="311"/>
      <c r="FB37" s="312"/>
      <c r="FC37" s="302"/>
      <c r="FD37" s="300"/>
      <c r="FE37" s="300"/>
      <c r="FF37" s="300"/>
      <c r="FG37" s="300"/>
      <c r="FH37" s="300"/>
      <c r="FI37" s="300"/>
      <c r="FJ37" s="300"/>
      <c r="FK37" s="300"/>
      <c r="FL37" s="300"/>
      <c r="FM37" s="303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I37" s="40"/>
    </row>
    <row r="38" spans="1:191" ht="11.4" customHeight="1" thickBo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7"/>
      <c r="BG38" s="257"/>
      <c r="BH38" s="257"/>
      <c r="BI38" s="257"/>
      <c r="BJ38" s="257"/>
      <c r="BK38" s="257"/>
      <c r="BL38" s="257"/>
      <c r="BM38" s="257"/>
      <c r="BN38" s="257"/>
      <c r="BO38" s="257"/>
      <c r="BP38" s="257"/>
      <c r="BQ38" s="257"/>
      <c r="BR38" s="257"/>
      <c r="BS38" s="257"/>
      <c r="BT38" s="257"/>
      <c r="BU38" s="257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54"/>
      <c r="CJ38" s="54"/>
      <c r="CK38" s="54"/>
      <c r="CL38" s="54"/>
      <c r="CM38" s="54"/>
      <c r="CN38" s="54"/>
      <c r="CO38" s="54"/>
      <c r="CP38" s="54"/>
      <c r="CQ38" s="54"/>
      <c r="CR38" s="257" t="s">
        <v>99</v>
      </c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  <c r="DI38" s="257"/>
      <c r="DJ38" s="257"/>
      <c r="DK38" s="257"/>
      <c r="DL38" s="257"/>
      <c r="DM38" s="257"/>
      <c r="DN38" s="257"/>
      <c r="DO38" s="257"/>
      <c r="DP38" s="257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326" t="s">
        <v>104</v>
      </c>
      <c r="EP38" s="327"/>
      <c r="EQ38" s="327"/>
      <c r="ER38" s="327"/>
      <c r="ES38" s="327"/>
      <c r="ET38" s="327"/>
      <c r="EU38" s="327"/>
      <c r="EV38" s="327"/>
      <c r="EW38" s="327"/>
      <c r="EX38" s="327"/>
      <c r="EY38" s="327"/>
      <c r="EZ38" s="327"/>
      <c r="FA38" s="327"/>
      <c r="FB38" s="328"/>
      <c r="FC38" s="329"/>
      <c r="FD38" s="330"/>
      <c r="FE38" s="330"/>
      <c r="FF38" s="330"/>
      <c r="FG38" s="330"/>
      <c r="FH38" s="330"/>
      <c r="FI38" s="330"/>
      <c r="FJ38" s="330"/>
      <c r="FK38" s="330"/>
      <c r="FL38" s="330"/>
      <c r="FM38" s="331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2"/>
    </row>
    <row r="39" spans="1:191" ht="15" thickTop="1" x14ac:dyDescent="0.3">
      <c r="A39" s="41" t="s">
        <v>105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346"/>
      <c r="AW39" s="346"/>
      <c r="AX39" s="346"/>
      <c r="AY39" s="346"/>
      <c r="AZ39" s="346"/>
      <c r="BA39" s="346"/>
      <c r="BB39" s="346"/>
      <c r="BC39" s="346"/>
      <c r="BD39" s="346"/>
      <c r="BE39" s="346"/>
      <c r="BF39" s="346"/>
      <c r="BG39" s="346"/>
      <c r="BH39" s="346"/>
      <c r="BI39" s="346"/>
      <c r="BJ39" s="346"/>
      <c r="BK39" s="346"/>
      <c r="BL39" s="346"/>
      <c r="BM39" s="346"/>
      <c r="BN39" s="346"/>
      <c r="BO39" s="346"/>
      <c r="BP39" s="346"/>
      <c r="BQ39" s="346"/>
      <c r="BR39" s="346"/>
      <c r="BS39" s="346"/>
      <c r="BT39" s="346"/>
      <c r="BU39" s="346"/>
      <c r="BV39" s="40"/>
      <c r="BW39" s="41" t="s">
        <v>106</v>
      </c>
      <c r="BX39" s="40"/>
      <c r="BY39" s="40"/>
      <c r="BZ39" s="40"/>
      <c r="CA39" s="40"/>
      <c r="CB39" s="40"/>
      <c r="CC39" s="40"/>
      <c r="CD39" s="40"/>
      <c r="CE39" s="297"/>
      <c r="CF39" s="297"/>
      <c r="CG39" s="297"/>
      <c r="CH39" s="297"/>
      <c r="CI39" s="297"/>
      <c r="CJ39" s="297"/>
      <c r="CK39" s="297"/>
      <c r="CL39" s="297"/>
      <c r="CM39" s="297"/>
      <c r="CN39" s="297"/>
      <c r="CO39" s="297"/>
      <c r="CP39" s="297"/>
      <c r="CQ39" s="297"/>
      <c r="CR39" s="297"/>
      <c r="CS39" s="297"/>
      <c r="CT39" s="297"/>
      <c r="CU39" s="297"/>
      <c r="CV39" s="40"/>
      <c r="CW39" s="40"/>
      <c r="CX39" s="55"/>
      <c r="CY39" s="347" t="s">
        <v>107</v>
      </c>
      <c r="CZ39" s="347"/>
      <c r="DA39" s="347"/>
      <c r="DB39" s="347"/>
      <c r="DC39" s="347"/>
      <c r="DD39" s="347"/>
      <c r="DE39" s="347"/>
      <c r="DF39" s="347"/>
      <c r="DG39" s="347"/>
      <c r="DH39" s="347"/>
      <c r="DI39" s="347"/>
      <c r="DJ39" s="347"/>
      <c r="DK39" s="347"/>
      <c r="DL39" s="347"/>
      <c r="DM39" s="347"/>
      <c r="DN39" s="347"/>
      <c r="DO39" s="347"/>
      <c r="DP39" s="347"/>
      <c r="DQ39" s="347"/>
      <c r="DR39" s="347"/>
      <c r="DS39" s="347"/>
      <c r="DT39" s="342"/>
      <c r="DU39" s="342"/>
      <c r="DV39" s="342"/>
      <c r="DW39" s="342"/>
      <c r="DX39" s="342"/>
      <c r="DY39" s="342"/>
      <c r="DZ39" s="342"/>
      <c r="EA39" s="342"/>
      <c r="EB39" s="342"/>
      <c r="EC39" s="342"/>
      <c r="ED39" s="342"/>
      <c r="EE39" s="342"/>
      <c r="EF39" s="342"/>
      <c r="EG39" s="342"/>
      <c r="EH39" s="342"/>
      <c r="EI39" s="342"/>
      <c r="EJ39" s="41"/>
      <c r="EK39" s="340" t="s">
        <v>108</v>
      </c>
      <c r="EL39" s="340"/>
      <c r="EM39" s="340"/>
      <c r="EN39" s="340"/>
      <c r="EO39" s="340"/>
      <c r="EP39" s="348"/>
      <c r="EQ39" s="348"/>
      <c r="ER39" s="348"/>
      <c r="ES39" s="348"/>
      <c r="ET39" s="348"/>
      <c r="EU39" s="339" t="s">
        <v>109</v>
      </c>
      <c r="EV39" s="339"/>
      <c r="EW39" s="339"/>
      <c r="EX39" s="341"/>
      <c r="EY39" s="341"/>
      <c r="EZ39" s="341"/>
      <c r="FA39" s="341"/>
      <c r="FB39" s="341"/>
      <c r="FC39" s="341"/>
      <c r="FD39" s="341"/>
      <c r="FE39" s="341"/>
      <c r="FF39" s="341"/>
      <c r="FG39" s="341"/>
      <c r="FH39" s="341"/>
      <c r="FI39" s="341"/>
      <c r="FJ39" s="341"/>
      <c r="FK39" s="341"/>
      <c r="FL39" s="341"/>
      <c r="FM39" s="341"/>
      <c r="FN39" s="341"/>
      <c r="FO39" s="341"/>
      <c r="FP39" s="341"/>
      <c r="FQ39" s="41"/>
      <c r="FR39" s="56"/>
      <c r="FS39" s="342"/>
      <c r="FT39" s="342"/>
      <c r="FU39" s="342"/>
      <c r="FV39" s="342"/>
      <c r="FW39" s="342"/>
      <c r="FX39" s="342"/>
      <c r="FY39" s="342"/>
      <c r="FZ39" s="342"/>
      <c r="GA39" s="344" t="s">
        <v>110</v>
      </c>
      <c r="GB39" s="344"/>
      <c r="GC39" s="344"/>
      <c r="GD39" s="344"/>
      <c r="GE39" s="40"/>
      <c r="GF39" s="40"/>
      <c r="GG39" s="40"/>
      <c r="GH39" s="40"/>
      <c r="GI39" s="42"/>
    </row>
    <row r="40" spans="1:191" x14ac:dyDescent="0.3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345" t="s">
        <v>99</v>
      </c>
      <c r="AW40" s="345"/>
      <c r="AX40" s="345"/>
      <c r="AY40" s="345"/>
      <c r="AZ40" s="345"/>
      <c r="BA40" s="345"/>
      <c r="BB40" s="345"/>
      <c r="BC40" s="345"/>
      <c r="BD40" s="345"/>
      <c r="BE40" s="345"/>
      <c r="BF40" s="345"/>
      <c r="BG40" s="345"/>
      <c r="BH40" s="345"/>
      <c r="BI40" s="345"/>
      <c r="BJ40" s="345"/>
      <c r="BK40" s="345"/>
      <c r="BL40" s="345"/>
      <c r="BM40" s="345"/>
      <c r="BN40" s="345"/>
      <c r="BO40" s="345"/>
      <c r="BP40" s="345"/>
      <c r="BQ40" s="345"/>
      <c r="BR40" s="345"/>
      <c r="BS40" s="345"/>
      <c r="BT40" s="345"/>
      <c r="BU40" s="345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55"/>
      <c r="CY40" s="347"/>
      <c r="CZ40" s="347"/>
      <c r="DA40" s="347"/>
      <c r="DB40" s="347"/>
      <c r="DC40" s="347"/>
      <c r="DD40" s="347"/>
      <c r="DE40" s="347"/>
      <c r="DF40" s="347"/>
      <c r="DG40" s="347"/>
      <c r="DH40" s="347"/>
      <c r="DI40" s="347"/>
      <c r="DJ40" s="347"/>
      <c r="DK40" s="347"/>
      <c r="DL40" s="347"/>
      <c r="DM40" s="347"/>
      <c r="DN40" s="347"/>
      <c r="DO40" s="347"/>
      <c r="DP40" s="347"/>
      <c r="DQ40" s="347"/>
      <c r="DR40" s="347"/>
      <c r="DS40" s="347"/>
      <c r="DT40" s="343"/>
      <c r="DU40" s="343"/>
      <c r="DV40" s="343"/>
      <c r="DW40" s="343"/>
      <c r="DX40" s="343"/>
      <c r="DY40" s="343"/>
      <c r="DZ40" s="343"/>
      <c r="EA40" s="343"/>
      <c r="EB40" s="343"/>
      <c r="EC40" s="343"/>
      <c r="ED40" s="343"/>
      <c r="EE40" s="343"/>
      <c r="EF40" s="343"/>
      <c r="EG40" s="343"/>
      <c r="EH40" s="343"/>
      <c r="EI40" s="343"/>
      <c r="EJ40" s="57"/>
      <c r="EK40" s="340"/>
      <c r="EL40" s="340"/>
      <c r="EM40" s="340"/>
      <c r="EN40" s="340"/>
      <c r="EO40" s="340"/>
      <c r="EP40" s="343"/>
      <c r="EQ40" s="343"/>
      <c r="ER40" s="343"/>
      <c r="ES40" s="343"/>
      <c r="ET40" s="343"/>
      <c r="EU40" s="340"/>
      <c r="EV40" s="340"/>
      <c r="EW40" s="340"/>
      <c r="EX40" s="297"/>
      <c r="EY40" s="297"/>
      <c r="EZ40" s="297"/>
      <c r="FA40" s="297"/>
      <c r="FB40" s="297"/>
      <c r="FC40" s="297"/>
      <c r="FD40" s="297"/>
      <c r="FE40" s="297"/>
      <c r="FF40" s="297"/>
      <c r="FG40" s="297"/>
      <c r="FH40" s="297"/>
      <c r="FI40" s="297"/>
      <c r="FJ40" s="297"/>
      <c r="FK40" s="297"/>
      <c r="FL40" s="297"/>
      <c r="FM40" s="297"/>
      <c r="FN40" s="297"/>
      <c r="FO40" s="297"/>
      <c r="FP40" s="297"/>
      <c r="FQ40" s="56"/>
      <c r="FR40" s="56"/>
      <c r="FS40" s="343"/>
      <c r="FT40" s="343"/>
      <c r="FU40" s="343"/>
      <c r="FV40" s="343"/>
      <c r="FW40" s="343"/>
      <c r="FX40" s="343"/>
      <c r="FY40" s="343"/>
      <c r="FZ40" s="343"/>
      <c r="GA40" s="344"/>
      <c r="GB40" s="344"/>
      <c r="GC40" s="344"/>
      <c r="GD40" s="344"/>
      <c r="GE40" s="40"/>
      <c r="GF40" s="40"/>
      <c r="GG40" s="40"/>
      <c r="GH40" s="40"/>
      <c r="GI40" s="42"/>
    </row>
    <row r="41" spans="1:191" x14ac:dyDescent="0.3">
      <c r="A41" s="41" t="s">
        <v>111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58"/>
      <c r="T41" s="58"/>
      <c r="U41" s="58"/>
      <c r="V41" s="58"/>
      <c r="W41" s="58"/>
      <c r="X41" s="58"/>
      <c r="Y41" s="58"/>
      <c r="Z41" s="58"/>
      <c r="AA41" s="58"/>
      <c r="AB41" s="297"/>
      <c r="AC41" s="297"/>
      <c r="AD41" s="297"/>
      <c r="AE41" s="297"/>
      <c r="AF41" s="297"/>
      <c r="AG41" s="297"/>
      <c r="AH41" s="297"/>
      <c r="AI41" s="297"/>
      <c r="AJ41" s="297"/>
      <c r="AK41" s="297"/>
      <c r="AL41" s="297"/>
      <c r="AM41" s="297"/>
      <c r="AN41" s="297"/>
      <c r="AO41" s="297"/>
      <c r="AP41" s="297"/>
      <c r="AQ41" s="297"/>
      <c r="AR41" s="297"/>
      <c r="AS41" s="297"/>
      <c r="AT41" s="297"/>
      <c r="AU41" s="297"/>
      <c r="AV41" s="297"/>
      <c r="AW41" s="297"/>
      <c r="AX41" s="297"/>
      <c r="AY41" s="297"/>
      <c r="AZ41" s="297"/>
      <c r="BA41" s="297"/>
      <c r="BB41" s="297"/>
      <c r="BC41" s="297"/>
      <c r="BD41" s="297"/>
      <c r="BE41" s="297"/>
      <c r="BF41" s="297"/>
      <c r="BG41" s="297"/>
      <c r="BH41" s="297"/>
      <c r="BI41" s="297"/>
      <c r="BJ41" s="297"/>
      <c r="BK41" s="297"/>
      <c r="BL41" s="297"/>
      <c r="BM41" s="297"/>
      <c r="BN41" s="297"/>
      <c r="BO41" s="297"/>
      <c r="BP41" s="297"/>
      <c r="BQ41" s="297"/>
      <c r="BR41" s="297"/>
      <c r="BS41" s="297"/>
      <c r="BT41" s="297"/>
      <c r="BU41" s="297"/>
      <c r="BV41" s="297"/>
      <c r="BW41" s="341" t="s">
        <v>112</v>
      </c>
      <c r="BX41" s="341"/>
      <c r="BY41" s="341"/>
      <c r="BZ41" s="341"/>
      <c r="CA41" s="341"/>
      <c r="CB41" s="341"/>
      <c r="CC41" s="297"/>
      <c r="CD41" s="297"/>
      <c r="CE41" s="297"/>
      <c r="CF41" s="297"/>
      <c r="CG41" s="297"/>
      <c r="CH41" s="297"/>
      <c r="CI41" s="297"/>
      <c r="CJ41" s="297"/>
      <c r="CK41" s="297"/>
      <c r="CL41" s="40"/>
      <c r="CM41" s="41" t="s">
        <v>113</v>
      </c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55"/>
      <c r="CY41" s="41" t="s">
        <v>114</v>
      </c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297"/>
      <c r="DK41" s="297"/>
      <c r="DL41" s="297"/>
      <c r="DM41" s="297"/>
      <c r="DN41" s="297"/>
      <c r="DO41" s="297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  <c r="DZ41" s="297"/>
      <c r="EA41" s="297"/>
      <c r="EB41" s="297"/>
      <c r="EC41" s="297"/>
      <c r="ED41" s="297"/>
      <c r="EE41" s="297"/>
      <c r="EF41" s="297"/>
      <c r="EG41" s="297"/>
      <c r="EH41" s="297"/>
      <c r="EI41" s="297"/>
      <c r="EJ41" s="297"/>
      <c r="EK41" s="297"/>
      <c r="EL41" s="297"/>
      <c r="EM41" s="297"/>
      <c r="EN41" s="297"/>
      <c r="EO41" s="297"/>
      <c r="EP41" s="297"/>
      <c r="EQ41" s="297"/>
      <c r="ER41" s="297"/>
      <c r="ES41" s="297"/>
      <c r="ET41" s="297"/>
      <c r="EU41" s="297"/>
      <c r="EV41" s="297"/>
      <c r="EW41" s="297"/>
      <c r="EX41" s="297"/>
      <c r="EY41" s="297"/>
      <c r="EZ41" s="297"/>
      <c r="FA41" s="297"/>
      <c r="FB41" s="297"/>
      <c r="FC41" s="297"/>
      <c r="FD41" s="297"/>
      <c r="FE41" s="297"/>
      <c r="FF41" s="297"/>
      <c r="FG41" s="297"/>
      <c r="FH41" s="297"/>
      <c r="FI41" s="297"/>
      <c r="FJ41" s="297"/>
      <c r="FK41" s="297"/>
      <c r="FL41" s="297"/>
      <c r="FM41" s="297"/>
      <c r="FN41" s="297"/>
      <c r="FO41" s="297"/>
      <c r="FP41" s="297"/>
      <c r="FQ41" s="297"/>
      <c r="FR41" s="297"/>
      <c r="FS41" s="297"/>
      <c r="FT41" s="297"/>
      <c r="FU41" s="297"/>
      <c r="FV41" s="297"/>
      <c r="FW41" s="297"/>
      <c r="FX41" s="297"/>
      <c r="FY41" s="297"/>
      <c r="FZ41" s="297"/>
      <c r="GA41" s="297"/>
      <c r="GB41" s="297"/>
      <c r="GC41" s="297"/>
      <c r="GD41" s="297"/>
      <c r="GE41" s="297"/>
      <c r="GF41" s="40"/>
      <c r="GG41" s="40"/>
      <c r="GH41" s="40"/>
      <c r="GI41" s="42"/>
    </row>
    <row r="42" spans="1:191" ht="7.95" customHeight="1" x14ac:dyDescent="0.3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345" t="s">
        <v>99</v>
      </c>
      <c r="AS42" s="345"/>
      <c r="AT42" s="345"/>
      <c r="AU42" s="345"/>
      <c r="AV42" s="345"/>
      <c r="AW42" s="345"/>
      <c r="AX42" s="345"/>
      <c r="AY42" s="345"/>
      <c r="AZ42" s="345"/>
      <c r="BA42" s="352" t="s">
        <v>115</v>
      </c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55"/>
      <c r="CY42" s="344" t="s">
        <v>116</v>
      </c>
      <c r="CZ42" s="344"/>
      <c r="DA42" s="344"/>
      <c r="DB42" s="344"/>
      <c r="DC42" s="344"/>
      <c r="DD42" s="344"/>
      <c r="DE42" s="344"/>
      <c r="DF42" s="344"/>
      <c r="DG42" s="344"/>
      <c r="DH42" s="344"/>
      <c r="DI42" s="344"/>
      <c r="DJ42" s="344"/>
      <c r="DK42" s="344"/>
      <c r="DL42" s="344"/>
      <c r="DM42" s="344"/>
      <c r="DN42" s="344"/>
      <c r="DO42" s="344"/>
      <c r="DP42" s="344"/>
      <c r="DQ42" s="344"/>
      <c r="DR42" s="344"/>
      <c r="DS42" s="344"/>
      <c r="DT42" s="344"/>
      <c r="DU42" s="344"/>
      <c r="DV42" s="344"/>
      <c r="DW42" s="344"/>
      <c r="DX42" s="344"/>
      <c r="DY42" s="344"/>
      <c r="DZ42" s="344"/>
      <c r="EA42" s="344"/>
      <c r="EB42" s="353" t="s">
        <v>117</v>
      </c>
      <c r="EC42" s="353"/>
      <c r="ED42" s="353"/>
      <c r="EE42" s="353"/>
      <c r="EF42" s="353"/>
      <c r="EG42" s="353"/>
      <c r="EH42" s="353"/>
      <c r="EI42" s="353"/>
      <c r="EJ42" s="353"/>
      <c r="EK42" s="353"/>
      <c r="EL42" s="353"/>
      <c r="EM42" s="353"/>
      <c r="EN42" s="353"/>
      <c r="EO42" s="353"/>
      <c r="EP42" s="353"/>
      <c r="EQ42" s="353"/>
      <c r="ER42" s="353"/>
      <c r="ES42" s="40"/>
      <c r="ET42" s="40"/>
      <c r="EU42" s="355"/>
      <c r="EV42" s="355"/>
      <c r="EW42" s="355"/>
      <c r="EX42" s="355"/>
      <c r="EY42" s="355"/>
      <c r="EZ42" s="355"/>
      <c r="FA42" s="355"/>
      <c r="FB42" s="356" t="s">
        <v>118</v>
      </c>
      <c r="FC42" s="355"/>
      <c r="FD42" s="355"/>
      <c r="FE42" s="355"/>
      <c r="FF42" s="355"/>
      <c r="FG42" s="40"/>
      <c r="FH42" s="40"/>
      <c r="FI42" s="357" t="s">
        <v>119</v>
      </c>
      <c r="FJ42" s="357"/>
      <c r="FK42" s="357"/>
      <c r="FL42" s="357"/>
      <c r="FM42" s="357"/>
      <c r="FN42" s="357"/>
      <c r="FO42" s="357"/>
      <c r="FP42" s="357"/>
      <c r="FQ42" s="357"/>
      <c r="FR42" s="357"/>
      <c r="FS42" s="357"/>
      <c r="FT42" s="357"/>
      <c r="FU42" s="357"/>
      <c r="FV42" s="357"/>
      <c r="FW42" s="357"/>
      <c r="FX42" s="357"/>
      <c r="FY42" s="357"/>
      <c r="FZ42" s="357"/>
      <c r="GA42" s="357"/>
      <c r="GB42" s="357"/>
      <c r="GC42" s="357"/>
      <c r="GD42" s="357"/>
      <c r="GE42" s="357"/>
      <c r="GF42" s="40"/>
      <c r="GG42" s="40"/>
      <c r="GH42" s="40"/>
      <c r="GI42" s="42"/>
    </row>
    <row r="43" spans="1:191" ht="7.95" customHeight="1" x14ac:dyDescent="0.3">
      <c r="A43" s="352" t="s">
        <v>120</v>
      </c>
      <c r="B43" s="352"/>
      <c r="C43" s="352"/>
      <c r="D43" s="352"/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257"/>
      <c r="AS43" s="257"/>
      <c r="AT43" s="257"/>
      <c r="AU43" s="257"/>
      <c r="AV43" s="257"/>
      <c r="AW43" s="257"/>
      <c r="AX43" s="257"/>
      <c r="AY43" s="257"/>
      <c r="AZ43" s="257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55"/>
      <c r="CY43" s="344"/>
      <c r="CZ43" s="344"/>
      <c r="DA43" s="344"/>
      <c r="DB43" s="344"/>
      <c r="DC43" s="344"/>
      <c r="DD43" s="344"/>
      <c r="DE43" s="344"/>
      <c r="DF43" s="344"/>
      <c r="DG43" s="344"/>
      <c r="DH43" s="344"/>
      <c r="DI43" s="344"/>
      <c r="DJ43" s="344"/>
      <c r="DK43" s="344"/>
      <c r="DL43" s="344"/>
      <c r="DM43" s="344"/>
      <c r="DN43" s="344"/>
      <c r="DO43" s="344"/>
      <c r="DP43" s="344"/>
      <c r="DQ43" s="344"/>
      <c r="DR43" s="344"/>
      <c r="DS43" s="344"/>
      <c r="DT43" s="344"/>
      <c r="DU43" s="344"/>
      <c r="DV43" s="344"/>
      <c r="DW43" s="344"/>
      <c r="DX43" s="344"/>
      <c r="DY43" s="344"/>
      <c r="DZ43" s="344"/>
      <c r="EA43" s="344"/>
      <c r="EB43" s="354"/>
      <c r="EC43" s="354"/>
      <c r="ED43" s="354"/>
      <c r="EE43" s="354"/>
      <c r="EF43" s="354"/>
      <c r="EG43" s="354"/>
      <c r="EH43" s="354"/>
      <c r="EI43" s="354"/>
      <c r="EJ43" s="354"/>
      <c r="EK43" s="354"/>
      <c r="EL43" s="354"/>
      <c r="EM43" s="354"/>
      <c r="EN43" s="354"/>
      <c r="EO43" s="354"/>
      <c r="EP43" s="354"/>
      <c r="EQ43" s="354"/>
      <c r="ER43" s="354"/>
      <c r="ES43" s="40"/>
      <c r="ET43" s="40"/>
      <c r="EU43" s="297"/>
      <c r="EV43" s="297"/>
      <c r="EW43" s="297"/>
      <c r="EX43" s="297"/>
      <c r="EY43" s="297"/>
      <c r="EZ43" s="297"/>
      <c r="FA43" s="297"/>
      <c r="FB43" s="297"/>
      <c r="FC43" s="297"/>
      <c r="FD43" s="297"/>
      <c r="FE43" s="297"/>
      <c r="FF43" s="297"/>
      <c r="FG43" s="40"/>
      <c r="FH43" s="40"/>
      <c r="FI43" s="349"/>
      <c r="FJ43" s="349"/>
      <c r="FK43" s="349"/>
      <c r="FL43" s="349"/>
      <c r="FM43" s="349"/>
      <c r="FN43" s="349"/>
      <c r="FO43" s="349"/>
      <c r="FP43" s="349"/>
      <c r="FQ43" s="349"/>
      <c r="FR43" s="349"/>
      <c r="FS43" s="349"/>
      <c r="FT43" s="349"/>
      <c r="FU43" s="349"/>
      <c r="FV43" s="349"/>
      <c r="FW43" s="349"/>
      <c r="FX43" s="349"/>
      <c r="FY43" s="349"/>
      <c r="FZ43" s="349"/>
      <c r="GA43" s="349"/>
      <c r="GB43" s="349"/>
      <c r="GC43" s="349"/>
      <c r="GD43" s="349"/>
      <c r="GE43" s="349"/>
      <c r="GF43" s="40"/>
      <c r="GG43" s="40"/>
      <c r="GH43" s="40"/>
      <c r="GI43" s="42"/>
    </row>
    <row r="44" spans="1:191" s="62" customFormat="1" ht="6.6" customHeight="1" x14ac:dyDescent="0.3">
      <c r="A44" s="352"/>
      <c r="B44" s="352"/>
      <c r="C44" s="352"/>
      <c r="D44" s="352"/>
      <c r="E44" s="352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352"/>
      <c r="T44" s="352"/>
      <c r="U44" s="352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45"/>
      <c r="BY44" s="45"/>
      <c r="BZ44" s="45"/>
      <c r="CA44" s="45"/>
      <c r="CB44" s="45"/>
      <c r="CC44" s="45"/>
      <c r="CD44" s="45"/>
      <c r="CE44" s="45"/>
      <c r="CF44" s="45"/>
      <c r="CG44" s="45"/>
      <c r="CH44" s="45"/>
      <c r="CI44" s="45"/>
      <c r="CJ44" s="45"/>
      <c r="CK44" s="45"/>
      <c r="CL44" s="45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60"/>
      <c r="CY44" s="45"/>
      <c r="CZ44" s="45"/>
      <c r="DA44" s="45"/>
      <c r="DB44" s="45"/>
      <c r="DC44" s="45"/>
      <c r="DD44" s="45"/>
      <c r="DE44" s="45"/>
      <c r="DF44" s="45"/>
      <c r="DG44" s="45"/>
      <c r="DH44" s="45"/>
      <c r="DI44" s="45"/>
      <c r="DJ44" s="45"/>
      <c r="DK44" s="45"/>
      <c r="DL44" s="45"/>
      <c r="DM44" s="45"/>
      <c r="DN44" s="45"/>
      <c r="DO44" s="45"/>
      <c r="DP44" s="45"/>
      <c r="DQ44" s="45"/>
      <c r="DR44" s="45"/>
      <c r="DS44" s="45"/>
      <c r="DT44" s="45"/>
      <c r="DU44" s="45"/>
      <c r="DV44" s="45"/>
      <c r="DW44" s="45"/>
      <c r="DX44" s="45"/>
      <c r="DY44" s="45"/>
      <c r="DZ44" s="45"/>
      <c r="EA44" s="45"/>
      <c r="EB44" s="234" t="s">
        <v>121</v>
      </c>
      <c r="EC44" s="234"/>
      <c r="ED44" s="234"/>
      <c r="EE44" s="234"/>
      <c r="EF44" s="234"/>
      <c r="EG44" s="234"/>
      <c r="EH44" s="234"/>
      <c r="EI44" s="234"/>
      <c r="EJ44" s="234"/>
      <c r="EK44" s="234"/>
      <c r="EL44" s="234"/>
      <c r="EM44" s="234"/>
      <c r="EN44" s="234"/>
      <c r="EO44" s="234"/>
      <c r="EP44" s="234"/>
      <c r="EQ44" s="234"/>
      <c r="ER44" s="234"/>
      <c r="ES44" s="45"/>
      <c r="ET44" s="45"/>
      <c r="EU44" s="234" t="s">
        <v>122</v>
      </c>
      <c r="EV44" s="234"/>
      <c r="EW44" s="234"/>
      <c r="EX44" s="234"/>
      <c r="EY44" s="234"/>
      <c r="EZ44" s="234"/>
      <c r="FA44" s="234"/>
      <c r="FB44" s="234"/>
      <c r="FC44" s="234"/>
      <c r="FD44" s="234"/>
      <c r="FE44" s="234"/>
      <c r="FF44" s="234"/>
      <c r="FG44" s="45"/>
      <c r="FH44" s="45"/>
      <c r="FI44" s="234"/>
      <c r="FJ44" s="234"/>
      <c r="FK44" s="234"/>
      <c r="FL44" s="234"/>
      <c r="FM44" s="234"/>
      <c r="FN44" s="234"/>
      <c r="FO44" s="234"/>
      <c r="FP44" s="234"/>
      <c r="FQ44" s="234"/>
      <c r="FR44" s="234"/>
      <c r="FS44" s="234"/>
      <c r="FT44" s="234"/>
      <c r="FU44" s="234"/>
      <c r="FV44" s="234"/>
      <c r="FW44" s="234"/>
      <c r="FX44" s="234"/>
      <c r="FY44" s="234"/>
      <c r="FZ44" s="234"/>
      <c r="GA44" s="234"/>
      <c r="GB44" s="234"/>
      <c r="GC44" s="234"/>
      <c r="GD44" s="234"/>
      <c r="GE44" s="234"/>
      <c r="GF44" s="45"/>
      <c r="GG44" s="45"/>
      <c r="GH44" s="45"/>
      <c r="GI44" s="61"/>
    </row>
    <row r="45" spans="1:191" x14ac:dyDescent="0.3">
      <c r="A45" s="349" t="s">
        <v>123</v>
      </c>
      <c r="B45" s="349"/>
      <c r="C45" s="349"/>
      <c r="D45" s="349"/>
      <c r="E45" s="349"/>
      <c r="F45" s="349"/>
      <c r="G45" s="349"/>
      <c r="H45" s="349"/>
      <c r="I45" s="349"/>
      <c r="J45" s="349"/>
      <c r="K45" s="349"/>
      <c r="L45" s="349"/>
      <c r="M45" s="349"/>
      <c r="N45" s="349"/>
      <c r="O45" s="349"/>
      <c r="P45" s="349"/>
      <c r="Q45" s="349"/>
      <c r="R45" s="349"/>
      <c r="S45" s="349"/>
      <c r="T45" s="349"/>
      <c r="U45" s="349"/>
      <c r="V45" s="349"/>
      <c r="W45" s="349"/>
      <c r="X45" s="63"/>
      <c r="Y45" s="350"/>
      <c r="Z45" s="350"/>
      <c r="AA45" s="350"/>
      <c r="AB45" s="350"/>
      <c r="AC45" s="350"/>
      <c r="AD45" s="350"/>
      <c r="AE45" s="350"/>
      <c r="AF45" s="63"/>
      <c r="AG45" s="349" t="s">
        <v>124</v>
      </c>
      <c r="AH45" s="349"/>
      <c r="AI45" s="349"/>
      <c r="AJ45" s="349"/>
      <c r="AK45" s="349"/>
      <c r="AL45" s="349"/>
      <c r="AM45" s="349"/>
      <c r="AN45" s="349"/>
      <c r="AO45" s="349"/>
      <c r="AP45" s="349"/>
      <c r="AQ45" s="349"/>
      <c r="AR45" s="349"/>
      <c r="AS45" s="349"/>
      <c r="AT45" s="349"/>
      <c r="AU45" s="349"/>
      <c r="AV45" s="349"/>
      <c r="AW45" s="349"/>
      <c r="AX45" s="349"/>
      <c r="AY45" s="64"/>
      <c r="AZ45" s="40"/>
      <c r="BA45" s="65" t="s">
        <v>125</v>
      </c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40"/>
      <c r="BM45" s="40"/>
      <c r="BN45" s="40"/>
      <c r="BO45" s="40"/>
      <c r="BP45" s="40"/>
      <c r="BQ45" s="351"/>
      <c r="BR45" s="351"/>
      <c r="BS45" s="351"/>
      <c r="BT45" s="351"/>
      <c r="BU45" s="351"/>
      <c r="BV45" s="351"/>
      <c r="BW45" s="351"/>
      <c r="BX45" s="351"/>
      <c r="BY45" s="351"/>
      <c r="BZ45" s="351"/>
      <c r="CA45" s="40"/>
      <c r="CB45" s="40"/>
      <c r="CC45" s="297"/>
      <c r="CD45" s="297"/>
      <c r="CE45" s="297"/>
      <c r="CF45" s="297"/>
      <c r="CG45" s="297"/>
      <c r="CH45" s="297"/>
      <c r="CI45" s="297"/>
      <c r="CJ45" s="297"/>
      <c r="CK45" s="297"/>
      <c r="CL45" s="297"/>
      <c r="CM45" s="297"/>
      <c r="CN45" s="297"/>
      <c r="CO45" s="297"/>
      <c r="CP45" s="297"/>
      <c r="CQ45" s="297"/>
      <c r="CR45" s="297"/>
      <c r="CS45" s="297"/>
      <c r="CT45" s="297"/>
      <c r="CU45" s="297"/>
      <c r="CV45" s="40"/>
      <c r="CW45" s="40"/>
      <c r="CX45" s="55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2"/>
    </row>
    <row r="46" spans="1:191" s="62" customFormat="1" ht="7.2" customHeight="1" x14ac:dyDescent="0.3">
      <c r="A46" s="358" t="s">
        <v>121</v>
      </c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  <c r="M46" s="358"/>
      <c r="N46" s="358"/>
      <c r="O46" s="358"/>
      <c r="P46" s="358"/>
      <c r="Q46" s="358"/>
      <c r="R46" s="358"/>
      <c r="S46" s="358"/>
      <c r="T46" s="358"/>
      <c r="U46" s="358"/>
      <c r="V46" s="358"/>
      <c r="W46" s="358"/>
      <c r="X46" s="67"/>
      <c r="Y46" s="358" t="s">
        <v>122</v>
      </c>
      <c r="Z46" s="358"/>
      <c r="AA46" s="358"/>
      <c r="AB46" s="358"/>
      <c r="AC46" s="358"/>
      <c r="AD46" s="358"/>
      <c r="AE46" s="358"/>
      <c r="AF46" s="67"/>
      <c r="AG46" s="358" t="s">
        <v>126</v>
      </c>
      <c r="AH46" s="358"/>
      <c r="AI46" s="358"/>
      <c r="AJ46" s="358"/>
      <c r="AK46" s="358"/>
      <c r="AL46" s="358"/>
      <c r="AM46" s="358"/>
      <c r="AN46" s="358"/>
      <c r="AO46" s="358"/>
      <c r="AP46" s="358"/>
      <c r="AQ46" s="358"/>
      <c r="AR46" s="358"/>
      <c r="AS46" s="358"/>
      <c r="AT46" s="358"/>
      <c r="AU46" s="358"/>
      <c r="AV46" s="358"/>
      <c r="AW46" s="358"/>
      <c r="AX46" s="358"/>
      <c r="AY46" s="68"/>
      <c r="AZ46" s="45"/>
      <c r="BA46" s="45"/>
      <c r="BB46" s="45"/>
      <c r="BC46" s="45"/>
      <c r="BD46" s="45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234" t="s">
        <v>122</v>
      </c>
      <c r="BR46" s="234"/>
      <c r="BS46" s="234"/>
      <c r="BT46" s="234"/>
      <c r="BU46" s="234"/>
      <c r="BV46" s="234"/>
      <c r="BW46" s="234"/>
      <c r="BX46" s="234"/>
      <c r="BY46" s="234"/>
      <c r="BZ46" s="234"/>
      <c r="CA46" s="70"/>
      <c r="CB46" s="70"/>
      <c r="CC46" s="234" t="s">
        <v>126</v>
      </c>
      <c r="CD46" s="234"/>
      <c r="CE46" s="234"/>
      <c r="CF46" s="234"/>
      <c r="CG46" s="234"/>
      <c r="CH46" s="234"/>
      <c r="CI46" s="234"/>
      <c r="CJ46" s="234"/>
      <c r="CK46" s="234"/>
      <c r="CL46" s="234"/>
      <c r="CM46" s="234"/>
      <c r="CN46" s="234"/>
      <c r="CO46" s="234"/>
      <c r="CP46" s="234"/>
      <c r="CQ46" s="234"/>
      <c r="CR46" s="234"/>
      <c r="CS46" s="234"/>
      <c r="CT46" s="234"/>
      <c r="CU46" s="234"/>
      <c r="CV46" s="45"/>
      <c r="CW46" s="45"/>
      <c r="CX46" s="60"/>
      <c r="CY46" s="344" t="s">
        <v>127</v>
      </c>
      <c r="CZ46" s="344"/>
      <c r="DA46" s="344"/>
      <c r="DB46" s="344"/>
      <c r="DC46" s="344"/>
      <c r="DD46" s="344"/>
      <c r="DE46" s="344"/>
      <c r="DF46" s="344"/>
      <c r="DG46" s="344"/>
      <c r="DH46" s="344"/>
      <c r="DI46" s="344"/>
      <c r="DJ46" s="344"/>
      <c r="DK46" s="344"/>
      <c r="DL46" s="344"/>
      <c r="DM46" s="344"/>
      <c r="DN46" s="344"/>
      <c r="DO46" s="344"/>
      <c r="DP46" s="344"/>
      <c r="DQ46" s="344"/>
      <c r="DR46" s="344"/>
      <c r="DS46" s="344"/>
      <c r="DT46" s="344"/>
      <c r="DU46" s="344"/>
      <c r="DV46" s="344"/>
      <c r="DW46" s="344"/>
      <c r="DX46" s="344"/>
      <c r="DY46" s="344"/>
      <c r="DZ46" s="344"/>
      <c r="EA46" s="344"/>
      <c r="EB46" s="344"/>
      <c r="EC46" s="344"/>
      <c r="ED46" s="344"/>
      <c r="EE46" s="344"/>
      <c r="EF46" s="344"/>
      <c r="EG46" s="344"/>
      <c r="EH46" s="344"/>
      <c r="EI46" s="344"/>
      <c r="EJ46" s="344"/>
      <c r="EK46" s="344"/>
      <c r="EL46" s="344"/>
      <c r="EM46" s="344"/>
      <c r="EN46" s="344"/>
      <c r="EO46" s="344"/>
      <c r="EP46" s="344"/>
      <c r="EQ46" s="344"/>
      <c r="ER46" s="344"/>
      <c r="ES46" s="344"/>
      <c r="ET46" s="344"/>
      <c r="EU46" s="344"/>
      <c r="EV46" s="344"/>
      <c r="EW46" s="344"/>
      <c r="EX46" s="344"/>
      <c r="EY46" s="344"/>
      <c r="EZ46" s="344"/>
      <c r="FA46" s="344"/>
      <c r="FB46" s="344"/>
      <c r="FC46" s="344"/>
      <c r="FD46" s="344"/>
      <c r="FE46" s="344"/>
      <c r="FF46" s="344"/>
      <c r="FG46" s="344"/>
      <c r="FH46" s="344"/>
      <c r="FI46" s="45"/>
      <c r="FJ46" s="45"/>
      <c r="FK46" s="45"/>
      <c r="FL46" s="45"/>
      <c r="FM46" s="45"/>
      <c r="FN46" s="45"/>
      <c r="FO46" s="45"/>
      <c r="FP46" s="45"/>
      <c r="FQ46" s="45"/>
      <c r="FR46" s="45"/>
      <c r="FS46" s="45"/>
      <c r="FT46" s="45"/>
      <c r="FU46" s="45"/>
      <c r="FV46" s="45"/>
      <c r="FW46" s="45"/>
      <c r="FX46" s="45"/>
      <c r="FY46" s="45"/>
      <c r="FZ46" s="45"/>
      <c r="GA46" s="45"/>
      <c r="GB46" s="45"/>
      <c r="GC46" s="45"/>
      <c r="GD46" s="45"/>
      <c r="GE46" s="45"/>
      <c r="GF46" s="45"/>
      <c r="GG46" s="45"/>
      <c r="GH46" s="45"/>
      <c r="GI46" s="61"/>
    </row>
    <row r="47" spans="1:191" ht="12.6" customHeight="1" x14ac:dyDescent="0.3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55"/>
      <c r="CY47" s="344"/>
      <c r="CZ47" s="344"/>
      <c r="DA47" s="344"/>
      <c r="DB47" s="344"/>
      <c r="DC47" s="344"/>
      <c r="DD47" s="344"/>
      <c r="DE47" s="344"/>
      <c r="DF47" s="344"/>
      <c r="DG47" s="344"/>
      <c r="DH47" s="344"/>
      <c r="DI47" s="344"/>
      <c r="DJ47" s="344"/>
      <c r="DK47" s="344"/>
      <c r="DL47" s="344"/>
      <c r="DM47" s="344"/>
      <c r="DN47" s="344"/>
      <c r="DO47" s="344"/>
      <c r="DP47" s="344"/>
      <c r="DQ47" s="344"/>
      <c r="DR47" s="344"/>
      <c r="DS47" s="344"/>
      <c r="DT47" s="344"/>
      <c r="DU47" s="344"/>
      <c r="DV47" s="344"/>
      <c r="DW47" s="344"/>
      <c r="DX47" s="344"/>
      <c r="DY47" s="344"/>
      <c r="DZ47" s="344"/>
      <c r="EA47" s="344"/>
      <c r="EB47" s="344"/>
      <c r="EC47" s="344"/>
      <c r="ED47" s="344"/>
      <c r="EE47" s="344"/>
      <c r="EF47" s="344"/>
      <c r="EG47" s="344"/>
      <c r="EH47" s="344"/>
      <c r="EI47" s="344"/>
      <c r="EJ47" s="344"/>
      <c r="EK47" s="344"/>
      <c r="EL47" s="344"/>
      <c r="EM47" s="344"/>
      <c r="EN47" s="344"/>
      <c r="EO47" s="344"/>
      <c r="EP47" s="344"/>
      <c r="EQ47" s="344"/>
      <c r="ER47" s="344"/>
      <c r="ES47" s="344"/>
      <c r="ET47" s="344"/>
      <c r="EU47" s="344"/>
      <c r="EV47" s="344"/>
      <c r="EW47" s="344"/>
      <c r="EX47" s="344"/>
      <c r="EY47" s="344"/>
      <c r="EZ47" s="344"/>
      <c r="FA47" s="344"/>
      <c r="FB47" s="344"/>
      <c r="FC47" s="344"/>
      <c r="FD47" s="344"/>
      <c r="FE47" s="344"/>
      <c r="FF47" s="344"/>
      <c r="FG47" s="344"/>
      <c r="FH47" s="344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2"/>
    </row>
    <row r="48" spans="1:191" x14ac:dyDescent="0.3">
      <c r="A48" s="72" t="s">
        <v>128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349" t="s">
        <v>129</v>
      </c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40"/>
      <c r="BA48" s="40"/>
      <c r="BB48" s="350"/>
      <c r="BC48" s="350"/>
      <c r="BD48" s="350"/>
      <c r="BE48" s="350"/>
      <c r="BF48" s="350"/>
      <c r="BG48" s="350"/>
      <c r="BH48" s="350"/>
      <c r="BI48" s="350"/>
      <c r="BJ48" s="350"/>
      <c r="BK48" s="350"/>
      <c r="BL48" s="350"/>
      <c r="BM48" s="350"/>
      <c r="BN48" s="350"/>
      <c r="BO48" s="350"/>
      <c r="BP48" s="40"/>
      <c r="BQ48" s="40"/>
      <c r="BR48" s="349" t="s">
        <v>130</v>
      </c>
      <c r="BS48" s="349"/>
      <c r="BT48" s="349"/>
      <c r="BU48" s="349"/>
      <c r="BV48" s="349"/>
      <c r="BW48" s="349"/>
      <c r="BX48" s="349"/>
      <c r="BY48" s="349"/>
      <c r="BZ48" s="349"/>
      <c r="CA48" s="349"/>
      <c r="CB48" s="349"/>
      <c r="CC48" s="349"/>
      <c r="CD48" s="349"/>
      <c r="CE48" s="349"/>
      <c r="CF48" s="349"/>
      <c r="CG48" s="349"/>
      <c r="CH48" s="349"/>
      <c r="CI48" s="349"/>
      <c r="CJ48" s="349"/>
      <c r="CK48" s="349"/>
      <c r="CL48" s="349"/>
      <c r="CM48" s="349"/>
      <c r="CN48" s="349"/>
      <c r="CO48" s="349"/>
      <c r="CP48" s="349"/>
      <c r="CQ48" s="349"/>
      <c r="CR48" s="40"/>
      <c r="CS48" s="40"/>
      <c r="CT48" s="40"/>
      <c r="CU48" s="40"/>
      <c r="CV48" s="40"/>
      <c r="CW48" s="40"/>
      <c r="CX48" s="73"/>
      <c r="CY48" s="363"/>
      <c r="CZ48" s="363"/>
      <c r="DA48" s="363"/>
      <c r="DB48" s="363"/>
      <c r="DC48" s="363"/>
      <c r="DD48" s="363"/>
      <c r="DE48" s="363"/>
      <c r="DF48" s="363"/>
      <c r="DG48" s="363"/>
      <c r="DH48" s="363"/>
      <c r="DI48" s="363"/>
      <c r="DJ48" s="363"/>
      <c r="DK48" s="363"/>
      <c r="DL48" s="363"/>
      <c r="DM48" s="363"/>
      <c r="DN48" s="363"/>
      <c r="DO48" s="363"/>
      <c r="DP48" s="363"/>
      <c r="DQ48" s="363"/>
      <c r="DR48" s="363"/>
      <c r="DS48" s="363"/>
      <c r="DT48" s="363"/>
      <c r="DU48" s="363"/>
      <c r="DV48" s="363"/>
      <c r="DW48" s="363"/>
      <c r="DX48" s="363"/>
      <c r="DY48" s="363"/>
      <c r="DZ48" s="363"/>
      <c r="EA48" s="363"/>
      <c r="EB48" s="363"/>
      <c r="EC48" s="363"/>
      <c r="ED48" s="363"/>
      <c r="EE48" s="363"/>
      <c r="EF48" s="363"/>
      <c r="EG48" s="363"/>
      <c r="EH48" s="363"/>
      <c r="EI48" s="363"/>
      <c r="EJ48" s="363"/>
      <c r="EK48" s="363"/>
      <c r="EL48" s="363"/>
      <c r="EM48" s="363"/>
      <c r="EN48" s="363"/>
      <c r="EO48" s="363"/>
      <c r="EP48" s="363"/>
      <c r="EQ48" s="363"/>
      <c r="ER48" s="363"/>
      <c r="ES48" s="363"/>
      <c r="ET48" s="363"/>
      <c r="EU48" s="363"/>
      <c r="EV48" s="363"/>
      <c r="EW48" s="363"/>
      <c r="EX48" s="363"/>
      <c r="EY48" s="363"/>
      <c r="EZ48" s="363"/>
      <c r="FA48" s="363"/>
      <c r="FB48" s="363"/>
      <c r="FC48" s="363"/>
      <c r="FD48" s="363"/>
      <c r="FE48" s="363"/>
      <c r="FF48" s="363"/>
      <c r="FG48" s="363"/>
      <c r="FH48" s="363"/>
      <c r="FI48" s="363"/>
      <c r="FJ48" s="363"/>
      <c r="FK48" s="363"/>
      <c r="FL48" s="363"/>
      <c r="FM48" s="363"/>
      <c r="FN48" s="363"/>
      <c r="FO48" s="363"/>
      <c r="FP48" s="363"/>
      <c r="FQ48" s="363"/>
      <c r="FR48" s="363"/>
      <c r="FS48" s="363"/>
      <c r="FT48" s="363"/>
      <c r="FU48" s="363"/>
      <c r="FV48" s="363"/>
      <c r="FW48" s="363"/>
      <c r="FX48" s="363"/>
      <c r="FY48" s="363"/>
      <c r="FZ48" s="363"/>
      <c r="GA48" s="363"/>
      <c r="GB48" s="363"/>
      <c r="GC48" s="363"/>
      <c r="GD48" s="363"/>
      <c r="GE48" s="363"/>
      <c r="GF48" s="40"/>
      <c r="GG48" s="40"/>
      <c r="GH48" s="40"/>
      <c r="GI48" s="42"/>
    </row>
    <row r="49" spans="1:191" s="33" customFormat="1" ht="7.2" customHeight="1" x14ac:dyDescent="0.3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234" t="s">
        <v>121</v>
      </c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4"/>
      <c r="AT49" s="234"/>
      <c r="AU49" s="234"/>
      <c r="AV49" s="234"/>
      <c r="AW49" s="234"/>
      <c r="AX49" s="234"/>
      <c r="AY49" s="234"/>
      <c r="AZ49" s="49"/>
      <c r="BA49" s="49"/>
      <c r="BB49" s="234" t="s">
        <v>122</v>
      </c>
      <c r="BC49" s="234"/>
      <c r="BD49" s="234"/>
      <c r="BE49" s="234"/>
      <c r="BF49" s="234"/>
      <c r="BG49" s="234"/>
      <c r="BH49" s="234"/>
      <c r="BI49" s="234"/>
      <c r="BJ49" s="234"/>
      <c r="BK49" s="234"/>
      <c r="BL49" s="234"/>
      <c r="BM49" s="234"/>
      <c r="BN49" s="234"/>
      <c r="BO49" s="234"/>
      <c r="BP49" s="70"/>
      <c r="BQ49" s="70"/>
      <c r="BR49" s="234" t="s">
        <v>126</v>
      </c>
      <c r="BS49" s="234"/>
      <c r="BT49" s="234"/>
      <c r="BU49" s="234"/>
      <c r="BV49" s="234"/>
      <c r="BW49" s="234"/>
      <c r="BX49" s="234"/>
      <c r="BY49" s="234"/>
      <c r="BZ49" s="234"/>
      <c r="CA49" s="234"/>
      <c r="CB49" s="234"/>
      <c r="CC49" s="234"/>
      <c r="CD49" s="234"/>
      <c r="CE49" s="234"/>
      <c r="CF49" s="234"/>
      <c r="CG49" s="234"/>
      <c r="CH49" s="234"/>
      <c r="CI49" s="234"/>
      <c r="CJ49" s="234"/>
      <c r="CK49" s="234"/>
      <c r="CL49" s="234"/>
      <c r="CM49" s="234"/>
      <c r="CN49" s="234"/>
      <c r="CO49" s="234"/>
      <c r="CP49" s="234"/>
      <c r="CQ49" s="234"/>
      <c r="CR49" s="49"/>
      <c r="CS49" s="49"/>
      <c r="CT49" s="49"/>
      <c r="CU49" s="49"/>
      <c r="CV49" s="49"/>
      <c r="CW49" s="49"/>
      <c r="CX49" s="74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 s="49"/>
      <c r="DQ49" s="49"/>
      <c r="DR49" s="49"/>
      <c r="DS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75"/>
    </row>
    <row r="50" spans="1:191" x14ac:dyDescent="0.3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76" t="s">
        <v>131</v>
      </c>
      <c r="AT50" s="41"/>
      <c r="AU50" s="41"/>
      <c r="AV50" s="41"/>
      <c r="AW50" s="41"/>
      <c r="AX50" s="41"/>
      <c r="AY50" s="41"/>
      <c r="AZ50" s="41"/>
      <c r="BA50" s="41"/>
      <c r="BB50" s="41"/>
      <c r="BC50" s="41" t="s">
        <v>132</v>
      </c>
      <c r="BD50" s="41"/>
      <c r="BE50" s="359" t="str">
        <f>FM7</f>
        <v>07</v>
      </c>
      <c r="BF50" s="349"/>
      <c r="BG50" s="349"/>
      <c r="BH50" s="349"/>
      <c r="BI50" s="349"/>
      <c r="BJ50" s="57" t="s">
        <v>109</v>
      </c>
      <c r="BK50" s="57"/>
      <c r="BL50" s="57"/>
      <c r="BM50" s="349" t="str">
        <f>VLOOKUP(FS7,$GJ$112:$GK$123,2,FALSE)</f>
        <v>апреля</v>
      </c>
      <c r="BN50" s="349"/>
      <c r="BO50" s="349"/>
      <c r="BP50" s="349"/>
      <c r="BQ50" s="349"/>
      <c r="BR50" s="349"/>
      <c r="BS50" s="349"/>
      <c r="BT50" s="349"/>
      <c r="BU50" s="349"/>
      <c r="BV50" s="349"/>
      <c r="BW50" s="349"/>
      <c r="BX50" s="349"/>
      <c r="BY50" s="349"/>
      <c r="BZ50" s="349"/>
      <c r="CA50" s="349"/>
      <c r="CB50" s="349"/>
      <c r="CC50" s="349"/>
      <c r="CD50" s="349"/>
      <c r="CE50" s="56"/>
      <c r="CF50" s="56"/>
      <c r="CG50" s="360" t="str">
        <f>FZ7</f>
        <v>2023</v>
      </c>
      <c r="CH50" s="361"/>
      <c r="CI50" s="361"/>
      <c r="CJ50" s="361"/>
      <c r="CK50" s="361"/>
      <c r="CL50" s="361"/>
      <c r="CM50" s="361"/>
      <c r="CN50" s="56"/>
      <c r="CO50" s="41" t="s">
        <v>133</v>
      </c>
      <c r="CP50" s="77"/>
      <c r="CQ50" s="40"/>
      <c r="CR50" s="40"/>
      <c r="CS50" s="40"/>
      <c r="CT50" s="40"/>
      <c r="CU50" s="40"/>
      <c r="CV50" s="40"/>
      <c r="CW50" s="40"/>
      <c r="CX50" s="55"/>
      <c r="CY50" s="41" t="s">
        <v>134</v>
      </c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362"/>
      <c r="EE50" s="362"/>
      <c r="EF50" s="362"/>
      <c r="EG50" s="362"/>
      <c r="EH50" s="362"/>
      <c r="EI50" s="362"/>
      <c r="EJ50" s="362"/>
      <c r="EK50" s="362"/>
      <c r="EL50" s="362"/>
      <c r="EM50" s="362"/>
      <c r="EN50" s="362"/>
      <c r="EO50" s="362"/>
      <c r="EP50" s="362"/>
      <c r="EQ50" s="362"/>
      <c r="ER50" s="362"/>
      <c r="ES50" s="362"/>
      <c r="ET50" s="40"/>
      <c r="EU50" s="40"/>
      <c r="EV50" s="362"/>
      <c r="EW50" s="362"/>
      <c r="EX50" s="362"/>
      <c r="EY50" s="362"/>
      <c r="EZ50" s="362"/>
      <c r="FA50" s="362"/>
      <c r="FB50" s="362"/>
      <c r="FC50" s="362"/>
      <c r="FD50" s="362"/>
      <c r="FE50" s="362"/>
      <c r="FF50" s="362"/>
      <c r="FG50" s="40"/>
      <c r="FH50" s="40"/>
      <c r="FI50" s="362"/>
      <c r="FJ50" s="362"/>
      <c r="FK50" s="362"/>
      <c r="FL50" s="362"/>
      <c r="FM50" s="362"/>
      <c r="FN50" s="362"/>
      <c r="FO50" s="362"/>
      <c r="FP50" s="362"/>
      <c r="FQ50" s="362"/>
      <c r="FR50" s="362"/>
      <c r="FS50" s="362"/>
      <c r="FT50" s="362"/>
      <c r="FU50" s="362"/>
      <c r="FV50" s="362"/>
      <c r="FW50" s="362"/>
      <c r="FX50" s="362"/>
      <c r="FY50" s="362"/>
      <c r="FZ50" s="362"/>
      <c r="GA50" s="362"/>
      <c r="GB50" s="362"/>
      <c r="GC50" s="362"/>
      <c r="GD50" s="362"/>
      <c r="GE50" s="362"/>
      <c r="GF50" s="40"/>
      <c r="GG50" s="40"/>
      <c r="GH50" s="40"/>
      <c r="GI50" s="42"/>
    </row>
    <row r="51" spans="1:191" ht="7.2" customHeight="1" x14ac:dyDescent="0.3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1"/>
      <c r="CS51" s="41"/>
      <c r="CT51" s="40"/>
      <c r="CU51" s="40"/>
      <c r="CV51" s="40"/>
      <c r="CW51" s="40"/>
      <c r="CX51" s="55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316" t="s">
        <v>121</v>
      </c>
      <c r="EE51" s="316"/>
      <c r="EF51" s="316"/>
      <c r="EG51" s="316"/>
      <c r="EH51" s="316"/>
      <c r="EI51" s="316"/>
      <c r="EJ51" s="316"/>
      <c r="EK51" s="316"/>
      <c r="EL51" s="316"/>
      <c r="EM51" s="316"/>
      <c r="EN51" s="316"/>
      <c r="EO51" s="316"/>
      <c r="EP51" s="316"/>
      <c r="EQ51" s="316"/>
      <c r="ER51" s="316"/>
      <c r="ES51" s="316"/>
      <c r="ET51" s="40"/>
      <c r="EU51" s="40"/>
      <c r="EV51" s="316" t="s">
        <v>122</v>
      </c>
      <c r="EW51" s="316"/>
      <c r="EX51" s="316"/>
      <c r="EY51" s="316"/>
      <c r="EZ51" s="316"/>
      <c r="FA51" s="316"/>
      <c r="FB51" s="316"/>
      <c r="FC51" s="316"/>
      <c r="FD51" s="316"/>
      <c r="FE51" s="316"/>
      <c r="FF51" s="316"/>
      <c r="FG51" s="40"/>
      <c r="FH51" s="40"/>
      <c r="FI51" s="316" t="s">
        <v>126</v>
      </c>
      <c r="FJ51" s="316"/>
      <c r="FK51" s="316"/>
      <c r="FL51" s="316"/>
      <c r="FM51" s="316"/>
      <c r="FN51" s="316"/>
      <c r="FO51" s="316"/>
      <c r="FP51" s="316"/>
      <c r="FQ51" s="316"/>
      <c r="FR51" s="316"/>
      <c r="FS51" s="316"/>
      <c r="FT51" s="316"/>
      <c r="FU51" s="316"/>
      <c r="FV51" s="316"/>
      <c r="FW51" s="316"/>
      <c r="FX51" s="316"/>
      <c r="FY51" s="316"/>
      <c r="FZ51" s="316"/>
      <c r="GA51" s="316"/>
      <c r="GB51" s="316"/>
      <c r="GC51" s="316"/>
      <c r="GD51" s="316"/>
      <c r="GE51" s="316"/>
      <c r="GF51" s="40"/>
      <c r="GG51" s="40"/>
      <c r="GH51" s="40"/>
      <c r="GI51" s="42"/>
    </row>
    <row r="52" spans="1:191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</row>
    <row r="53" spans="1:191" ht="15" thickBot="1" x14ac:dyDescent="0.35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372" t="s">
        <v>135</v>
      </c>
      <c r="BY53" s="372"/>
      <c r="BZ53" s="372"/>
      <c r="CA53" s="372"/>
      <c r="CB53" s="372"/>
      <c r="CC53" s="372"/>
      <c r="CD53" s="372"/>
      <c r="CE53" s="372"/>
      <c r="CF53" s="372"/>
      <c r="CG53" s="372"/>
      <c r="CH53" s="372"/>
      <c r="CI53" s="372"/>
      <c r="CJ53" s="372"/>
      <c r="CK53" s="372"/>
      <c r="CL53" s="372"/>
      <c r="CM53" s="372"/>
      <c r="CN53" s="372"/>
      <c r="CO53" s="372"/>
      <c r="CP53" s="372"/>
      <c r="CQ53" s="372"/>
      <c r="CR53" s="372"/>
      <c r="CS53" s="372"/>
      <c r="CT53" s="372"/>
      <c r="CU53" s="372"/>
      <c r="CV53" s="372"/>
      <c r="CW53" s="372"/>
      <c r="CX53" s="372"/>
      <c r="CY53" s="372"/>
      <c r="CZ53" s="372"/>
      <c r="DA53" s="372"/>
      <c r="DB53" s="372"/>
      <c r="DC53" s="372"/>
      <c r="DD53" s="372"/>
      <c r="DE53" s="78"/>
      <c r="DF53" s="78"/>
      <c r="DG53" s="78"/>
      <c r="DH53" s="78"/>
      <c r="DI53" s="78"/>
      <c r="DJ53" s="78"/>
      <c r="DK53" s="78"/>
      <c r="DL53" s="78"/>
      <c r="DM53" s="78"/>
      <c r="DN53" s="78"/>
      <c r="DO53" s="78"/>
      <c r="DP53" s="78"/>
      <c r="DQ53" s="78"/>
      <c r="DR53" s="78"/>
      <c r="DS53" s="78"/>
      <c r="DT53" s="78"/>
      <c r="DU53" s="78"/>
      <c r="DV53" s="78"/>
      <c r="DW53" s="78"/>
      <c r="DX53" s="78"/>
      <c r="DY53" s="78"/>
      <c r="DZ53" s="78"/>
      <c r="EA53" s="78"/>
      <c r="EB53" s="78"/>
      <c r="EC53" s="78"/>
      <c r="ED53" s="78"/>
      <c r="EE53" s="78"/>
      <c r="EF53" s="78"/>
      <c r="EG53" s="78"/>
      <c r="EH53" s="78"/>
      <c r="EI53" s="78"/>
      <c r="EJ53" s="78"/>
      <c r="EK53" s="78"/>
      <c r="EL53" s="78"/>
      <c r="EM53" s="78"/>
      <c r="EN53" s="78"/>
      <c r="EO53" s="78"/>
      <c r="EP53" s="78"/>
      <c r="EQ53" s="78"/>
      <c r="ER53" s="78"/>
      <c r="ES53" s="78"/>
      <c r="ET53" s="79"/>
      <c r="EU53" s="79"/>
      <c r="EV53" s="79"/>
      <c r="EW53" s="79"/>
      <c r="EX53" s="79"/>
      <c r="EY53" s="79"/>
      <c r="EZ53" s="79"/>
      <c r="FA53" s="79"/>
      <c r="FB53" s="79"/>
      <c r="FC53" s="79"/>
      <c r="FD53" s="79"/>
      <c r="FE53" s="79"/>
      <c r="FF53" s="79"/>
      <c r="FG53" s="79"/>
      <c r="FH53" s="79"/>
      <c r="FI53" s="79"/>
      <c r="FJ53" s="79"/>
      <c r="FK53" s="79"/>
      <c r="FL53" s="79"/>
      <c r="FM53" s="79"/>
      <c r="FN53" s="79"/>
      <c r="FO53" s="79"/>
      <c r="FP53" s="79"/>
      <c r="FQ53" s="79"/>
      <c r="FR53" s="79"/>
      <c r="FS53" s="79"/>
      <c r="FT53" s="79"/>
      <c r="FU53" s="79"/>
      <c r="FV53" s="79"/>
      <c r="FW53" s="79"/>
      <c r="FX53" s="79"/>
      <c r="FY53" s="79"/>
      <c r="FZ53" s="79"/>
      <c r="GA53" s="79"/>
      <c r="GB53" s="79"/>
      <c r="GC53" s="79"/>
      <c r="GD53" s="79"/>
      <c r="GE53" s="79"/>
      <c r="GF53" s="79"/>
      <c r="GG53" s="79" t="s">
        <v>136</v>
      </c>
      <c r="GH53" s="79"/>
      <c r="GI53" s="42"/>
    </row>
    <row r="54" spans="1:191" ht="9.6" customHeight="1" x14ac:dyDescent="0.3">
      <c r="A54" s="367" t="s">
        <v>137</v>
      </c>
      <c r="B54" s="367"/>
      <c r="C54" s="367"/>
      <c r="D54" s="367"/>
      <c r="E54" s="367"/>
      <c r="F54" s="367"/>
      <c r="G54" s="367"/>
      <c r="H54" s="367"/>
      <c r="I54" s="367"/>
      <c r="J54" s="367"/>
      <c r="K54" s="367"/>
      <c r="L54" s="367"/>
      <c r="M54" s="367"/>
      <c r="N54" s="367"/>
      <c r="O54" s="367"/>
      <c r="P54" s="367"/>
      <c r="Q54" s="367"/>
      <c r="R54" s="367"/>
      <c r="S54" s="367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373"/>
      <c r="AE54" s="373"/>
      <c r="AF54" s="373"/>
      <c r="AG54" s="373"/>
      <c r="AH54" s="78"/>
      <c r="AI54" s="78" t="s">
        <v>138</v>
      </c>
      <c r="AJ54" s="78"/>
      <c r="AK54" s="78"/>
      <c r="AL54" s="78"/>
      <c r="AM54" s="78"/>
      <c r="AN54" s="78"/>
      <c r="AO54" s="78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78"/>
      <c r="BE54" s="78" t="s">
        <v>56</v>
      </c>
      <c r="BF54" s="78"/>
      <c r="BG54" s="78"/>
      <c r="BH54" s="78"/>
      <c r="BI54" s="373"/>
      <c r="BJ54" s="373"/>
      <c r="BK54" s="373"/>
      <c r="BL54" s="373"/>
      <c r="BM54" s="373"/>
      <c r="BN54" s="373"/>
      <c r="BO54" s="373"/>
      <c r="BP54" s="373"/>
      <c r="BQ54" s="373"/>
      <c r="BR54" s="373"/>
      <c r="BS54" s="373"/>
      <c r="BT54" s="373"/>
      <c r="BU54" s="373"/>
      <c r="BV54" s="373"/>
      <c r="BW54" s="78"/>
      <c r="BX54" s="372"/>
      <c r="BY54" s="372"/>
      <c r="BZ54" s="372"/>
      <c r="CA54" s="372"/>
      <c r="CB54" s="372"/>
      <c r="CC54" s="372"/>
      <c r="CD54" s="372"/>
      <c r="CE54" s="372"/>
      <c r="CF54" s="372"/>
      <c r="CG54" s="372"/>
      <c r="CH54" s="372"/>
      <c r="CI54" s="372"/>
      <c r="CJ54" s="372"/>
      <c r="CK54" s="372"/>
      <c r="CL54" s="372"/>
      <c r="CM54" s="372"/>
      <c r="CN54" s="372"/>
      <c r="CO54" s="372"/>
      <c r="CP54" s="372"/>
      <c r="CQ54" s="372"/>
      <c r="CR54" s="372"/>
      <c r="CS54" s="372"/>
      <c r="CT54" s="372"/>
      <c r="CU54" s="372"/>
      <c r="CV54" s="372"/>
      <c r="CW54" s="372"/>
      <c r="CX54" s="372"/>
      <c r="CY54" s="372"/>
      <c r="CZ54" s="372"/>
      <c r="DA54" s="372"/>
      <c r="DB54" s="372"/>
      <c r="DC54" s="372"/>
      <c r="DD54" s="372"/>
      <c r="DE54" s="78"/>
      <c r="DF54" s="78"/>
      <c r="DG54" s="78"/>
      <c r="DH54" s="78"/>
      <c r="DI54" s="78"/>
      <c r="DJ54" s="78"/>
      <c r="DK54" s="78"/>
      <c r="DL54" s="78"/>
      <c r="DM54" s="78"/>
      <c r="DN54" s="78"/>
      <c r="DO54" s="78"/>
      <c r="DP54" s="78"/>
      <c r="DQ54" s="78"/>
      <c r="DR54" s="78"/>
      <c r="DS54" s="78"/>
      <c r="DT54" s="78"/>
      <c r="DU54" s="78"/>
      <c r="DV54" s="78"/>
      <c r="DW54" s="78"/>
      <c r="DX54" s="78"/>
      <c r="DY54" s="78"/>
      <c r="DZ54" s="78"/>
      <c r="EA54" s="78"/>
      <c r="EB54" s="78"/>
      <c r="EC54" s="78"/>
      <c r="ED54" s="78"/>
      <c r="EE54" s="78"/>
      <c r="EF54" s="78"/>
      <c r="EG54" s="78"/>
      <c r="EH54" s="78"/>
      <c r="EI54" s="78"/>
      <c r="EJ54" s="78"/>
      <c r="EK54" s="78"/>
      <c r="EL54" s="78"/>
      <c r="EM54" s="78"/>
      <c r="EN54" s="78"/>
      <c r="EO54" s="78"/>
      <c r="EP54" s="78"/>
      <c r="EQ54" s="78"/>
      <c r="ER54" s="78"/>
      <c r="ES54" s="79"/>
      <c r="ET54" s="79"/>
      <c r="EU54" s="79"/>
      <c r="EV54" s="79"/>
      <c r="EW54" s="79"/>
      <c r="EX54" s="79"/>
      <c r="EY54" s="79"/>
      <c r="EZ54" s="79"/>
      <c r="FA54" s="79"/>
      <c r="FB54" s="79"/>
      <c r="FC54" s="79"/>
      <c r="FD54" s="79"/>
      <c r="FE54" s="79"/>
      <c r="FF54" s="79"/>
      <c r="FG54" s="79"/>
      <c r="FH54" s="79"/>
      <c r="FI54" s="79"/>
      <c r="FJ54" s="79"/>
      <c r="FK54" s="79"/>
      <c r="FL54" s="79"/>
      <c r="FM54" s="79"/>
      <c r="FN54" s="79"/>
      <c r="FO54" s="79"/>
      <c r="FP54" s="374" t="str">
        <f>FM6</f>
        <v>1035</v>
      </c>
      <c r="FQ54" s="375"/>
      <c r="FR54" s="375"/>
      <c r="FS54" s="375"/>
      <c r="FT54" s="375"/>
      <c r="FU54" s="375"/>
      <c r="FV54" s="375"/>
      <c r="FW54" s="375"/>
      <c r="FX54" s="375"/>
      <c r="FY54" s="375"/>
      <c r="FZ54" s="375"/>
      <c r="GA54" s="375"/>
      <c r="GB54" s="375"/>
      <c r="GC54" s="375"/>
      <c r="GD54" s="375"/>
      <c r="GE54" s="375"/>
      <c r="GF54" s="375"/>
      <c r="GG54" s="375"/>
      <c r="GH54" s="376"/>
      <c r="GI54" s="42"/>
    </row>
    <row r="55" spans="1:191" ht="12.6" customHeight="1" x14ac:dyDescent="0.3">
      <c r="A55" s="78" t="s">
        <v>139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 t="s">
        <v>132</v>
      </c>
      <c r="W55" s="78"/>
      <c r="X55" s="373"/>
      <c r="Y55" s="373"/>
      <c r="Z55" s="373"/>
      <c r="AA55" s="373"/>
      <c r="AB55" s="78" t="s">
        <v>109</v>
      </c>
      <c r="AC55" s="78"/>
      <c r="AD55" s="364" t="s">
        <v>140</v>
      </c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80"/>
      <c r="AV55" s="81"/>
      <c r="AW55" s="365" t="str">
        <f>FZ7</f>
        <v>2023</v>
      </c>
      <c r="AX55" s="366"/>
      <c r="AY55" s="366"/>
      <c r="AZ55" s="366"/>
      <c r="BA55" s="366"/>
      <c r="BB55" s="366"/>
      <c r="BC55" s="366"/>
      <c r="BD55" s="78" t="s">
        <v>110</v>
      </c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  <c r="CY55" s="78"/>
      <c r="CZ55" s="78"/>
      <c r="DA55" s="78"/>
      <c r="DB55" s="78"/>
      <c r="DC55" s="78"/>
      <c r="DD55" s="78"/>
      <c r="DE55" s="78"/>
      <c r="DF55" s="78"/>
      <c r="DG55" s="78"/>
      <c r="DH55" s="78"/>
      <c r="DI55" s="78"/>
      <c r="DJ55" s="78"/>
      <c r="DK55" s="78"/>
      <c r="DL55" s="78"/>
      <c r="DM55" s="78"/>
      <c r="DN55" s="78"/>
      <c r="DO55" s="78"/>
      <c r="DP55" s="78"/>
      <c r="DQ55" s="78"/>
      <c r="DR55" s="78"/>
      <c r="DS55" s="78"/>
      <c r="DT55" s="78"/>
      <c r="DU55" s="78"/>
      <c r="DV55" s="78"/>
      <c r="DW55" s="78"/>
      <c r="DX55" s="78"/>
      <c r="DY55" s="78"/>
      <c r="DZ55" s="78"/>
      <c r="EA55" s="78"/>
      <c r="EB55" s="78"/>
      <c r="EC55" s="78"/>
      <c r="ED55" s="78"/>
      <c r="EE55" s="78"/>
      <c r="EF55" s="78"/>
      <c r="EG55" s="78"/>
      <c r="EH55" s="78"/>
      <c r="EI55" s="78"/>
      <c r="EJ55" s="78"/>
      <c r="EK55" s="78"/>
      <c r="EL55" s="78"/>
      <c r="EM55" s="78"/>
      <c r="EN55" s="78"/>
      <c r="EO55" s="78"/>
      <c r="EP55" s="78"/>
      <c r="EQ55" s="78"/>
      <c r="ER55" s="78"/>
      <c r="ES55" s="78"/>
      <c r="ET55" s="78"/>
      <c r="EU55" s="78"/>
      <c r="EV55" s="78"/>
      <c r="EW55" s="78"/>
      <c r="EX55" s="78"/>
      <c r="EY55" s="78"/>
      <c r="EZ55" s="78"/>
      <c r="FA55" s="78"/>
      <c r="FB55" s="78"/>
      <c r="FC55" s="78"/>
      <c r="FD55" s="78"/>
      <c r="FE55" s="78"/>
      <c r="FF55" s="78"/>
      <c r="FG55" s="78"/>
      <c r="FH55" s="78"/>
      <c r="FI55" s="78"/>
      <c r="FJ55" s="78"/>
      <c r="FK55" s="78"/>
      <c r="FL55" s="78"/>
      <c r="FM55" s="78"/>
      <c r="FN55" s="82" t="s">
        <v>141</v>
      </c>
      <c r="FO55" s="78"/>
      <c r="FP55" s="377"/>
      <c r="FQ55" s="378"/>
      <c r="FR55" s="378"/>
      <c r="FS55" s="378"/>
      <c r="FT55" s="378"/>
      <c r="FU55" s="378"/>
      <c r="FV55" s="378"/>
      <c r="FW55" s="378"/>
      <c r="FX55" s="378"/>
      <c r="FY55" s="378"/>
      <c r="FZ55" s="378"/>
      <c r="GA55" s="378"/>
      <c r="GB55" s="378"/>
      <c r="GC55" s="378"/>
      <c r="GD55" s="378"/>
      <c r="GE55" s="378"/>
      <c r="GF55" s="378"/>
      <c r="GG55" s="378"/>
      <c r="GH55" s="379"/>
      <c r="GI55" s="42"/>
    </row>
    <row r="56" spans="1:191" ht="9.6" customHeight="1" x14ac:dyDescent="0.3">
      <c r="A56" s="367" t="s">
        <v>142</v>
      </c>
      <c r="B56" s="367"/>
      <c r="C56" s="367"/>
      <c r="D56" s="367"/>
      <c r="E56" s="367"/>
      <c r="F56" s="367"/>
      <c r="G56" s="367"/>
      <c r="H56" s="367"/>
      <c r="I56" s="367"/>
      <c r="J56" s="367"/>
      <c r="K56" s="367"/>
      <c r="L56" s="367"/>
      <c r="M56" s="367"/>
      <c r="N56" s="368" t="s">
        <v>338</v>
      </c>
      <c r="O56" s="368"/>
      <c r="P56" s="368"/>
      <c r="Q56" s="368"/>
      <c r="R56" s="368"/>
      <c r="S56" s="368"/>
      <c r="T56" s="368"/>
      <c r="U56" s="368"/>
      <c r="V56" s="368"/>
      <c r="W56" s="368"/>
      <c r="X56" s="368"/>
      <c r="Y56" s="368"/>
      <c r="Z56" s="368"/>
      <c r="AA56" s="368"/>
      <c r="AB56" s="368"/>
      <c r="AC56" s="368"/>
      <c r="AD56" s="368"/>
      <c r="AE56" s="368"/>
      <c r="AF56" s="368"/>
      <c r="AG56" s="368"/>
      <c r="AH56" s="368"/>
      <c r="AI56" s="368"/>
      <c r="AJ56" s="368"/>
      <c r="AK56" s="368"/>
      <c r="AL56" s="368"/>
      <c r="AM56" s="368"/>
      <c r="AN56" s="368"/>
      <c r="AO56" s="368"/>
      <c r="AP56" s="368"/>
      <c r="AQ56" s="368"/>
      <c r="AR56" s="368"/>
      <c r="AS56" s="368"/>
      <c r="AT56" s="368"/>
      <c r="AU56" s="368"/>
      <c r="AV56" s="368"/>
      <c r="AW56" s="368"/>
      <c r="AX56" s="368"/>
      <c r="AY56" s="368"/>
      <c r="AZ56" s="368"/>
      <c r="BA56" s="368"/>
      <c r="BB56" s="368"/>
      <c r="BC56" s="368"/>
      <c r="BD56" s="368"/>
      <c r="BE56" s="368"/>
      <c r="BF56" s="368"/>
      <c r="BG56" s="368"/>
      <c r="BH56" s="368"/>
      <c r="BI56" s="368"/>
      <c r="BJ56" s="368"/>
      <c r="BK56" s="368"/>
      <c r="BL56" s="368"/>
      <c r="BM56" s="368"/>
      <c r="BN56" s="368"/>
      <c r="BO56" s="368"/>
      <c r="BP56" s="368"/>
      <c r="BQ56" s="368"/>
      <c r="BR56" s="368"/>
      <c r="BS56" s="368"/>
      <c r="BT56" s="368"/>
      <c r="BU56" s="368"/>
      <c r="BV56" s="368"/>
      <c r="BW56" s="368"/>
      <c r="BX56" s="368"/>
      <c r="BY56" s="368"/>
      <c r="BZ56" s="368"/>
      <c r="CA56" s="368"/>
      <c r="CB56" s="78"/>
      <c r="CC56" s="370" t="s">
        <v>143</v>
      </c>
      <c r="CD56" s="370"/>
      <c r="CE56" s="370"/>
      <c r="CF56" s="370"/>
      <c r="CG56" s="370"/>
      <c r="CH56" s="370"/>
      <c r="CI56" s="370"/>
      <c r="CJ56" s="370"/>
      <c r="CK56" s="370"/>
      <c r="CL56" s="370"/>
      <c r="CM56" s="370"/>
      <c r="CN56" s="370"/>
      <c r="CO56" s="368" t="s">
        <v>144</v>
      </c>
      <c r="CP56" s="368"/>
      <c r="CQ56" s="368"/>
      <c r="CR56" s="368"/>
      <c r="CS56" s="368"/>
      <c r="CT56" s="368"/>
      <c r="CU56" s="368"/>
      <c r="CV56" s="368"/>
      <c r="CW56" s="368"/>
      <c r="CX56" s="368"/>
      <c r="CY56" s="368"/>
      <c r="CZ56" s="368"/>
      <c r="DA56" s="368"/>
      <c r="DB56" s="368"/>
      <c r="DC56" s="368"/>
      <c r="DD56" s="368"/>
      <c r="DE56" s="368"/>
      <c r="DF56" s="368"/>
      <c r="DG56" s="368"/>
      <c r="DH56" s="368"/>
      <c r="DI56" s="368"/>
      <c r="DJ56" s="368"/>
      <c r="DK56" s="368"/>
      <c r="DL56" s="380" t="s">
        <v>145</v>
      </c>
      <c r="DM56" s="380"/>
      <c r="DN56" s="380"/>
      <c r="DO56" s="380"/>
      <c r="DP56" s="380"/>
      <c r="DQ56" s="380"/>
      <c r="DR56" s="380"/>
      <c r="DS56" s="380"/>
      <c r="DT56" s="380"/>
      <c r="DU56" s="380"/>
      <c r="DV56" s="380"/>
      <c r="DW56" s="380"/>
      <c r="DX56" s="380"/>
      <c r="DY56" s="380"/>
      <c r="DZ56" s="380"/>
      <c r="EA56" s="380"/>
      <c r="EB56" s="380"/>
      <c r="EC56" s="380"/>
      <c r="ED56" s="380"/>
      <c r="EE56" s="380"/>
      <c r="EF56" s="380"/>
      <c r="EG56" s="380"/>
      <c r="EH56" s="380"/>
      <c r="EI56" s="380"/>
      <c r="EJ56" s="380"/>
      <c r="EK56" s="63"/>
      <c r="EL56" s="83"/>
      <c r="EM56" s="83"/>
      <c r="EN56" s="368" t="s">
        <v>146</v>
      </c>
      <c r="EO56" s="368"/>
      <c r="EP56" s="368"/>
      <c r="EQ56" s="368"/>
      <c r="ER56" s="368"/>
      <c r="ES56" s="368"/>
      <c r="ET56" s="368"/>
      <c r="EU56" s="368"/>
      <c r="EV56" s="368"/>
      <c r="EW56" s="368"/>
      <c r="EX56" s="368"/>
      <c r="EY56" s="368"/>
      <c r="EZ56" s="368"/>
      <c r="FA56" s="368"/>
      <c r="FB56" s="381" t="s">
        <v>147</v>
      </c>
      <c r="FC56" s="381"/>
      <c r="FD56" s="381"/>
      <c r="FE56" s="381"/>
      <c r="FF56" s="381"/>
      <c r="FG56" s="381"/>
      <c r="FH56" s="381"/>
      <c r="FI56" s="381"/>
      <c r="FJ56" s="381"/>
      <c r="FK56" s="381"/>
      <c r="FL56" s="381"/>
      <c r="FM56" s="381"/>
      <c r="FN56" s="381"/>
      <c r="FO56" s="78"/>
      <c r="FP56" s="382" t="s">
        <v>334</v>
      </c>
      <c r="FQ56" s="383"/>
      <c r="FR56" s="383"/>
      <c r="FS56" s="383"/>
      <c r="FT56" s="383"/>
      <c r="FU56" s="383"/>
      <c r="FV56" s="383"/>
      <c r="FW56" s="383"/>
      <c r="FX56" s="383"/>
      <c r="FY56" s="383"/>
      <c r="FZ56" s="383"/>
      <c r="GA56" s="383"/>
      <c r="GB56" s="383"/>
      <c r="GC56" s="383"/>
      <c r="GD56" s="383"/>
      <c r="GE56" s="383"/>
      <c r="GF56" s="383"/>
      <c r="GG56" s="383"/>
      <c r="GH56" s="384"/>
      <c r="GI56" s="42"/>
    </row>
    <row r="57" spans="1:191" ht="6.6" customHeight="1" x14ac:dyDescent="0.3">
      <c r="A57" s="367"/>
      <c r="B57" s="367"/>
      <c r="C57" s="367"/>
      <c r="D57" s="367"/>
      <c r="E57" s="367"/>
      <c r="F57" s="367"/>
      <c r="G57" s="367"/>
      <c r="H57" s="367"/>
      <c r="I57" s="367"/>
      <c r="J57" s="367"/>
      <c r="K57" s="367"/>
      <c r="L57" s="367"/>
      <c r="M57" s="367"/>
      <c r="N57" s="369"/>
      <c r="O57" s="369"/>
      <c r="P57" s="369"/>
      <c r="Q57" s="369"/>
      <c r="R57" s="369"/>
      <c r="S57" s="369"/>
      <c r="T57" s="369"/>
      <c r="U57" s="369"/>
      <c r="V57" s="369"/>
      <c r="W57" s="369"/>
      <c r="X57" s="369"/>
      <c r="Y57" s="369"/>
      <c r="Z57" s="369"/>
      <c r="AA57" s="369"/>
      <c r="AB57" s="369"/>
      <c r="AC57" s="369"/>
      <c r="AD57" s="369"/>
      <c r="AE57" s="369"/>
      <c r="AF57" s="369"/>
      <c r="AG57" s="369"/>
      <c r="AH57" s="369"/>
      <c r="AI57" s="369"/>
      <c r="AJ57" s="369"/>
      <c r="AK57" s="369"/>
      <c r="AL57" s="369"/>
      <c r="AM57" s="369"/>
      <c r="AN57" s="369"/>
      <c r="AO57" s="369"/>
      <c r="AP57" s="369"/>
      <c r="AQ57" s="369"/>
      <c r="AR57" s="369"/>
      <c r="AS57" s="369"/>
      <c r="AT57" s="369"/>
      <c r="AU57" s="369"/>
      <c r="AV57" s="369"/>
      <c r="AW57" s="369"/>
      <c r="AX57" s="369"/>
      <c r="AY57" s="369"/>
      <c r="AZ57" s="369"/>
      <c r="BA57" s="369"/>
      <c r="BB57" s="369"/>
      <c r="BC57" s="369"/>
      <c r="BD57" s="369"/>
      <c r="BE57" s="369"/>
      <c r="BF57" s="369"/>
      <c r="BG57" s="369"/>
      <c r="BH57" s="369"/>
      <c r="BI57" s="369"/>
      <c r="BJ57" s="369"/>
      <c r="BK57" s="369"/>
      <c r="BL57" s="369"/>
      <c r="BM57" s="369"/>
      <c r="BN57" s="369"/>
      <c r="BO57" s="369"/>
      <c r="BP57" s="369"/>
      <c r="BQ57" s="369"/>
      <c r="BR57" s="369"/>
      <c r="BS57" s="369"/>
      <c r="BT57" s="369"/>
      <c r="BU57" s="369"/>
      <c r="BV57" s="369"/>
      <c r="BW57" s="369"/>
      <c r="BX57" s="369"/>
      <c r="BY57" s="369"/>
      <c r="BZ57" s="369"/>
      <c r="CA57" s="369"/>
      <c r="CB57" s="78"/>
      <c r="CC57" s="370"/>
      <c r="CD57" s="370"/>
      <c r="CE57" s="370"/>
      <c r="CF57" s="370"/>
      <c r="CG57" s="370"/>
      <c r="CH57" s="370"/>
      <c r="CI57" s="370"/>
      <c r="CJ57" s="370"/>
      <c r="CK57" s="370"/>
      <c r="CL57" s="370"/>
      <c r="CM57" s="370"/>
      <c r="CN57" s="370"/>
      <c r="CO57" s="371"/>
      <c r="CP57" s="371"/>
      <c r="CQ57" s="371"/>
      <c r="CR57" s="371"/>
      <c r="CS57" s="371"/>
      <c r="CT57" s="371"/>
      <c r="CU57" s="371"/>
      <c r="CV57" s="371"/>
      <c r="CW57" s="371"/>
      <c r="CX57" s="371"/>
      <c r="CY57" s="371"/>
      <c r="CZ57" s="371"/>
      <c r="DA57" s="371"/>
      <c r="DB57" s="371"/>
      <c r="DC57" s="371"/>
      <c r="DD57" s="371"/>
      <c r="DE57" s="371"/>
      <c r="DF57" s="371"/>
      <c r="DG57" s="371"/>
      <c r="DH57" s="371"/>
      <c r="DI57" s="371"/>
      <c r="DJ57" s="371"/>
      <c r="DK57" s="371"/>
      <c r="DL57" s="380"/>
      <c r="DM57" s="380"/>
      <c r="DN57" s="380"/>
      <c r="DO57" s="380"/>
      <c r="DP57" s="380"/>
      <c r="DQ57" s="380"/>
      <c r="DR57" s="380"/>
      <c r="DS57" s="380"/>
      <c r="DT57" s="380"/>
      <c r="DU57" s="380"/>
      <c r="DV57" s="380"/>
      <c r="DW57" s="380"/>
      <c r="DX57" s="380"/>
      <c r="DY57" s="380"/>
      <c r="DZ57" s="380"/>
      <c r="EA57" s="380"/>
      <c r="EB57" s="380"/>
      <c r="EC57" s="380"/>
      <c r="ED57" s="380"/>
      <c r="EE57" s="380"/>
      <c r="EF57" s="380"/>
      <c r="EG57" s="380"/>
      <c r="EH57" s="380"/>
      <c r="EI57" s="380"/>
      <c r="EJ57" s="380"/>
      <c r="EK57" s="63"/>
      <c r="EL57" s="83"/>
      <c r="EM57" s="84"/>
      <c r="EN57" s="369"/>
      <c r="EO57" s="369"/>
      <c r="EP57" s="369"/>
      <c r="EQ57" s="369"/>
      <c r="ER57" s="369"/>
      <c r="ES57" s="369"/>
      <c r="ET57" s="369"/>
      <c r="EU57" s="369"/>
      <c r="EV57" s="369"/>
      <c r="EW57" s="369"/>
      <c r="EX57" s="369"/>
      <c r="EY57" s="369"/>
      <c r="EZ57" s="369"/>
      <c r="FA57" s="369"/>
      <c r="FB57" s="388" t="s">
        <v>148</v>
      </c>
      <c r="FC57" s="388"/>
      <c r="FD57" s="388"/>
      <c r="FE57" s="388"/>
      <c r="FF57" s="388"/>
      <c r="FG57" s="388"/>
      <c r="FH57" s="388"/>
      <c r="FI57" s="388"/>
      <c r="FJ57" s="388"/>
      <c r="FK57" s="388"/>
      <c r="FL57" s="388"/>
      <c r="FM57" s="388"/>
      <c r="FN57" s="388"/>
      <c r="FO57" s="78"/>
      <c r="FP57" s="385"/>
      <c r="FQ57" s="386"/>
      <c r="FR57" s="386"/>
      <c r="FS57" s="386"/>
      <c r="FT57" s="386"/>
      <c r="FU57" s="386"/>
      <c r="FV57" s="386"/>
      <c r="FW57" s="386"/>
      <c r="FX57" s="386"/>
      <c r="FY57" s="386"/>
      <c r="FZ57" s="386"/>
      <c r="GA57" s="386"/>
      <c r="GB57" s="386"/>
      <c r="GC57" s="386"/>
      <c r="GD57" s="386"/>
      <c r="GE57" s="386"/>
      <c r="GF57" s="386"/>
      <c r="GG57" s="386"/>
      <c r="GH57" s="387"/>
      <c r="GI57" s="42"/>
    </row>
    <row r="58" spans="1:191" ht="7.95" customHeight="1" x14ac:dyDescent="0.3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389" t="s">
        <v>149</v>
      </c>
      <c r="O58" s="389"/>
      <c r="P58" s="389"/>
      <c r="Q58" s="389"/>
      <c r="R58" s="389"/>
      <c r="S58" s="389"/>
      <c r="T58" s="389"/>
      <c r="U58" s="389"/>
      <c r="V58" s="389"/>
      <c r="W58" s="389"/>
      <c r="X58" s="389"/>
      <c r="Y58" s="389"/>
      <c r="Z58" s="389"/>
      <c r="AA58" s="389"/>
      <c r="AB58" s="389"/>
      <c r="AC58" s="389"/>
      <c r="AD58" s="389"/>
      <c r="AE58" s="389"/>
      <c r="AF58" s="389"/>
      <c r="AG58" s="389"/>
      <c r="AH58" s="389"/>
      <c r="AI58" s="389"/>
      <c r="AJ58" s="389"/>
      <c r="AK58" s="389"/>
      <c r="AL58" s="389"/>
      <c r="AM58" s="389"/>
      <c r="AN58" s="389"/>
      <c r="AO58" s="389"/>
      <c r="AP58" s="389"/>
      <c r="AQ58" s="389"/>
      <c r="AR58" s="389"/>
      <c r="AS58" s="389"/>
      <c r="AT58" s="389"/>
      <c r="AU58" s="389"/>
      <c r="AV58" s="389"/>
      <c r="AW58" s="389"/>
      <c r="AX58" s="389"/>
      <c r="AY58" s="389"/>
      <c r="AZ58" s="389"/>
      <c r="BA58" s="389"/>
      <c r="BB58" s="389"/>
      <c r="BC58" s="389"/>
      <c r="BD58" s="389"/>
      <c r="BE58" s="389"/>
      <c r="BF58" s="389"/>
      <c r="BG58" s="389"/>
      <c r="BH58" s="389"/>
      <c r="BI58" s="389"/>
      <c r="BJ58" s="389"/>
      <c r="BK58" s="389"/>
      <c r="BL58" s="389"/>
      <c r="BM58" s="389"/>
      <c r="BN58" s="389"/>
      <c r="BO58" s="389"/>
      <c r="BP58" s="389"/>
      <c r="BQ58" s="389"/>
      <c r="BR58" s="389"/>
      <c r="BS58" s="389"/>
      <c r="BT58" s="389"/>
      <c r="BU58" s="389"/>
      <c r="BV58" s="389"/>
      <c r="BW58" s="389"/>
      <c r="BX58" s="389"/>
      <c r="BY58" s="389"/>
      <c r="BZ58" s="389"/>
      <c r="CA58" s="389"/>
      <c r="CB58" s="86"/>
      <c r="CC58" s="86"/>
      <c r="CD58" s="86"/>
      <c r="CE58" s="86"/>
      <c r="CF58" s="86"/>
      <c r="CG58" s="86"/>
      <c r="CH58" s="87"/>
      <c r="CI58" s="87"/>
      <c r="CJ58" s="87"/>
      <c r="CK58" s="87"/>
      <c r="CL58" s="87"/>
      <c r="CM58" s="87"/>
      <c r="CN58" s="85"/>
      <c r="CO58" s="390" t="s">
        <v>150</v>
      </c>
      <c r="CP58" s="390"/>
      <c r="CQ58" s="390"/>
      <c r="CR58" s="390"/>
      <c r="CS58" s="390"/>
      <c r="CT58" s="390"/>
      <c r="CU58" s="390"/>
      <c r="CV58" s="390"/>
      <c r="CW58" s="390"/>
      <c r="CX58" s="390"/>
      <c r="CY58" s="390"/>
      <c r="CZ58" s="390"/>
      <c r="DA58" s="390"/>
      <c r="DB58" s="390"/>
      <c r="DC58" s="390"/>
      <c r="DD58" s="390"/>
      <c r="DE58" s="390"/>
      <c r="DF58" s="390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5"/>
      <c r="DU58" s="89"/>
      <c r="DV58" s="89"/>
      <c r="DW58" s="89"/>
      <c r="DX58" s="89"/>
      <c r="DY58" s="89"/>
      <c r="DZ58" s="89"/>
      <c r="EA58" s="89"/>
      <c r="EB58" s="89"/>
      <c r="EC58" s="89"/>
      <c r="ED58" s="89"/>
      <c r="EE58" s="89"/>
      <c r="EF58" s="89"/>
      <c r="EG58" s="89"/>
      <c r="EH58" s="89"/>
      <c r="EI58" s="89"/>
      <c r="EJ58" s="89"/>
      <c r="EK58" s="89"/>
      <c r="EL58" s="89"/>
      <c r="EM58" s="89"/>
      <c r="EN58" s="89"/>
      <c r="EO58" s="89"/>
      <c r="EP58" s="89"/>
      <c r="EQ58" s="89"/>
      <c r="ER58" s="89"/>
      <c r="ES58" s="89"/>
      <c r="ET58" s="89"/>
      <c r="EU58" s="89"/>
      <c r="EV58" s="89"/>
      <c r="EW58" s="89"/>
      <c r="EX58" s="85"/>
      <c r="EY58" s="85"/>
      <c r="EZ58" s="85"/>
      <c r="FA58" s="85"/>
      <c r="FB58" s="388"/>
      <c r="FC58" s="388"/>
      <c r="FD58" s="388"/>
      <c r="FE58" s="388"/>
      <c r="FF58" s="388"/>
      <c r="FG58" s="388"/>
      <c r="FH58" s="388"/>
      <c r="FI58" s="388"/>
      <c r="FJ58" s="388"/>
      <c r="FK58" s="388"/>
      <c r="FL58" s="388"/>
      <c r="FM58" s="388"/>
      <c r="FN58" s="388"/>
      <c r="FO58" s="85"/>
      <c r="FP58" s="391"/>
      <c r="FQ58" s="392"/>
      <c r="FR58" s="392"/>
      <c r="FS58" s="392"/>
      <c r="FT58" s="392"/>
      <c r="FU58" s="392"/>
      <c r="FV58" s="392"/>
      <c r="FW58" s="392"/>
      <c r="FX58" s="392"/>
      <c r="FY58" s="392"/>
      <c r="FZ58" s="392"/>
      <c r="GA58" s="392"/>
      <c r="GB58" s="392"/>
      <c r="GC58" s="392"/>
      <c r="GD58" s="392"/>
      <c r="GE58" s="392"/>
      <c r="GF58" s="392"/>
      <c r="GG58" s="392"/>
      <c r="GH58" s="393"/>
      <c r="GI58" s="42"/>
    </row>
    <row r="59" spans="1:191" x14ac:dyDescent="0.3">
      <c r="A59" s="78" t="s">
        <v>151</v>
      </c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214" t="str">
        <f>P11</f>
        <v>ООО "СтройПроектСервис" 664014, г. Иркутск, ул. Леси Украинки, д. 35-101, ОГРН: 1073812008643, ИНН: 3812100526, телефон: +73952486001, , тел.: +73952486001</v>
      </c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E59" s="214"/>
      <c r="FF59" s="214"/>
      <c r="FG59" s="214"/>
      <c r="FH59" s="214"/>
      <c r="FI59" s="214"/>
      <c r="FJ59" s="214"/>
      <c r="FK59" s="214"/>
      <c r="FL59" s="214"/>
      <c r="FM59" s="214"/>
      <c r="FN59" s="78"/>
      <c r="FO59" s="90"/>
      <c r="FP59" s="394"/>
      <c r="FQ59" s="373"/>
      <c r="FR59" s="373"/>
      <c r="FS59" s="373"/>
      <c r="FT59" s="373"/>
      <c r="FU59" s="373"/>
      <c r="FV59" s="373"/>
      <c r="FW59" s="373"/>
      <c r="FX59" s="373"/>
      <c r="FY59" s="373"/>
      <c r="FZ59" s="373"/>
      <c r="GA59" s="373"/>
      <c r="GB59" s="373"/>
      <c r="GC59" s="373"/>
      <c r="GD59" s="373"/>
      <c r="GE59" s="373"/>
      <c r="GF59" s="373"/>
      <c r="GG59" s="373"/>
      <c r="GH59" s="395"/>
      <c r="GI59" s="42"/>
    </row>
    <row r="60" spans="1:191" ht="7.2" customHeight="1" x14ac:dyDescent="0.3">
      <c r="A60" s="78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398" t="s">
        <v>152</v>
      </c>
      <c r="Y60" s="398"/>
      <c r="Z60" s="398"/>
      <c r="AA60" s="398"/>
      <c r="AB60" s="398"/>
      <c r="AC60" s="398"/>
      <c r="AD60" s="398"/>
      <c r="AE60" s="398"/>
      <c r="AF60" s="398"/>
      <c r="AG60" s="39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  <c r="AR60" s="398"/>
      <c r="AS60" s="398"/>
      <c r="AT60" s="398"/>
      <c r="AU60" s="398"/>
      <c r="AV60" s="398"/>
      <c r="AW60" s="398"/>
      <c r="AX60" s="398"/>
      <c r="AY60" s="398"/>
      <c r="AZ60" s="398"/>
      <c r="BA60" s="398"/>
      <c r="BB60" s="398"/>
      <c r="BC60" s="398"/>
      <c r="BD60" s="398"/>
      <c r="BE60" s="398"/>
      <c r="BF60" s="398"/>
      <c r="BG60" s="398"/>
      <c r="BH60" s="398"/>
      <c r="BI60" s="398"/>
      <c r="BJ60" s="398"/>
      <c r="BK60" s="398"/>
      <c r="BL60" s="398"/>
      <c r="BM60" s="398"/>
      <c r="BN60" s="398"/>
      <c r="BO60" s="398"/>
      <c r="BP60" s="398"/>
      <c r="BQ60" s="398"/>
      <c r="BR60" s="398"/>
      <c r="BS60" s="398"/>
      <c r="BT60" s="398"/>
      <c r="BU60" s="398"/>
      <c r="BV60" s="398"/>
      <c r="BW60" s="398"/>
      <c r="BX60" s="398"/>
      <c r="BY60" s="398"/>
      <c r="BZ60" s="398"/>
      <c r="CA60" s="398"/>
      <c r="CB60" s="398"/>
      <c r="CC60" s="398"/>
      <c r="CD60" s="398"/>
      <c r="CE60" s="398"/>
      <c r="CF60" s="398"/>
      <c r="CG60" s="398"/>
      <c r="CH60" s="398"/>
      <c r="CI60" s="398"/>
      <c r="CJ60" s="398"/>
      <c r="CK60" s="398"/>
      <c r="CL60" s="398"/>
      <c r="CM60" s="398"/>
      <c r="CN60" s="398"/>
      <c r="CO60" s="398"/>
      <c r="CP60" s="398"/>
      <c r="CQ60" s="398"/>
      <c r="CR60" s="398"/>
      <c r="CS60" s="398"/>
      <c r="CT60" s="398"/>
      <c r="CU60" s="398"/>
      <c r="CV60" s="398"/>
      <c r="CW60" s="398"/>
      <c r="CX60" s="398"/>
      <c r="CY60" s="398"/>
      <c r="CZ60" s="398"/>
      <c r="DA60" s="398"/>
      <c r="DB60" s="398"/>
      <c r="DC60" s="398"/>
      <c r="DD60" s="398"/>
      <c r="DE60" s="398"/>
      <c r="DF60" s="398"/>
      <c r="DG60" s="398"/>
      <c r="DH60" s="398"/>
      <c r="DI60" s="398"/>
      <c r="DJ60" s="398"/>
      <c r="DK60" s="398"/>
      <c r="DL60" s="398"/>
      <c r="DM60" s="398"/>
      <c r="DN60" s="398"/>
      <c r="DO60" s="398"/>
      <c r="DP60" s="398"/>
      <c r="DQ60" s="398"/>
      <c r="DR60" s="398"/>
      <c r="DS60" s="398"/>
      <c r="DT60" s="398"/>
      <c r="DU60" s="398"/>
      <c r="DV60" s="398"/>
      <c r="DW60" s="398"/>
      <c r="DX60" s="398"/>
      <c r="DY60" s="398"/>
      <c r="DZ60" s="398"/>
      <c r="EA60" s="398"/>
      <c r="EB60" s="398"/>
      <c r="EC60" s="398"/>
      <c r="ED60" s="398"/>
      <c r="EE60" s="398"/>
      <c r="EF60" s="398"/>
      <c r="EG60" s="398"/>
      <c r="EH60" s="398"/>
      <c r="EI60" s="398"/>
      <c r="EJ60" s="398"/>
      <c r="EK60" s="398"/>
      <c r="EL60" s="398"/>
      <c r="EM60" s="398"/>
      <c r="EN60" s="398"/>
      <c r="EO60" s="398"/>
      <c r="EP60" s="398"/>
      <c r="EQ60" s="398"/>
      <c r="ER60" s="398"/>
      <c r="ES60" s="398"/>
      <c r="ET60" s="398"/>
      <c r="EU60" s="398"/>
      <c r="EV60" s="398"/>
      <c r="EW60" s="398"/>
      <c r="EX60" s="398"/>
      <c r="EY60" s="398"/>
      <c r="EZ60" s="398"/>
      <c r="FA60" s="398"/>
      <c r="FB60" s="398"/>
      <c r="FC60" s="398"/>
      <c r="FD60" s="398"/>
      <c r="FE60" s="398"/>
      <c r="FF60" s="398"/>
      <c r="FG60" s="398"/>
      <c r="FH60" s="398"/>
      <c r="FI60" s="398"/>
      <c r="FJ60" s="398"/>
      <c r="FK60" s="398"/>
      <c r="FL60" s="398"/>
      <c r="FM60" s="398"/>
      <c r="FN60" s="78"/>
      <c r="FO60" s="78"/>
      <c r="FP60" s="399"/>
      <c r="FQ60" s="400"/>
      <c r="FR60" s="400"/>
      <c r="FS60" s="400"/>
      <c r="FT60" s="400"/>
      <c r="FU60" s="400"/>
      <c r="FV60" s="400"/>
      <c r="FW60" s="400"/>
      <c r="FX60" s="400"/>
      <c r="FY60" s="400"/>
      <c r="FZ60" s="400"/>
      <c r="GA60" s="400"/>
      <c r="GB60" s="400"/>
      <c r="GC60" s="400"/>
      <c r="GD60" s="400"/>
      <c r="GE60" s="400"/>
      <c r="GF60" s="400"/>
      <c r="GG60" s="400"/>
      <c r="GH60" s="401"/>
      <c r="GI60" s="42"/>
    </row>
    <row r="61" spans="1:191" ht="10.199999999999999" customHeight="1" x14ac:dyDescent="0.3">
      <c r="A61" s="78" t="s">
        <v>153</v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402" t="s">
        <v>118</v>
      </c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  <c r="AA61" s="402"/>
      <c r="AB61" s="402"/>
      <c r="AC61" s="402"/>
      <c r="AD61" s="402"/>
      <c r="AE61" s="402"/>
      <c r="AF61" s="402"/>
      <c r="AG61" s="402"/>
      <c r="AH61" s="402"/>
      <c r="AI61" s="402"/>
      <c r="AJ61" s="402"/>
      <c r="AK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BC61" s="402"/>
      <c r="BD61" s="402"/>
      <c r="BE61" s="402"/>
      <c r="BF61" s="402"/>
      <c r="BG61" s="402"/>
      <c r="BH61" s="402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2"/>
      <c r="BT61" s="402"/>
      <c r="BU61" s="402"/>
      <c r="BV61" s="402"/>
      <c r="BW61" s="402"/>
      <c r="BX61" s="402"/>
      <c r="BY61" s="402"/>
      <c r="BZ61" s="402"/>
      <c r="CA61" s="50"/>
      <c r="CB61" s="50"/>
      <c r="CC61" s="91" t="s">
        <v>154</v>
      </c>
      <c r="CD61" s="78"/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403" t="s">
        <v>155</v>
      </c>
      <c r="CV61" s="403"/>
      <c r="CW61" s="403"/>
      <c r="CX61" s="403"/>
      <c r="CY61" s="403"/>
      <c r="CZ61" s="403"/>
      <c r="DA61" s="403"/>
      <c r="DB61" s="403"/>
      <c r="DC61" s="403"/>
      <c r="DD61" s="403"/>
      <c r="DE61" s="403"/>
      <c r="DF61" s="403"/>
      <c r="DG61" s="403"/>
      <c r="DH61" s="403"/>
      <c r="DI61" s="403"/>
      <c r="DJ61" s="403"/>
      <c r="DK61" s="403"/>
      <c r="DL61" s="403"/>
      <c r="DM61" s="403"/>
      <c r="DN61" s="403"/>
      <c r="DO61" s="403"/>
      <c r="DP61" s="403"/>
      <c r="DQ61" s="403"/>
      <c r="DR61" s="403"/>
      <c r="DS61" s="403"/>
      <c r="DT61" s="403"/>
      <c r="DU61" s="403"/>
      <c r="DV61" s="403"/>
      <c r="DW61" s="403"/>
      <c r="DX61" s="403"/>
      <c r="DY61" s="403"/>
      <c r="DZ61" s="403"/>
      <c r="EA61" s="403"/>
      <c r="EB61" s="403"/>
      <c r="EC61" s="403"/>
      <c r="ED61" s="403"/>
      <c r="EE61" s="403"/>
      <c r="EF61" s="403"/>
      <c r="EG61" s="403"/>
      <c r="EH61" s="403"/>
      <c r="EI61" s="403"/>
      <c r="EJ61" s="403"/>
      <c r="EK61" s="403"/>
      <c r="EL61" s="403"/>
      <c r="EM61" s="403"/>
      <c r="EN61" s="403"/>
      <c r="EO61" s="403"/>
      <c r="EP61" s="403"/>
      <c r="EQ61" s="403"/>
      <c r="ER61" s="403"/>
      <c r="ES61" s="403"/>
      <c r="ET61" s="403"/>
      <c r="EU61" s="403"/>
      <c r="EV61" s="403"/>
      <c r="EW61" s="403"/>
      <c r="EX61" s="403"/>
      <c r="EY61" s="403"/>
      <c r="EZ61" s="403"/>
      <c r="FA61" s="403"/>
      <c r="FB61" s="92"/>
      <c r="FC61" s="92"/>
      <c r="FD61" s="92"/>
      <c r="FE61" s="92"/>
      <c r="FF61" s="92"/>
      <c r="FG61" s="92"/>
      <c r="FH61" s="92"/>
      <c r="FI61" s="92"/>
      <c r="FJ61" s="92"/>
      <c r="FK61" s="92"/>
      <c r="FL61" s="78"/>
      <c r="FM61" s="78"/>
      <c r="FN61" s="78"/>
      <c r="FO61" s="78"/>
      <c r="FP61" s="391"/>
      <c r="FQ61" s="392"/>
      <c r="FR61" s="392"/>
      <c r="FS61" s="392"/>
      <c r="FT61" s="392"/>
      <c r="FU61" s="392"/>
      <c r="FV61" s="392"/>
      <c r="FW61" s="392"/>
      <c r="FX61" s="392"/>
      <c r="FY61" s="392"/>
      <c r="FZ61" s="392"/>
      <c r="GA61" s="392"/>
      <c r="GB61" s="392"/>
      <c r="GC61" s="392"/>
      <c r="GD61" s="392"/>
      <c r="GE61" s="392"/>
      <c r="GF61" s="392"/>
      <c r="GG61" s="392"/>
      <c r="GH61" s="393"/>
      <c r="GI61" s="42"/>
    </row>
    <row r="62" spans="1:191" ht="9" customHeight="1" x14ac:dyDescent="0.3">
      <c r="A62" s="78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404" t="s">
        <v>156</v>
      </c>
      <c r="M62" s="404"/>
      <c r="N62" s="404"/>
      <c r="O62" s="404"/>
      <c r="P62" s="404"/>
      <c r="Q62" s="404"/>
      <c r="R62" s="404"/>
      <c r="S62" s="404"/>
      <c r="T62" s="404"/>
      <c r="U62" s="404"/>
      <c r="V62" s="404"/>
      <c r="W62" s="404"/>
      <c r="X62" s="404"/>
      <c r="Y62" s="404"/>
      <c r="Z62" s="404"/>
      <c r="AA62" s="404"/>
      <c r="AB62" s="404"/>
      <c r="AC62" s="404"/>
      <c r="AD62" s="404"/>
      <c r="AE62" s="404"/>
      <c r="AF62" s="404"/>
      <c r="AG62" s="404"/>
      <c r="AH62" s="404"/>
      <c r="AI62" s="404"/>
      <c r="AJ62" s="404"/>
      <c r="AK62" s="404"/>
      <c r="AL62" s="404"/>
      <c r="AM62" s="404"/>
      <c r="AN62" s="404"/>
      <c r="AO62" s="404"/>
      <c r="AP62" s="404"/>
      <c r="AQ62" s="404"/>
      <c r="AR62" s="404"/>
      <c r="AS62" s="404"/>
      <c r="AT62" s="404"/>
      <c r="AU62" s="404"/>
      <c r="AV62" s="404"/>
      <c r="AW62" s="404"/>
      <c r="AX62" s="404"/>
      <c r="AY62" s="404"/>
      <c r="AZ62" s="404"/>
      <c r="BA62" s="404"/>
      <c r="BB62" s="404"/>
      <c r="BC62" s="404"/>
      <c r="BD62" s="404"/>
      <c r="BE62" s="404"/>
      <c r="BF62" s="404"/>
      <c r="BG62" s="404"/>
      <c r="BH62" s="404"/>
      <c r="BI62" s="404"/>
      <c r="BJ62" s="404"/>
      <c r="BK62" s="404"/>
      <c r="BL62" s="404"/>
      <c r="BM62" s="404"/>
      <c r="BN62" s="404"/>
      <c r="BO62" s="404"/>
      <c r="BP62" s="404"/>
      <c r="BQ62" s="404"/>
      <c r="BR62" s="404"/>
      <c r="BS62" s="404"/>
      <c r="BT62" s="404"/>
      <c r="BU62" s="404"/>
      <c r="BV62" s="404"/>
      <c r="BW62" s="404"/>
      <c r="BX62" s="404"/>
      <c r="BY62" s="404"/>
      <c r="BZ62" s="404"/>
      <c r="CA62" s="88"/>
      <c r="CB62" s="88"/>
      <c r="CC62" s="78"/>
      <c r="CD62" s="78"/>
      <c r="CE62" s="78"/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8"/>
      <c r="CV62" s="78"/>
      <c r="CW62" s="78"/>
      <c r="CX62" s="78"/>
      <c r="CY62" s="78"/>
      <c r="CZ62" s="78"/>
      <c r="DA62" s="78"/>
      <c r="DB62" s="78"/>
      <c r="DC62" s="78"/>
      <c r="DD62" s="78"/>
      <c r="DE62" s="78"/>
      <c r="DF62" s="78"/>
      <c r="DG62" s="78"/>
      <c r="DH62" s="78"/>
      <c r="DI62" s="78"/>
      <c r="DJ62" s="78"/>
      <c r="DK62" s="78"/>
      <c r="DL62" s="78"/>
      <c r="DM62" s="78"/>
      <c r="DN62" s="78"/>
      <c r="DO62" s="78"/>
      <c r="DP62" s="78"/>
      <c r="DQ62" s="78"/>
      <c r="DR62" s="78"/>
      <c r="DS62" s="78"/>
      <c r="DT62" s="78"/>
      <c r="DU62" s="78"/>
      <c r="DV62" s="78"/>
      <c r="DW62" s="78"/>
      <c r="DX62" s="78"/>
      <c r="DY62" s="78"/>
      <c r="DZ62" s="78"/>
      <c r="EA62" s="78"/>
      <c r="EB62" s="78"/>
      <c r="EC62" s="78"/>
      <c r="ED62" s="78"/>
      <c r="EE62" s="78"/>
      <c r="EF62" s="78"/>
      <c r="EG62" s="78"/>
      <c r="EH62" s="78"/>
      <c r="EI62" s="78"/>
      <c r="EJ62" s="78"/>
      <c r="EK62" s="78"/>
      <c r="EL62" s="78"/>
      <c r="EM62" s="78"/>
      <c r="EN62" s="78"/>
      <c r="EO62" s="78"/>
      <c r="EP62" s="78"/>
      <c r="EQ62" s="78"/>
      <c r="ER62" s="78"/>
      <c r="ES62" s="78"/>
      <c r="ET62" s="78"/>
      <c r="EU62" s="78"/>
      <c r="EV62" s="78"/>
      <c r="EW62" s="78"/>
      <c r="EX62" s="78"/>
      <c r="EY62" s="78"/>
      <c r="EZ62" s="78"/>
      <c r="FA62" s="78"/>
      <c r="FB62" s="78"/>
      <c r="FC62" s="78"/>
      <c r="FD62" s="78"/>
      <c r="FE62" s="78"/>
      <c r="FF62" s="78"/>
      <c r="FG62" s="78"/>
      <c r="FH62" s="78"/>
      <c r="FI62" s="78"/>
      <c r="FJ62" s="78"/>
      <c r="FK62" s="78"/>
      <c r="FL62" s="78"/>
      <c r="FM62" s="78"/>
      <c r="FN62" s="78"/>
      <c r="FO62" s="78"/>
      <c r="FP62" s="391"/>
      <c r="FQ62" s="392"/>
      <c r="FR62" s="392"/>
      <c r="FS62" s="392"/>
      <c r="FT62" s="392"/>
      <c r="FU62" s="392"/>
      <c r="FV62" s="392"/>
      <c r="FW62" s="392"/>
      <c r="FX62" s="392"/>
      <c r="FY62" s="392"/>
      <c r="FZ62" s="392"/>
      <c r="GA62" s="392"/>
      <c r="GB62" s="392"/>
      <c r="GC62" s="392"/>
      <c r="GD62" s="392"/>
      <c r="GE62" s="392"/>
      <c r="GF62" s="392"/>
      <c r="GG62" s="392"/>
      <c r="GH62" s="393"/>
      <c r="GI62" s="42"/>
    </row>
    <row r="63" spans="1:191" x14ac:dyDescent="0.3">
      <c r="A63" s="405" t="s">
        <v>157</v>
      </c>
      <c r="B63" s="405"/>
      <c r="C63" s="405"/>
      <c r="D63" s="405"/>
      <c r="E63" s="405"/>
      <c r="F63" s="405"/>
      <c r="G63" s="405"/>
      <c r="H63" s="405"/>
      <c r="I63" s="405"/>
      <c r="J63" s="405"/>
      <c r="K63" s="405"/>
      <c r="L63" s="405"/>
      <c r="M63" s="405"/>
      <c r="N63" s="405"/>
      <c r="O63" s="405"/>
      <c r="P63" s="405"/>
      <c r="Q63" s="405"/>
      <c r="R63" s="405"/>
      <c r="S63" s="405"/>
      <c r="T63" s="405"/>
      <c r="U63" s="405"/>
      <c r="V63" s="405"/>
      <c r="W63" s="405"/>
      <c r="X63" s="78"/>
      <c r="Y63" s="362" t="s">
        <v>158</v>
      </c>
      <c r="Z63" s="362"/>
      <c r="AA63" s="362"/>
      <c r="AB63" s="362"/>
      <c r="AC63" s="362"/>
      <c r="AD63" s="362"/>
      <c r="AE63" s="362"/>
      <c r="AF63" s="362"/>
      <c r="AG63" s="362"/>
      <c r="AH63" s="362"/>
      <c r="AI63" s="362"/>
      <c r="AJ63" s="362"/>
      <c r="AK63" s="362"/>
      <c r="AL63" s="362"/>
      <c r="AM63" s="362"/>
      <c r="AN63" s="362"/>
      <c r="AO63" s="362"/>
      <c r="AP63" s="362"/>
      <c r="AQ63" s="362"/>
      <c r="AR63" s="362"/>
      <c r="AS63" s="362"/>
      <c r="AT63" s="362"/>
      <c r="AU63" s="362"/>
      <c r="AV63" s="362"/>
      <c r="AW63" s="362"/>
      <c r="AX63" s="362"/>
      <c r="AY63" s="362"/>
      <c r="AZ63" s="362"/>
      <c r="BA63" s="362"/>
      <c r="BB63" s="362"/>
      <c r="BC63" s="362"/>
      <c r="BD63" s="362"/>
      <c r="BE63" s="362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V63" s="362"/>
      <c r="BW63" s="362"/>
      <c r="BX63" s="362"/>
      <c r="BY63" s="362"/>
      <c r="BZ63" s="362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 t="s">
        <v>159</v>
      </c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362" t="s">
        <v>160</v>
      </c>
      <c r="DG63" s="362"/>
      <c r="DH63" s="362"/>
      <c r="DI63" s="362"/>
      <c r="DJ63" s="362"/>
      <c r="DK63" s="362"/>
      <c r="DL63" s="362"/>
      <c r="DM63" s="362"/>
      <c r="DN63" s="362"/>
      <c r="DO63" s="362"/>
      <c r="DP63" s="362"/>
      <c r="DQ63" s="362"/>
      <c r="DR63" s="362"/>
      <c r="DS63" s="362"/>
      <c r="DT63" s="362"/>
      <c r="DU63" s="362"/>
      <c r="DV63" s="362"/>
      <c r="DW63" s="362"/>
      <c r="DX63" s="362"/>
      <c r="DY63" s="362"/>
      <c r="DZ63" s="362"/>
      <c r="EA63" s="362"/>
      <c r="EB63" s="362"/>
      <c r="EC63" s="362"/>
      <c r="ED63" s="362"/>
      <c r="EE63" s="362"/>
      <c r="EF63" s="362"/>
      <c r="EG63" s="362"/>
      <c r="EH63" s="362"/>
      <c r="EI63" s="362"/>
      <c r="EJ63" s="362"/>
      <c r="EK63" s="362"/>
      <c r="EL63" s="362"/>
      <c r="EM63" s="362"/>
      <c r="EN63" s="362"/>
      <c r="EO63" s="362"/>
      <c r="EP63" s="362"/>
      <c r="EQ63" s="362"/>
      <c r="ER63" s="362"/>
      <c r="ES63" s="362"/>
      <c r="ET63" s="362"/>
      <c r="EU63" s="362"/>
      <c r="EV63" s="362"/>
      <c r="EW63" s="362"/>
      <c r="EX63" s="362"/>
      <c r="EY63" s="362"/>
      <c r="EZ63" s="362"/>
      <c r="FA63" s="362"/>
      <c r="FB63" s="362"/>
      <c r="FC63" s="362"/>
      <c r="FD63" s="362"/>
      <c r="FE63" s="362"/>
      <c r="FF63" s="362"/>
      <c r="FG63" s="362"/>
      <c r="FH63" s="362"/>
      <c r="FI63" s="78"/>
      <c r="FJ63" s="78"/>
      <c r="FK63" s="78"/>
      <c r="FL63" s="78"/>
      <c r="FM63" s="78"/>
      <c r="FN63" s="82" t="s">
        <v>161</v>
      </c>
      <c r="FO63" s="78"/>
      <c r="FP63" s="394"/>
      <c r="FQ63" s="373"/>
      <c r="FR63" s="373"/>
      <c r="FS63" s="373"/>
      <c r="FT63" s="373"/>
      <c r="FU63" s="373"/>
      <c r="FV63" s="373"/>
      <c r="FW63" s="373"/>
      <c r="FX63" s="373"/>
      <c r="FY63" s="373"/>
      <c r="FZ63" s="373"/>
      <c r="GA63" s="373"/>
      <c r="GB63" s="373"/>
      <c r="GC63" s="373"/>
      <c r="GD63" s="373"/>
      <c r="GE63" s="373"/>
      <c r="GF63" s="373"/>
      <c r="GG63" s="373"/>
      <c r="GH63" s="395"/>
      <c r="GI63" s="42"/>
    </row>
    <row r="64" spans="1:191" ht="2.4" customHeight="1" x14ac:dyDescent="0.3">
      <c r="A64" s="405"/>
      <c r="B64" s="405"/>
      <c r="C64" s="405"/>
      <c r="D64" s="405"/>
      <c r="E64" s="405"/>
      <c r="F64" s="405"/>
      <c r="G64" s="405"/>
      <c r="H64" s="405"/>
      <c r="I64" s="405"/>
      <c r="J64" s="405"/>
      <c r="K64" s="405"/>
      <c r="L64" s="405"/>
      <c r="M64" s="405"/>
      <c r="N64" s="405"/>
      <c r="O64" s="405"/>
      <c r="P64" s="405"/>
      <c r="Q64" s="405"/>
      <c r="R64" s="405"/>
      <c r="S64" s="405"/>
      <c r="T64" s="405"/>
      <c r="U64" s="405"/>
      <c r="V64" s="405"/>
      <c r="W64" s="405"/>
      <c r="X64" s="78"/>
      <c r="Y64" s="404"/>
      <c r="Z64" s="404"/>
      <c r="AA64" s="404"/>
      <c r="AB64" s="404"/>
      <c r="AC64" s="404"/>
      <c r="AD64" s="404"/>
      <c r="AE64" s="404"/>
      <c r="AF64" s="404"/>
      <c r="AG64" s="404"/>
      <c r="AH64" s="404"/>
      <c r="AI64" s="404"/>
      <c r="AJ64" s="404"/>
      <c r="AK64" s="404"/>
      <c r="AL64" s="404"/>
      <c r="AM64" s="404"/>
      <c r="AN64" s="404"/>
      <c r="AO64" s="404"/>
      <c r="AP64" s="404"/>
      <c r="AQ64" s="404"/>
      <c r="AR64" s="404"/>
      <c r="AS64" s="404"/>
      <c r="AT64" s="404"/>
      <c r="AU64" s="404"/>
      <c r="AV64" s="404"/>
      <c r="AW64" s="404"/>
      <c r="AX64" s="404"/>
      <c r="AY64" s="404"/>
      <c r="AZ64" s="404"/>
      <c r="BA64" s="404"/>
      <c r="BB64" s="404"/>
      <c r="BC64" s="404"/>
      <c r="BD64" s="404"/>
      <c r="BE64" s="404"/>
      <c r="BF64" s="404"/>
      <c r="BG64" s="404"/>
      <c r="BH64" s="404"/>
      <c r="BI64" s="404"/>
      <c r="BJ64" s="404"/>
      <c r="BK64" s="404"/>
      <c r="BL64" s="404"/>
      <c r="BM64" s="404"/>
      <c r="BN64" s="404"/>
      <c r="BO64" s="404"/>
      <c r="BP64" s="404"/>
      <c r="BQ64" s="404"/>
      <c r="BR64" s="404"/>
      <c r="BS64" s="404"/>
      <c r="BT64" s="404"/>
      <c r="BU64" s="404"/>
      <c r="BV64" s="404"/>
      <c r="BW64" s="404"/>
      <c r="BX64" s="404"/>
      <c r="BY64" s="404"/>
      <c r="BZ64" s="404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399"/>
      <c r="FQ64" s="400"/>
      <c r="FR64" s="400"/>
      <c r="FS64" s="400"/>
      <c r="FT64" s="400"/>
      <c r="FU64" s="400"/>
      <c r="FV64" s="400"/>
      <c r="FW64" s="400"/>
      <c r="FX64" s="400"/>
      <c r="FY64" s="400"/>
      <c r="FZ64" s="400"/>
      <c r="GA64" s="400"/>
      <c r="GB64" s="400"/>
      <c r="GC64" s="400"/>
      <c r="GD64" s="400"/>
      <c r="GE64" s="400"/>
      <c r="GF64" s="400"/>
      <c r="GG64" s="400"/>
      <c r="GH64" s="401"/>
      <c r="GI64" s="42"/>
    </row>
    <row r="65" spans="1:191" ht="12.6" customHeight="1" x14ac:dyDescent="0.3">
      <c r="A65" s="367" t="s">
        <v>137</v>
      </c>
      <c r="B65" s="367"/>
      <c r="C65" s="367"/>
      <c r="D65" s="367"/>
      <c r="E65" s="367"/>
      <c r="F65" s="367"/>
      <c r="G65" s="367"/>
      <c r="H65" s="367"/>
      <c r="I65" s="367"/>
      <c r="J65" s="367"/>
      <c r="K65" s="367"/>
      <c r="L65" s="367"/>
      <c r="M65" s="367"/>
      <c r="N65" s="367"/>
      <c r="O65" s="367"/>
      <c r="P65" s="367"/>
      <c r="Q65" s="367"/>
      <c r="R65" s="367"/>
      <c r="S65" s="367"/>
      <c r="T65" s="373"/>
      <c r="U65" s="373"/>
      <c r="V65" s="373"/>
      <c r="W65" s="373"/>
      <c r="X65" s="373"/>
      <c r="Y65" s="373"/>
      <c r="Z65" s="373"/>
      <c r="AA65" s="373"/>
      <c r="AB65" s="373"/>
      <c r="AC65" s="373"/>
      <c r="AD65" s="373"/>
      <c r="AE65" s="373"/>
      <c r="AF65" s="373"/>
      <c r="AG65" s="373"/>
      <c r="AH65" s="78"/>
      <c r="AI65" s="78" t="s">
        <v>138</v>
      </c>
      <c r="AJ65" s="78"/>
      <c r="AK65" s="78"/>
      <c r="AL65" s="78"/>
      <c r="AM65" s="78"/>
      <c r="AN65" s="78"/>
      <c r="AO65" s="78"/>
      <c r="AP65" s="373"/>
      <c r="AQ65" s="373"/>
      <c r="AR65" s="373"/>
      <c r="AS65" s="373"/>
      <c r="AT65" s="373"/>
      <c r="AU65" s="373"/>
      <c r="AV65" s="373"/>
      <c r="AW65" s="373"/>
      <c r="AX65" s="373"/>
      <c r="AY65" s="373"/>
      <c r="AZ65" s="373"/>
      <c r="BA65" s="373"/>
      <c r="BB65" s="373"/>
      <c r="BC65" s="373"/>
      <c r="BD65" s="78"/>
      <c r="BE65" s="78" t="s">
        <v>56</v>
      </c>
      <c r="BF65" s="78"/>
      <c r="BG65" s="78"/>
      <c r="BH65" s="78"/>
      <c r="BI65" s="373"/>
      <c r="BJ65" s="373"/>
      <c r="BK65" s="373"/>
      <c r="BL65" s="373"/>
      <c r="BM65" s="373"/>
      <c r="BN65" s="373"/>
      <c r="BO65" s="373"/>
      <c r="BP65" s="373"/>
      <c r="BQ65" s="373"/>
      <c r="BR65" s="373"/>
      <c r="BS65" s="373"/>
      <c r="BT65" s="373"/>
      <c r="BU65" s="373"/>
      <c r="BV65" s="373"/>
      <c r="BW65" s="93"/>
      <c r="BX65" s="93"/>
      <c r="BY65" s="93"/>
      <c r="BZ65" s="93"/>
      <c r="CA65" s="93"/>
      <c r="CB65" s="93"/>
      <c r="CC65" s="93"/>
      <c r="CD65" s="93"/>
      <c r="CE65" s="93"/>
      <c r="CF65" s="93"/>
      <c r="CG65" s="93"/>
      <c r="CH65" s="93"/>
      <c r="CI65" s="93"/>
      <c r="CJ65" s="93"/>
      <c r="CK65" s="93"/>
      <c r="CL65" s="93"/>
      <c r="CM65" s="93"/>
      <c r="CN65" s="93"/>
      <c r="CO65" s="93"/>
      <c r="CP65" s="93"/>
      <c r="CQ65" s="93"/>
      <c r="CR65" s="93"/>
      <c r="CS65" s="93"/>
      <c r="CT65" s="93"/>
      <c r="CU65" s="93"/>
      <c r="CV65" s="93"/>
      <c r="CW65" s="93"/>
      <c r="CX65" s="93"/>
      <c r="CY65" s="93"/>
      <c r="CZ65" s="93"/>
      <c r="DA65" s="93"/>
      <c r="DB65" s="93"/>
      <c r="DC65" s="93"/>
      <c r="DD65" s="93"/>
      <c r="DE65" s="93"/>
      <c r="DF65" s="93"/>
      <c r="DG65" s="93"/>
      <c r="DH65" s="93"/>
      <c r="DI65" s="93"/>
      <c r="DJ65" s="93"/>
      <c r="DK65" s="93"/>
      <c r="DL65" s="93"/>
      <c r="DM65" s="93"/>
      <c r="DN65" s="93"/>
      <c r="DO65" s="93"/>
      <c r="DP65" s="93"/>
      <c r="DQ65" s="93"/>
      <c r="DR65" s="93"/>
      <c r="DS65" s="93"/>
      <c r="DT65" s="93"/>
      <c r="DU65" s="93"/>
      <c r="DV65" s="93"/>
      <c r="DW65" s="93"/>
      <c r="DX65" s="93"/>
      <c r="DY65" s="78"/>
      <c r="DZ65" s="78"/>
      <c r="EA65" s="78"/>
      <c r="EB65" s="78"/>
      <c r="EC65" s="78"/>
      <c r="ED65" s="78"/>
      <c r="EE65" s="78"/>
      <c r="EF65" s="78"/>
      <c r="EG65" s="78"/>
      <c r="EH65" s="78"/>
      <c r="EI65" s="78"/>
      <c r="EJ65" s="78"/>
      <c r="EK65" s="78"/>
      <c r="EL65" s="78"/>
      <c r="EM65" s="78"/>
      <c r="EN65" s="78"/>
      <c r="EO65" s="78"/>
      <c r="EP65" s="78"/>
      <c r="EQ65" s="78"/>
      <c r="ER65" s="78"/>
      <c r="ES65" s="78"/>
      <c r="ET65" s="78"/>
      <c r="EU65" s="78"/>
      <c r="EV65" s="78"/>
      <c r="EW65" s="78"/>
      <c r="EX65" s="78"/>
      <c r="EY65" s="78"/>
      <c r="EZ65" s="78"/>
      <c r="FA65" s="78"/>
      <c r="FB65" s="78"/>
      <c r="FC65" s="78"/>
      <c r="FD65" s="78"/>
      <c r="FE65" s="78"/>
      <c r="FF65" s="78"/>
      <c r="FG65" s="78"/>
      <c r="FH65" s="78"/>
      <c r="FI65" s="78"/>
      <c r="FJ65" s="78"/>
      <c r="FK65" s="78"/>
      <c r="FL65" s="78"/>
      <c r="FM65" s="78"/>
      <c r="FN65" s="78"/>
      <c r="FO65" s="78"/>
      <c r="FP65" s="391"/>
      <c r="FQ65" s="392"/>
      <c r="FR65" s="392"/>
      <c r="FS65" s="392"/>
      <c r="FT65" s="392"/>
      <c r="FU65" s="392"/>
      <c r="FV65" s="392"/>
      <c r="FW65" s="392"/>
      <c r="FX65" s="392"/>
      <c r="FY65" s="392"/>
      <c r="FZ65" s="392"/>
      <c r="GA65" s="392"/>
      <c r="GB65" s="392"/>
      <c r="GC65" s="392"/>
      <c r="GD65" s="392"/>
      <c r="GE65" s="392"/>
      <c r="GF65" s="392"/>
      <c r="GG65" s="392"/>
      <c r="GH65" s="393"/>
      <c r="GI65" s="42"/>
    </row>
    <row r="66" spans="1:191" ht="13.95" customHeight="1" x14ac:dyDescent="0.3">
      <c r="A66" s="78" t="s">
        <v>162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396" t="s">
        <v>163</v>
      </c>
      <c r="R66" s="396"/>
      <c r="S66" s="396"/>
      <c r="T66" s="396"/>
      <c r="U66" s="396"/>
      <c r="V66" s="396"/>
      <c r="W66" s="396"/>
      <c r="X66" s="396"/>
      <c r="Y66" s="396"/>
      <c r="Z66" s="396"/>
      <c r="AA66" s="396"/>
      <c r="AB66" s="396"/>
      <c r="AC66" s="396"/>
      <c r="AD66" s="396"/>
      <c r="AE66" s="396"/>
      <c r="AF66" s="396"/>
      <c r="AG66" s="396"/>
      <c r="AH66" s="396"/>
      <c r="AI66" s="396"/>
      <c r="AJ66" s="396"/>
      <c r="AK66" s="396"/>
      <c r="AL66" s="396"/>
      <c r="AM66" s="396"/>
      <c r="AN66" s="396"/>
      <c r="AO66" s="396"/>
      <c r="AP66" s="396"/>
      <c r="AQ66" s="396"/>
      <c r="AR66" s="396"/>
      <c r="AS66" s="396"/>
      <c r="AT66" s="396"/>
      <c r="AU66" s="396"/>
      <c r="AV66" s="396"/>
      <c r="AW66" s="396"/>
      <c r="AX66" s="396"/>
      <c r="AY66" s="396"/>
      <c r="AZ66" s="396"/>
      <c r="BA66" s="396"/>
      <c r="BB66" s="396"/>
      <c r="BC66" s="396"/>
      <c r="BD66" s="396"/>
      <c r="BE66" s="396"/>
      <c r="BF66" s="396"/>
      <c r="BG66" s="396"/>
      <c r="BH66" s="396"/>
      <c r="BI66" s="396"/>
      <c r="BJ66" s="396"/>
      <c r="BK66" s="396"/>
      <c r="BL66" s="396"/>
      <c r="BM66" s="396"/>
      <c r="BN66" s="396"/>
      <c r="BO66" s="396"/>
      <c r="BP66" s="396"/>
      <c r="BQ66" s="396"/>
      <c r="BR66" s="396"/>
      <c r="BS66" s="396"/>
      <c r="BT66" s="396"/>
      <c r="BU66" s="396"/>
      <c r="BV66" s="396"/>
      <c r="BW66" s="396"/>
      <c r="BX66" s="396"/>
      <c r="BY66" s="396"/>
      <c r="BZ66" s="396"/>
      <c r="CA66" s="396"/>
      <c r="CB66" s="396"/>
      <c r="CC66" s="78"/>
      <c r="CD66" s="78" t="s">
        <v>164</v>
      </c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397" t="s">
        <v>335</v>
      </c>
      <c r="CU66" s="397"/>
      <c r="CV66" s="397"/>
      <c r="CW66" s="397"/>
      <c r="CX66" s="397"/>
      <c r="CY66" s="397"/>
      <c r="CZ66" s="397"/>
      <c r="DA66" s="397"/>
      <c r="DB66" s="397"/>
      <c r="DC66" s="397"/>
      <c r="DD66" s="397"/>
      <c r="DE66" s="397"/>
      <c r="DF66" s="397"/>
      <c r="DG66" s="397"/>
      <c r="DH66" s="397"/>
      <c r="DI66" s="397"/>
      <c r="DJ66" s="397"/>
      <c r="DK66" s="397"/>
      <c r="DL66" s="397"/>
      <c r="DM66" s="397"/>
      <c r="DN66" s="397"/>
      <c r="DO66" s="397"/>
      <c r="DP66" s="397"/>
      <c r="DQ66" s="397"/>
      <c r="DR66" s="397"/>
      <c r="DS66" s="397"/>
      <c r="DT66" s="397"/>
      <c r="DU66" s="397"/>
      <c r="DV66" s="397"/>
      <c r="DW66" s="397"/>
      <c r="DX66" s="397"/>
      <c r="DY66" s="397"/>
      <c r="DZ66" s="397"/>
      <c r="EA66" s="397"/>
      <c r="EB66" s="397"/>
      <c r="EC66" s="397"/>
      <c r="ED66" s="397"/>
      <c r="EE66" s="397"/>
      <c r="EF66" s="397"/>
      <c r="EG66" s="397"/>
      <c r="EH66" s="397"/>
      <c r="EI66" s="397"/>
      <c r="EJ66" s="397"/>
      <c r="EK66" s="397"/>
      <c r="EL66" s="397"/>
      <c r="EM66" s="397"/>
      <c r="EN66" s="397"/>
      <c r="EO66" s="397"/>
      <c r="EP66" s="397"/>
      <c r="EQ66" s="397"/>
      <c r="ER66" s="397"/>
      <c r="ES66" s="397"/>
      <c r="ET66" s="397"/>
      <c r="EU66" s="397"/>
      <c r="EV66" s="397"/>
      <c r="EW66" s="397"/>
      <c r="EX66" s="397"/>
      <c r="EY66" s="397"/>
      <c r="EZ66" s="397"/>
      <c r="FA66" s="397"/>
      <c r="FB66" s="397"/>
      <c r="FC66" s="397"/>
      <c r="FD66" s="78"/>
      <c r="FE66" s="78"/>
      <c r="FF66" s="78"/>
      <c r="FG66" s="78"/>
      <c r="FH66" s="78"/>
      <c r="FI66" s="78"/>
      <c r="FJ66" s="78"/>
      <c r="FK66" s="78"/>
      <c r="FL66" s="78"/>
      <c r="FM66" s="78"/>
      <c r="FN66" s="82" t="s">
        <v>166</v>
      </c>
      <c r="FO66" s="78"/>
      <c r="FP66" s="394"/>
      <c r="FQ66" s="373"/>
      <c r="FR66" s="373"/>
      <c r="FS66" s="373"/>
      <c r="FT66" s="373"/>
      <c r="FU66" s="373"/>
      <c r="FV66" s="373"/>
      <c r="FW66" s="373"/>
      <c r="FX66" s="373"/>
      <c r="FY66" s="373"/>
      <c r="FZ66" s="373"/>
      <c r="GA66" s="373"/>
      <c r="GB66" s="373"/>
      <c r="GC66" s="373"/>
      <c r="GD66" s="373"/>
      <c r="GE66" s="373"/>
      <c r="GF66" s="373"/>
      <c r="GG66" s="373"/>
      <c r="GH66" s="395"/>
      <c r="GI66" s="42"/>
    </row>
    <row r="67" spans="1:191" ht="7.95" customHeight="1" x14ac:dyDescent="0.3">
      <c r="A67" s="78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404" t="s">
        <v>167</v>
      </c>
      <c r="R67" s="404"/>
      <c r="S67" s="404"/>
      <c r="T67" s="404"/>
      <c r="U67" s="404"/>
      <c r="V67" s="404"/>
      <c r="W67" s="404"/>
      <c r="X67" s="404"/>
      <c r="Y67" s="404"/>
      <c r="Z67" s="404"/>
      <c r="AA67" s="404"/>
      <c r="AB67" s="404"/>
      <c r="AC67" s="404"/>
      <c r="AD67" s="404"/>
      <c r="AE67" s="404"/>
      <c r="AF67" s="404"/>
      <c r="AG67" s="404"/>
      <c r="AH67" s="404"/>
      <c r="AI67" s="404"/>
      <c r="AJ67" s="404"/>
      <c r="AK67" s="404"/>
      <c r="AL67" s="404"/>
      <c r="AM67" s="404"/>
      <c r="AN67" s="404"/>
      <c r="AO67" s="404"/>
      <c r="AP67" s="404"/>
      <c r="AQ67" s="404"/>
      <c r="AR67" s="404"/>
      <c r="AS67" s="404"/>
      <c r="AT67" s="404"/>
      <c r="AU67" s="404"/>
      <c r="AV67" s="404"/>
      <c r="AW67" s="404"/>
      <c r="AX67" s="404"/>
      <c r="AY67" s="404"/>
      <c r="AZ67" s="404"/>
      <c r="BA67" s="404"/>
      <c r="BB67" s="404"/>
      <c r="BC67" s="404"/>
      <c r="BD67" s="404"/>
      <c r="BE67" s="404"/>
      <c r="BF67" s="404"/>
      <c r="BG67" s="404"/>
      <c r="BH67" s="404"/>
      <c r="BI67" s="404"/>
      <c r="BJ67" s="404"/>
      <c r="BK67" s="404"/>
      <c r="BL67" s="404"/>
      <c r="BM67" s="404"/>
      <c r="BN67" s="404"/>
      <c r="BO67" s="404"/>
      <c r="BP67" s="404"/>
      <c r="BQ67" s="404"/>
      <c r="BR67" s="404"/>
      <c r="BS67" s="404"/>
      <c r="BT67" s="404"/>
      <c r="BU67" s="404"/>
      <c r="BV67" s="404"/>
      <c r="BW67" s="404"/>
      <c r="BX67" s="404"/>
      <c r="BY67" s="404"/>
      <c r="BZ67" s="404"/>
      <c r="CA67" s="404"/>
      <c r="CB67" s="404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404" t="s">
        <v>167</v>
      </c>
      <c r="CU67" s="404"/>
      <c r="CV67" s="404"/>
      <c r="CW67" s="404"/>
      <c r="CX67" s="404"/>
      <c r="CY67" s="404"/>
      <c r="CZ67" s="404"/>
      <c r="DA67" s="404"/>
      <c r="DB67" s="404"/>
      <c r="DC67" s="404"/>
      <c r="DD67" s="404"/>
      <c r="DE67" s="404"/>
      <c r="DF67" s="404"/>
      <c r="DG67" s="404"/>
      <c r="DH67" s="404"/>
      <c r="DI67" s="404"/>
      <c r="DJ67" s="404"/>
      <c r="DK67" s="404"/>
      <c r="DL67" s="404"/>
      <c r="DM67" s="404"/>
      <c r="DN67" s="404"/>
      <c r="DO67" s="404"/>
      <c r="DP67" s="404"/>
      <c r="DQ67" s="404"/>
      <c r="DR67" s="404"/>
      <c r="DS67" s="404"/>
      <c r="DT67" s="404"/>
      <c r="DU67" s="404"/>
      <c r="DV67" s="404"/>
      <c r="DW67" s="404"/>
      <c r="DX67" s="404"/>
      <c r="DY67" s="404"/>
      <c r="DZ67" s="404"/>
      <c r="EA67" s="404"/>
      <c r="EB67" s="404"/>
      <c r="EC67" s="404"/>
      <c r="ED67" s="404"/>
      <c r="EE67" s="404"/>
      <c r="EF67" s="404"/>
      <c r="EG67" s="404"/>
      <c r="EH67" s="404"/>
      <c r="EI67" s="404"/>
      <c r="EJ67" s="404"/>
      <c r="EK67" s="404"/>
      <c r="EL67" s="404"/>
      <c r="EM67" s="404"/>
      <c r="EN67" s="404"/>
      <c r="EO67" s="404"/>
      <c r="EP67" s="404"/>
      <c r="EQ67" s="404"/>
      <c r="ER67" s="404"/>
      <c r="ES67" s="404"/>
      <c r="ET67" s="404"/>
      <c r="EU67" s="404"/>
      <c r="EV67" s="404"/>
      <c r="EW67" s="404"/>
      <c r="EX67" s="404"/>
      <c r="EY67" s="404"/>
      <c r="EZ67" s="404"/>
      <c r="FA67" s="404"/>
      <c r="FB67" s="404"/>
      <c r="FC67" s="404"/>
      <c r="FD67" s="78"/>
      <c r="FE67" s="78"/>
      <c r="FF67" s="78"/>
      <c r="FG67" s="78"/>
      <c r="FH67" s="78"/>
      <c r="FI67" s="78"/>
      <c r="FJ67" s="78"/>
      <c r="FK67" s="78"/>
      <c r="FL67" s="78"/>
      <c r="FM67" s="78"/>
      <c r="FN67" s="78"/>
      <c r="FO67" s="78"/>
      <c r="FP67" s="399"/>
      <c r="FQ67" s="400"/>
      <c r="FR67" s="400"/>
      <c r="FS67" s="400"/>
      <c r="FT67" s="400"/>
      <c r="FU67" s="400"/>
      <c r="FV67" s="400"/>
      <c r="FW67" s="400"/>
      <c r="FX67" s="400"/>
      <c r="FY67" s="400"/>
      <c r="FZ67" s="400"/>
      <c r="GA67" s="400"/>
      <c r="GB67" s="400"/>
      <c r="GC67" s="400"/>
      <c r="GD67" s="400"/>
      <c r="GE67" s="400"/>
      <c r="GF67" s="400"/>
      <c r="GG67" s="400"/>
      <c r="GH67" s="401"/>
      <c r="GI67" s="42"/>
    </row>
    <row r="68" spans="1:191" x14ac:dyDescent="0.3">
      <c r="A68" s="78" t="s">
        <v>168</v>
      </c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300" t="s">
        <v>169</v>
      </c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  <c r="AF68" s="300"/>
      <c r="AG68" s="300"/>
      <c r="AH68" s="300"/>
      <c r="AI68" s="300"/>
      <c r="AJ68" s="300"/>
      <c r="AK68" s="300"/>
      <c r="AL68" s="300"/>
      <c r="AM68" s="300"/>
      <c r="AN68" s="300"/>
      <c r="AO68" s="300"/>
      <c r="AP68" s="300"/>
      <c r="AQ68" s="300"/>
      <c r="AR68" s="300"/>
      <c r="AS68" s="300"/>
      <c r="AT68" s="300"/>
      <c r="AU68" s="300"/>
      <c r="AV68" s="300"/>
      <c r="AW68" s="300"/>
      <c r="AX68" s="300"/>
      <c r="AY68" s="300"/>
      <c r="AZ68" s="300"/>
      <c r="BA68" s="300"/>
      <c r="BB68" s="300"/>
      <c r="BC68" s="300"/>
      <c r="BD68" s="300"/>
      <c r="BE68" s="300"/>
      <c r="BF68" s="300"/>
      <c r="BG68" s="300"/>
      <c r="BH68" s="300"/>
      <c r="BI68" s="300"/>
      <c r="BJ68" s="300"/>
      <c r="BK68" s="300"/>
      <c r="BL68" s="300"/>
      <c r="BM68" s="300"/>
      <c r="BN68" s="300"/>
      <c r="BO68" s="300"/>
      <c r="BP68" s="300"/>
      <c r="BQ68" s="300"/>
      <c r="BR68" s="300"/>
      <c r="BS68" s="300"/>
      <c r="BT68" s="300"/>
      <c r="BU68" s="300"/>
      <c r="BV68" s="78"/>
      <c r="BW68" s="78" t="s">
        <v>170</v>
      </c>
      <c r="BX68" s="78"/>
      <c r="BY68" s="78"/>
      <c r="BZ68" s="78"/>
      <c r="CA68" s="78"/>
      <c r="CB68" s="78"/>
      <c r="CC68" s="78"/>
      <c r="CD68" s="78"/>
      <c r="CE68" s="78"/>
      <c r="CF68" s="78"/>
      <c r="CG68" s="78"/>
      <c r="CH68" s="369" t="s">
        <v>171</v>
      </c>
      <c r="CI68" s="369"/>
      <c r="CJ68" s="369"/>
      <c r="CK68" s="369"/>
      <c r="CL68" s="369"/>
      <c r="CM68" s="369"/>
      <c r="CN68" s="369"/>
      <c r="CO68" s="369"/>
      <c r="CP68" s="369"/>
      <c r="CQ68" s="369"/>
      <c r="CR68" s="369"/>
      <c r="CS68" s="369"/>
      <c r="CT68" s="369"/>
      <c r="CU68" s="369"/>
      <c r="CV68" s="369"/>
      <c r="CW68" s="369"/>
      <c r="CX68" s="369"/>
      <c r="CY68" s="369"/>
      <c r="CZ68" s="78"/>
      <c r="DA68" s="94" t="s">
        <v>145</v>
      </c>
      <c r="DB68" s="78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95"/>
      <c r="DP68" s="95"/>
      <c r="DQ68" s="95"/>
      <c r="DR68" s="95"/>
      <c r="DS68" s="95"/>
      <c r="DT68" s="95"/>
      <c r="DU68" s="95"/>
      <c r="DV68" s="371" t="s">
        <v>172</v>
      </c>
      <c r="DW68" s="371"/>
      <c r="DX68" s="371"/>
      <c r="DY68" s="371"/>
      <c r="DZ68" s="371"/>
      <c r="EA68" s="371"/>
      <c r="EB68" s="371"/>
      <c r="EC68" s="371"/>
      <c r="ED68" s="371"/>
      <c r="EE68" s="371"/>
      <c r="EF68" s="371"/>
      <c r="EG68" s="371"/>
      <c r="EH68" s="371"/>
      <c r="EI68" s="371"/>
      <c r="EJ68" s="371"/>
      <c r="EK68" s="371"/>
      <c r="EL68" s="371"/>
      <c r="EM68" s="371"/>
      <c r="EN68" s="371"/>
      <c r="EO68" s="371"/>
      <c r="EP68" s="371"/>
      <c r="EQ68" s="371"/>
      <c r="ER68" s="371"/>
      <c r="ES68" s="371"/>
      <c r="ET68" s="371"/>
      <c r="EU68" s="371"/>
      <c r="EV68" s="371"/>
      <c r="EW68" s="371"/>
      <c r="EX68" s="96"/>
      <c r="EY68" s="96"/>
      <c r="EZ68" s="96"/>
      <c r="FA68" s="96"/>
      <c r="FB68" s="96"/>
      <c r="FC68" s="96"/>
      <c r="FD68" s="96"/>
      <c r="FE68" s="96"/>
      <c r="FF68" s="96"/>
      <c r="FG68" s="96"/>
      <c r="FH68" s="96"/>
      <c r="FI68" s="96"/>
      <c r="FJ68" s="96"/>
      <c r="FK68" s="96"/>
      <c r="FL68" s="96"/>
      <c r="FM68" s="96"/>
      <c r="FN68" s="82" t="s">
        <v>173</v>
      </c>
      <c r="FO68" s="78"/>
      <c r="FP68" s="394"/>
      <c r="FQ68" s="373"/>
      <c r="FR68" s="373"/>
      <c r="FS68" s="373"/>
      <c r="FT68" s="373"/>
      <c r="FU68" s="373"/>
      <c r="FV68" s="373"/>
      <c r="FW68" s="373"/>
      <c r="FX68" s="373"/>
      <c r="FY68" s="373"/>
      <c r="FZ68" s="373"/>
      <c r="GA68" s="373"/>
      <c r="GB68" s="373"/>
      <c r="GC68" s="373"/>
      <c r="GD68" s="373"/>
      <c r="GE68" s="373"/>
      <c r="GF68" s="373"/>
      <c r="GG68" s="373"/>
      <c r="GH68" s="395"/>
      <c r="GI68" s="42"/>
    </row>
    <row r="69" spans="1:191" ht="9" customHeight="1" x14ac:dyDescent="0.3">
      <c r="A69" s="78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404" t="s">
        <v>174</v>
      </c>
      <c r="R69" s="404"/>
      <c r="S69" s="404"/>
      <c r="T69" s="404"/>
      <c r="U69" s="404"/>
      <c r="V69" s="404"/>
      <c r="W69" s="404"/>
      <c r="X69" s="404"/>
      <c r="Y69" s="404"/>
      <c r="Z69" s="404"/>
      <c r="AA69" s="404"/>
      <c r="AB69" s="404"/>
      <c r="AC69" s="404"/>
      <c r="AD69" s="404"/>
      <c r="AE69" s="404"/>
      <c r="AF69" s="404"/>
      <c r="AG69" s="404"/>
      <c r="AH69" s="404"/>
      <c r="AI69" s="404"/>
      <c r="AJ69" s="404"/>
      <c r="AK69" s="404"/>
      <c r="AL69" s="404"/>
      <c r="AM69" s="404"/>
      <c r="AN69" s="404"/>
      <c r="AO69" s="404"/>
      <c r="AP69" s="404"/>
      <c r="AQ69" s="404"/>
      <c r="AR69" s="404"/>
      <c r="AS69" s="404"/>
      <c r="AT69" s="404"/>
      <c r="AU69" s="404"/>
      <c r="AV69" s="404"/>
      <c r="AW69" s="404"/>
      <c r="AX69" s="404"/>
      <c r="AY69" s="404"/>
      <c r="AZ69" s="404"/>
      <c r="BA69" s="404"/>
      <c r="BB69" s="404"/>
      <c r="BC69" s="404"/>
      <c r="BD69" s="404"/>
      <c r="BE69" s="404"/>
      <c r="BF69" s="404"/>
      <c r="BG69" s="404"/>
      <c r="BH69" s="404"/>
      <c r="BI69" s="404"/>
      <c r="BJ69" s="404"/>
      <c r="BK69" s="404"/>
      <c r="BL69" s="404"/>
      <c r="BM69" s="404"/>
      <c r="BN69" s="404"/>
      <c r="BO69" s="404"/>
      <c r="BP69" s="404"/>
      <c r="BQ69" s="404"/>
      <c r="BR69" s="404"/>
      <c r="BS69" s="404"/>
      <c r="BT69" s="404"/>
      <c r="BU69" s="404"/>
      <c r="BV69" s="78"/>
      <c r="BW69" s="78"/>
      <c r="BX69" s="78"/>
      <c r="BY69" s="78"/>
      <c r="BZ69" s="78"/>
      <c r="CA69" s="78"/>
      <c r="CB69" s="78"/>
      <c r="CC69" s="78"/>
      <c r="CD69" s="78"/>
      <c r="CE69" s="78"/>
      <c r="CF69" s="78"/>
      <c r="CG69" s="78"/>
      <c r="CH69" s="404" t="s">
        <v>150</v>
      </c>
      <c r="CI69" s="404"/>
      <c r="CJ69" s="404"/>
      <c r="CK69" s="404"/>
      <c r="CL69" s="404"/>
      <c r="CM69" s="404"/>
      <c r="CN69" s="404"/>
      <c r="CO69" s="404"/>
      <c r="CP69" s="404"/>
      <c r="CQ69" s="404"/>
      <c r="CR69" s="404"/>
      <c r="CS69" s="404"/>
      <c r="CT69" s="404"/>
      <c r="CU69" s="404"/>
      <c r="CV69" s="404"/>
      <c r="CW69" s="404"/>
      <c r="CX69" s="404"/>
      <c r="CY69" s="404"/>
      <c r="CZ69" s="78"/>
      <c r="DA69" s="78"/>
      <c r="DB69" s="78"/>
      <c r="DC69" s="78"/>
      <c r="DD69" s="78"/>
      <c r="DE69" s="78"/>
      <c r="DF69" s="78"/>
      <c r="DG69" s="78"/>
      <c r="DH69" s="78"/>
      <c r="DI69" s="78"/>
      <c r="DJ69" s="78"/>
      <c r="DK69" s="78"/>
      <c r="DL69" s="78"/>
      <c r="DM69" s="78"/>
      <c r="DN69" s="78"/>
      <c r="DO69" s="78"/>
      <c r="DP69" s="78"/>
      <c r="DQ69" s="78"/>
      <c r="DR69" s="78"/>
      <c r="DS69" s="78"/>
      <c r="DT69" s="78"/>
      <c r="DU69" s="78"/>
      <c r="DV69" s="78"/>
      <c r="DW69" s="78"/>
      <c r="DX69" s="78"/>
      <c r="DY69" s="78"/>
      <c r="DZ69" s="78"/>
      <c r="EA69" s="78"/>
      <c r="EB69" s="78"/>
      <c r="EC69" s="78"/>
      <c r="ED69" s="78"/>
      <c r="EE69" s="78"/>
      <c r="EF69" s="78"/>
      <c r="EG69" s="78"/>
      <c r="EH69" s="78"/>
      <c r="EI69" s="78"/>
      <c r="EJ69" s="78"/>
      <c r="EK69" s="78"/>
      <c r="EL69" s="78"/>
      <c r="EM69" s="78"/>
      <c r="EN69" s="78"/>
      <c r="EO69" s="78"/>
      <c r="EP69" s="78"/>
      <c r="EQ69" s="78"/>
      <c r="ER69" s="78"/>
      <c r="ES69" s="78"/>
      <c r="ET69" s="78"/>
      <c r="EU69" s="78"/>
      <c r="EV69" s="78"/>
      <c r="EW69" s="78"/>
      <c r="EX69" s="97"/>
      <c r="EY69" s="97"/>
      <c r="EZ69" s="97"/>
      <c r="FA69" s="97"/>
      <c r="FB69" s="97"/>
      <c r="FC69" s="97"/>
      <c r="FD69" s="97"/>
      <c r="FE69" s="97"/>
      <c r="FF69" s="97"/>
      <c r="FG69" s="97"/>
      <c r="FH69" s="97"/>
      <c r="FI69" s="97"/>
      <c r="FJ69" s="97"/>
      <c r="FK69" s="97"/>
      <c r="FL69" s="97"/>
      <c r="FM69" s="97"/>
      <c r="FN69" s="97"/>
      <c r="FO69" s="78"/>
      <c r="FP69" s="399"/>
      <c r="FQ69" s="400"/>
      <c r="FR69" s="400"/>
      <c r="FS69" s="400"/>
      <c r="FT69" s="400"/>
      <c r="FU69" s="400"/>
      <c r="FV69" s="400"/>
      <c r="FW69" s="400"/>
      <c r="FX69" s="400"/>
      <c r="FY69" s="400"/>
      <c r="FZ69" s="400"/>
      <c r="GA69" s="400"/>
      <c r="GB69" s="400"/>
      <c r="GC69" s="400"/>
      <c r="GD69" s="400"/>
      <c r="GE69" s="400"/>
      <c r="GF69" s="400"/>
      <c r="GG69" s="400"/>
      <c r="GH69" s="401"/>
      <c r="GI69" s="42"/>
    </row>
    <row r="70" spans="1:191" ht="11.4" customHeight="1" thickBot="1" x14ac:dyDescent="0.35">
      <c r="A70" s="300" t="s">
        <v>151</v>
      </c>
      <c r="B70" s="300"/>
      <c r="C70" s="300"/>
      <c r="D70" s="300"/>
      <c r="E70" s="300"/>
      <c r="F70" s="300"/>
      <c r="G70" s="300"/>
      <c r="H70" s="300"/>
      <c r="I70" s="300"/>
      <c r="J70" s="300"/>
      <c r="K70" s="300"/>
      <c r="L70" s="300"/>
      <c r="M70" s="300"/>
      <c r="N70" s="300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  <c r="AF70" s="300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96"/>
      <c r="AX70" s="96"/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78"/>
      <c r="BS70" s="78"/>
      <c r="BT70" s="78"/>
      <c r="BU70" s="78"/>
      <c r="BV70" s="78"/>
      <c r="BW70" s="96" t="s">
        <v>175</v>
      </c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409" t="s">
        <v>169</v>
      </c>
      <c r="CI70" s="409"/>
      <c r="CJ70" s="409"/>
      <c r="CK70" s="409"/>
      <c r="CL70" s="409"/>
      <c r="CM70" s="409"/>
      <c r="CN70" s="409"/>
      <c r="CO70" s="409"/>
      <c r="CP70" s="409"/>
      <c r="CQ70" s="409"/>
      <c r="CR70" s="409"/>
      <c r="CS70" s="409"/>
      <c r="CT70" s="409"/>
      <c r="CU70" s="409"/>
      <c r="CV70" s="409"/>
      <c r="CW70" s="409"/>
      <c r="CX70" s="409"/>
      <c r="CY70" s="409"/>
      <c r="CZ70" s="78"/>
      <c r="DA70" s="94" t="s">
        <v>145</v>
      </c>
      <c r="DB70" s="78"/>
      <c r="DC70" s="95"/>
      <c r="DD70" s="95"/>
      <c r="DE70" s="95"/>
      <c r="DF70" s="95"/>
      <c r="DG70" s="95"/>
      <c r="DH70" s="95"/>
      <c r="DI70" s="95"/>
      <c r="DJ70" s="95"/>
      <c r="DK70" s="95"/>
      <c r="DL70" s="95"/>
      <c r="DM70" s="95"/>
      <c r="DN70" s="95"/>
      <c r="DO70" s="95"/>
      <c r="DP70" s="95"/>
      <c r="DQ70" s="95"/>
      <c r="DR70" s="95"/>
      <c r="DS70" s="95"/>
      <c r="DT70" s="95"/>
      <c r="DU70" s="95"/>
      <c r="DV70" s="410"/>
      <c r="DW70" s="410"/>
      <c r="DX70" s="410"/>
      <c r="DY70" s="410"/>
      <c r="DZ70" s="410"/>
      <c r="EA70" s="410"/>
      <c r="EB70" s="410"/>
      <c r="EC70" s="410"/>
      <c r="ED70" s="410"/>
      <c r="EE70" s="410"/>
      <c r="EF70" s="410"/>
      <c r="EG70" s="410"/>
      <c r="EH70" s="410"/>
      <c r="EI70" s="410"/>
      <c r="EJ70" s="410"/>
      <c r="EK70" s="410"/>
      <c r="EL70" s="410"/>
      <c r="EM70" s="410"/>
      <c r="EN70" s="410"/>
      <c r="EO70" s="410"/>
      <c r="EP70" s="410"/>
      <c r="EQ70" s="410"/>
      <c r="ER70" s="410"/>
      <c r="ES70" s="410"/>
      <c r="ET70" s="410"/>
      <c r="EU70" s="410"/>
      <c r="EV70" s="410"/>
      <c r="EW70" s="410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 t="s">
        <v>173</v>
      </c>
      <c r="FO70" s="78"/>
      <c r="FP70" s="406"/>
      <c r="FQ70" s="407"/>
      <c r="FR70" s="407"/>
      <c r="FS70" s="407"/>
      <c r="FT70" s="407"/>
      <c r="FU70" s="407"/>
      <c r="FV70" s="407"/>
      <c r="FW70" s="407"/>
      <c r="FX70" s="407"/>
      <c r="FY70" s="407"/>
      <c r="FZ70" s="407"/>
      <c r="GA70" s="407"/>
      <c r="GB70" s="407"/>
      <c r="GC70" s="407"/>
      <c r="GD70" s="407"/>
      <c r="GE70" s="407"/>
      <c r="GF70" s="407"/>
      <c r="GG70" s="407"/>
      <c r="GH70" s="408"/>
      <c r="GI70" s="42"/>
    </row>
    <row r="71" spans="1:191" ht="7.2" customHeight="1" x14ac:dyDescent="0.3">
      <c r="A71" s="404" t="s">
        <v>176</v>
      </c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  <c r="P71" s="404"/>
      <c r="Q71" s="404"/>
      <c r="R71" s="404"/>
      <c r="S71" s="404"/>
      <c r="T71" s="404"/>
      <c r="U71" s="404"/>
      <c r="V71" s="404"/>
      <c r="W71" s="404"/>
      <c r="X71" s="404"/>
      <c r="Y71" s="404"/>
      <c r="Z71" s="404"/>
      <c r="AA71" s="404"/>
      <c r="AB71" s="404"/>
      <c r="AC71" s="404"/>
      <c r="AD71" s="404"/>
      <c r="AE71" s="404"/>
      <c r="AF71" s="404"/>
      <c r="AG71" s="78"/>
      <c r="AH71" s="78"/>
      <c r="AI71" s="78"/>
      <c r="AJ71" s="78"/>
      <c r="AK71" s="78"/>
      <c r="AL71" s="78"/>
      <c r="AM71" s="78"/>
      <c r="AN71" s="78"/>
      <c r="AO71" s="405" t="s">
        <v>177</v>
      </c>
      <c r="AP71" s="405"/>
      <c r="AQ71" s="405"/>
      <c r="AR71" s="405"/>
      <c r="AS71" s="405"/>
      <c r="AT71" s="405"/>
      <c r="AU71" s="405"/>
      <c r="AV71" s="405"/>
      <c r="AW71" s="405"/>
      <c r="AX71" s="405"/>
      <c r="AY71" s="405"/>
      <c r="AZ71" s="405"/>
      <c r="BA71" s="405"/>
      <c r="BB71" s="405"/>
      <c r="BC71" s="405"/>
      <c r="BD71" s="405"/>
      <c r="BE71" s="405"/>
      <c r="BF71" s="405"/>
      <c r="BG71" s="405"/>
      <c r="BH71" s="405"/>
      <c r="BI71" s="405"/>
      <c r="BJ71" s="405"/>
      <c r="BK71" s="405"/>
      <c r="BL71" s="405"/>
      <c r="BM71" s="405"/>
      <c r="BN71" s="405"/>
      <c r="BO71" s="405"/>
      <c r="BP71" s="405"/>
      <c r="BQ71" s="405"/>
      <c r="BR71" s="405"/>
      <c r="BS71" s="405"/>
      <c r="BT71" s="405"/>
      <c r="BU71" s="78"/>
      <c r="BV71" s="78"/>
      <c r="BW71" s="78"/>
      <c r="BX71" s="78"/>
      <c r="BY71" s="78"/>
      <c r="BZ71" s="78"/>
      <c r="CA71" s="78"/>
      <c r="CB71" s="78"/>
      <c r="CC71" s="78"/>
      <c r="CD71" s="78"/>
      <c r="CE71" s="78"/>
      <c r="CF71" s="78"/>
      <c r="CG71" s="78"/>
      <c r="CH71" s="404" t="s">
        <v>150</v>
      </c>
      <c r="CI71" s="404"/>
      <c r="CJ71" s="404"/>
      <c r="CK71" s="404"/>
      <c r="CL71" s="404"/>
      <c r="CM71" s="404"/>
      <c r="CN71" s="404"/>
      <c r="CO71" s="404"/>
      <c r="CP71" s="404"/>
      <c r="CQ71" s="404"/>
      <c r="CR71" s="404"/>
      <c r="CS71" s="404"/>
      <c r="CT71" s="404"/>
      <c r="CU71" s="404"/>
      <c r="CV71" s="404"/>
      <c r="CW71" s="404"/>
      <c r="CX71" s="404"/>
      <c r="CY71" s="404"/>
      <c r="CZ71" s="78"/>
      <c r="DA71" s="78"/>
      <c r="DB71" s="78"/>
      <c r="DC71" s="78"/>
      <c r="DD71" s="78"/>
      <c r="DE71" s="78"/>
      <c r="DF71" s="78"/>
      <c r="DG71" s="78"/>
      <c r="DH71" s="78"/>
      <c r="DI71" s="78"/>
      <c r="DJ71" s="78"/>
      <c r="DK71" s="78"/>
      <c r="DL71" s="78"/>
      <c r="DM71" s="78"/>
      <c r="DN71" s="78"/>
      <c r="DO71" s="78"/>
      <c r="DP71" s="78"/>
      <c r="DQ71" s="78"/>
      <c r="DR71" s="78"/>
      <c r="DS71" s="78"/>
      <c r="DT71" s="78"/>
      <c r="DU71" s="78"/>
      <c r="DV71" s="78"/>
      <c r="DW71" s="78"/>
      <c r="DX71" s="78"/>
      <c r="DY71" s="78"/>
      <c r="DZ71" s="78"/>
      <c r="EA71" s="78"/>
      <c r="EB71" s="78"/>
      <c r="EC71" s="78"/>
      <c r="ED71" s="78"/>
      <c r="EE71" s="78"/>
      <c r="EF71" s="78"/>
      <c r="EG71" s="78"/>
      <c r="EH71" s="78"/>
      <c r="EI71" s="78"/>
      <c r="EJ71" s="78"/>
      <c r="EK71" s="78"/>
      <c r="EL71" s="78"/>
      <c r="EM71" s="78"/>
      <c r="EN71" s="78"/>
      <c r="EO71" s="78"/>
      <c r="EP71" s="78"/>
      <c r="EQ71" s="78"/>
      <c r="ER71" s="78"/>
      <c r="ES71" s="78"/>
      <c r="ET71" s="78"/>
      <c r="EU71" s="78"/>
      <c r="EV71" s="97"/>
      <c r="EW71" s="97"/>
      <c r="EX71" s="97"/>
      <c r="EY71" s="97"/>
      <c r="EZ71" s="97"/>
      <c r="FA71" s="97"/>
      <c r="FB71" s="97"/>
      <c r="FC71" s="97"/>
      <c r="FD71" s="97"/>
      <c r="FE71" s="97"/>
      <c r="FF71" s="97"/>
      <c r="FG71" s="97"/>
      <c r="FH71" s="97"/>
      <c r="FI71" s="97"/>
      <c r="FJ71" s="97"/>
      <c r="FK71" s="97"/>
      <c r="FL71" s="97"/>
      <c r="FM71" s="97"/>
      <c r="FN71" s="97"/>
      <c r="FO71" s="78"/>
      <c r="FP71" s="78"/>
      <c r="FQ71" s="78"/>
      <c r="FR71" s="78"/>
      <c r="FS71" s="78"/>
      <c r="FT71" s="78"/>
      <c r="FU71" s="78"/>
      <c r="FV71" s="78"/>
      <c r="FW71" s="78"/>
      <c r="FX71" s="78"/>
      <c r="FY71" s="78"/>
      <c r="FZ71" s="78"/>
      <c r="GA71" s="78"/>
      <c r="GB71" s="78"/>
      <c r="GC71" s="78"/>
      <c r="GD71" s="78"/>
      <c r="GE71" s="78"/>
      <c r="GF71" s="78"/>
      <c r="GG71" s="78"/>
      <c r="GH71" s="78"/>
      <c r="GI71" s="42"/>
    </row>
    <row r="72" spans="1:191" ht="4.2" customHeight="1" thickBot="1" x14ac:dyDescent="0.35">
      <c r="A72" s="78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418"/>
      <c r="AP72" s="418"/>
      <c r="AQ72" s="418"/>
      <c r="AR72" s="418"/>
      <c r="AS72" s="418"/>
      <c r="AT72" s="418"/>
      <c r="AU72" s="418"/>
      <c r="AV72" s="418"/>
      <c r="AW72" s="418"/>
      <c r="AX72" s="418"/>
      <c r="AY72" s="418"/>
      <c r="AZ72" s="418"/>
      <c r="BA72" s="418"/>
      <c r="BB72" s="418"/>
      <c r="BC72" s="418"/>
      <c r="BD72" s="418"/>
      <c r="BE72" s="418"/>
      <c r="BF72" s="418"/>
      <c r="BG72" s="418"/>
      <c r="BH72" s="418"/>
      <c r="BI72" s="418"/>
      <c r="BJ72" s="418"/>
      <c r="BK72" s="418"/>
      <c r="BL72" s="418"/>
      <c r="BM72" s="418"/>
      <c r="BN72" s="418"/>
      <c r="BO72" s="418"/>
      <c r="BP72" s="418"/>
      <c r="BQ72" s="418"/>
      <c r="BR72" s="418"/>
      <c r="BS72" s="418"/>
      <c r="BT72" s="418"/>
      <c r="BU72" s="78"/>
      <c r="BV72" s="78"/>
      <c r="BW72" s="78"/>
      <c r="BX72" s="78"/>
      <c r="BY72" s="78"/>
      <c r="BZ72" s="78"/>
      <c r="CA72" s="78"/>
      <c r="CB72" s="78"/>
      <c r="CC72" s="78"/>
      <c r="CD72" s="78"/>
      <c r="CE72" s="78"/>
      <c r="CF72" s="78"/>
      <c r="CG72" s="78"/>
      <c r="CH72" s="78"/>
      <c r="CI72" s="78"/>
      <c r="CJ72" s="78"/>
      <c r="CK72" s="78"/>
      <c r="CL72" s="78"/>
      <c r="CM72" s="78"/>
      <c r="CN72" s="78"/>
      <c r="CO72" s="78"/>
      <c r="CP72" s="78"/>
      <c r="CQ72" s="78"/>
      <c r="CR72" s="78"/>
      <c r="CS72" s="78"/>
      <c r="CT72" s="78"/>
      <c r="CU72" s="78"/>
      <c r="CV72" s="78"/>
      <c r="CW72" s="78"/>
      <c r="CX72" s="78"/>
      <c r="CY72" s="78"/>
      <c r="CZ72" s="78"/>
      <c r="DA72" s="78"/>
      <c r="DB72" s="78"/>
      <c r="DC72" s="78"/>
      <c r="DD72" s="78"/>
      <c r="DE72" s="78"/>
      <c r="DF72" s="78"/>
      <c r="DG72" s="78"/>
      <c r="DH72" s="78"/>
      <c r="DI72" s="78"/>
      <c r="DJ72" s="78"/>
      <c r="DK72" s="78"/>
      <c r="DL72" s="78"/>
      <c r="DM72" s="78"/>
      <c r="DN72" s="78"/>
      <c r="DO72" s="78"/>
      <c r="DP72" s="78"/>
      <c r="DQ72" s="78"/>
      <c r="DR72" s="78"/>
      <c r="DS72" s="78"/>
      <c r="DT72" s="78"/>
      <c r="DU72" s="78"/>
      <c r="DV72" s="78"/>
      <c r="DW72" s="78"/>
      <c r="DX72" s="78"/>
      <c r="DY72" s="78"/>
      <c r="DZ72" s="78"/>
      <c r="EA72" s="78"/>
      <c r="EB72" s="78"/>
      <c r="EC72" s="78"/>
      <c r="ED72" s="78"/>
      <c r="EE72" s="78"/>
      <c r="EF72" s="78"/>
      <c r="EG72" s="78"/>
      <c r="EH72" s="78"/>
      <c r="EI72" s="78"/>
      <c r="EJ72" s="78"/>
      <c r="EK72" s="78"/>
      <c r="EL72" s="78"/>
      <c r="EM72" s="78"/>
      <c r="EN72" s="78"/>
      <c r="EO72" s="78"/>
      <c r="EP72" s="78"/>
      <c r="EQ72" s="78"/>
      <c r="ER72" s="78"/>
      <c r="ES72" s="78"/>
      <c r="ET72" s="78"/>
      <c r="EU72" s="78"/>
      <c r="EV72" s="97"/>
      <c r="EW72" s="97"/>
      <c r="EX72" s="97"/>
      <c r="EY72" s="97"/>
      <c r="EZ72" s="97"/>
      <c r="FA72" s="97"/>
      <c r="FB72" s="97"/>
      <c r="FC72" s="97"/>
      <c r="FD72" s="97"/>
      <c r="FE72" s="97"/>
      <c r="FF72" s="97"/>
      <c r="FG72" s="97"/>
      <c r="FH72" s="97"/>
      <c r="FI72" s="97"/>
      <c r="FJ72" s="97"/>
      <c r="FK72" s="97"/>
      <c r="FL72" s="97"/>
      <c r="FM72" s="97"/>
      <c r="FN72" s="97"/>
      <c r="FO72" s="78"/>
      <c r="FP72" s="78"/>
      <c r="FQ72" s="78"/>
      <c r="FR72" s="78"/>
      <c r="FS72" s="78"/>
      <c r="FT72" s="78"/>
      <c r="FU72" s="78"/>
      <c r="FV72" s="78"/>
      <c r="FW72" s="78"/>
      <c r="FX72" s="78"/>
      <c r="FY72" s="78"/>
      <c r="FZ72" s="78"/>
      <c r="GA72" s="78"/>
      <c r="GB72" s="78"/>
      <c r="GC72" s="78"/>
      <c r="GD72" s="78"/>
      <c r="GE72" s="78"/>
      <c r="GF72" s="78"/>
      <c r="GG72" s="78"/>
      <c r="GH72" s="78"/>
      <c r="GI72" s="42"/>
    </row>
    <row r="73" spans="1:191" ht="19.2" customHeight="1" thickTop="1" x14ac:dyDescent="0.3">
      <c r="A73" s="419" t="s">
        <v>178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  <c r="N73" s="420"/>
      <c r="O73" s="420"/>
      <c r="P73" s="420"/>
      <c r="Q73" s="420"/>
      <c r="R73" s="420"/>
      <c r="S73" s="420"/>
      <c r="T73" s="420"/>
      <c r="U73" s="420"/>
      <c r="V73" s="420"/>
      <c r="W73" s="420"/>
      <c r="X73" s="420"/>
      <c r="Y73" s="420"/>
      <c r="Z73" s="420"/>
      <c r="AA73" s="420"/>
      <c r="AB73" s="420"/>
      <c r="AC73" s="420"/>
      <c r="AD73" s="420"/>
      <c r="AE73" s="420"/>
      <c r="AF73" s="420"/>
      <c r="AG73" s="420"/>
      <c r="AH73" s="421"/>
      <c r="AI73" s="419" t="s">
        <v>179</v>
      </c>
      <c r="AJ73" s="420"/>
      <c r="AK73" s="420"/>
      <c r="AL73" s="420"/>
      <c r="AM73" s="420"/>
      <c r="AN73" s="420"/>
      <c r="AO73" s="420"/>
      <c r="AP73" s="420"/>
      <c r="AQ73" s="420"/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1"/>
      <c r="BU73" s="419" t="s">
        <v>43</v>
      </c>
      <c r="BV73" s="420"/>
      <c r="BW73" s="420"/>
      <c r="BX73" s="420"/>
      <c r="BY73" s="420"/>
      <c r="BZ73" s="420"/>
      <c r="CA73" s="420"/>
      <c r="CB73" s="420"/>
      <c r="CC73" s="420"/>
      <c r="CD73" s="420"/>
      <c r="CE73" s="420"/>
      <c r="CF73" s="420"/>
      <c r="CG73" s="420"/>
      <c r="CH73" s="420"/>
      <c r="CI73" s="420"/>
      <c r="CJ73" s="420"/>
      <c r="CK73" s="420"/>
      <c r="CL73" s="421"/>
      <c r="CM73" s="419" t="s">
        <v>180</v>
      </c>
      <c r="CN73" s="420"/>
      <c r="CO73" s="420"/>
      <c r="CP73" s="420"/>
      <c r="CQ73" s="420"/>
      <c r="CR73" s="420"/>
      <c r="CS73" s="420"/>
      <c r="CT73" s="420"/>
      <c r="CU73" s="420"/>
      <c r="CV73" s="420"/>
      <c r="CW73" s="420"/>
      <c r="CX73" s="420"/>
      <c r="CY73" s="420"/>
      <c r="CZ73" s="420"/>
      <c r="DA73" s="420"/>
      <c r="DB73" s="421"/>
      <c r="DC73" s="419" t="s">
        <v>181</v>
      </c>
      <c r="DD73" s="420"/>
      <c r="DE73" s="420"/>
      <c r="DF73" s="420"/>
      <c r="DG73" s="420"/>
      <c r="DH73" s="420"/>
      <c r="DI73" s="420"/>
      <c r="DJ73" s="420"/>
      <c r="DK73" s="420"/>
      <c r="DL73" s="420"/>
      <c r="DM73" s="420"/>
      <c r="DN73" s="420"/>
      <c r="DO73" s="420"/>
      <c r="DP73" s="420"/>
      <c r="DQ73" s="420"/>
      <c r="DR73" s="420"/>
      <c r="DS73" s="420"/>
      <c r="DT73" s="420"/>
      <c r="DU73" s="420"/>
      <c r="DV73" s="420"/>
      <c r="DW73" s="420"/>
      <c r="DX73" s="420"/>
      <c r="DY73" s="420"/>
      <c r="DZ73" s="420"/>
      <c r="EA73" s="420"/>
      <c r="EB73" s="420"/>
      <c r="EC73" s="420"/>
      <c r="ED73" s="420"/>
      <c r="EE73" s="420"/>
      <c r="EF73" s="420"/>
      <c r="EG73" s="420"/>
      <c r="EH73" s="420"/>
      <c r="EI73" s="421"/>
      <c r="EJ73" s="411" t="s">
        <v>182</v>
      </c>
      <c r="EK73" s="411"/>
      <c r="EL73" s="411"/>
      <c r="EM73" s="411"/>
      <c r="EN73" s="411"/>
      <c r="EO73" s="411"/>
      <c r="EP73" s="411"/>
      <c r="EQ73" s="411"/>
      <c r="ER73" s="411"/>
      <c r="ES73" s="411"/>
      <c r="ET73" s="411"/>
      <c r="EU73" s="412" t="s">
        <v>183</v>
      </c>
      <c r="EV73" s="412"/>
      <c r="EW73" s="412"/>
      <c r="EX73" s="412"/>
      <c r="EY73" s="412"/>
      <c r="EZ73" s="412"/>
      <c r="FA73" s="412"/>
      <c r="FB73" s="412"/>
      <c r="FC73" s="412"/>
      <c r="FD73" s="412"/>
      <c r="FE73" s="412"/>
      <c r="FF73" s="412"/>
      <c r="FG73" s="412"/>
      <c r="FH73" s="411" t="s">
        <v>184</v>
      </c>
      <c r="FI73" s="411"/>
      <c r="FJ73" s="411"/>
      <c r="FK73" s="411"/>
      <c r="FL73" s="411"/>
      <c r="FM73" s="411"/>
      <c r="FN73" s="411"/>
      <c r="FO73" s="411"/>
      <c r="FP73" s="411"/>
      <c r="FQ73" s="411"/>
      <c r="FR73" s="411"/>
      <c r="FS73" s="411"/>
      <c r="FT73" s="411"/>
      <c r="FU73" s="412" t="s">
        <v>185</v>
      </c>
      <c r="FV73" s="412"/>
      <c r="FW73" s="412"/>
      <c r="FX73" s="412"/>
      <c r="FY73" s="412"/>
      <c r="FZ73" s="412"/>
      <c r="GA73" s="412"/>
      <c r="GB73" s="412"/>
      <c r="GC73" s="412"/>
      <c r="GD73" s="412"/>
      <c r="GE73" s="412"/>
      <c r="GF73" s="412"/>
      <c r="GG73" s="412"/>
      <c r="GH73" s="412"/>
      <c r="GI73" s="42"/>
    </row>
    <row r="74" spans="1:191" ht="7.95" customHeight="1" x14ac:dyDescent="0.3">
      <c r="A74" s="413">
        <v>1</v>
      </c>
      <c r="B74" s="414"/>
      <c r="C74" s="414"/>
      <c r="D74" s="414"/>
      <c r="E74" s="414"/>
      <c r="F74" s="414"/>
      <c r="G74" s="414"/>
      <c r="H74" s="414"/>
      <c r="I74" s="414"/>
      <c r="J74" s="414"/>
      <c r="K74" s="414"/>
      <c r="L74" s="414"/>
      <c r="M74" s="414"/>
      <c r="N74" s="414"/>
      <c r="O74" s="414"/>
      <c r="P74" s="414"/>
      <c r="Q74" s="414"/>
      <c r="R74" s="414"/>
      <c r="S74" s="414"/>
      <c r="T74" s="414"/>
      <c r="U74" s="414"/>
      <c r="V74" s="414"/>
      <c r="W74" s="414"/>
      <c r="X74" s="414"/>
      <c r="Y74" s="414"/>
      <c r="Z74" s="414"/>
      <c r="AA74" s="414"/>
      <c r="AB74" s="414"/>
      <c r="AC74" s="414"/>
      <c r="AD74" s="414"/>
      <c r="AE74" s="414"/>
      <c r="AF74" s="414"/>
      <c r="AG74" s="414"/>
      <c r="AH74" s="415"/>
      <c r="AI74" s="413">
        <v>2</v>
      </c>
      <c r="AJ74" s="416"/>
      <c r="AK74" s="416"/>
      <c r="AL74" s="416"/>
      <c r="AM74" s="416"/>
      <c r="AN74" s="416"/>
      <c r="AO74" s="416"/>
      <c r="AP74" s="416"/>
      <c r="AQ74" s="416"/>
      <c r="AR74" s="416"/>
      <c r="AS74" s="416"/>
      <c r="AT74" s="416"/>
      <c r="AU74" s="416"/>
      <c r="AV74" s="416"/>
      <c r="AW74" s="416"/>
      <c r="AX74" s="416"/>
      <c r="AY74" s="416"/>
      <c r="AZ74" s="416"/>
      <c r="BA74" s="416"/>
      <c r="BB74" s="416"/>
      <c r="BC74" s="416"/>
      <c r="BD74" s="416"/>
      <c r="BE74" s="416"/>
      <c r="BF74" s="416"/>
      <c r="BG74" s="416"/>
      <c r="BH74" s="416"/>
      <c r="BI74" s="416"/>
      <c r="BJ74" s="416"/>
      <c r="BK74" s="416"/>
      <c r="BL74" s="416"/>
      <c r="BM74" s="416"/>
      <c r="BN74" s="416"/>
      <c r="BO74" s="416"/>
      <c r="BP74" s="416"/>
      <c r="BQ74" s="416"/>
      <c r="BR74" s="416"/>
      <c r="BS74" s="416"/>
      <c r="BT74" s="417"/>
      <c r="BU74" s="413">
        <v>3</v>
      </c>
      <c r="BV74" s="416"/>
      <c r="BW74" s="416"/>
      <c r="BX74" s="416"/>
      <c r="BY74" s="416"/>
      <c r="BZ74" s="416"/>
      <c r="CA74" s="416"/>
      <c r="CB74" s="416"/>
      <c r="CC74" s="416"/>
      <c r="CD74" s="416"/>
      <c r="CE74" s="416"/>
      <c r="CF74" s="416"/>
      <c r="CG74" s="416"/>
      <c r="CH74" s="416"/>
      <c r="CI74" s="416"/>
      <c r="CJ74" s="416"/>
      <c r="CK74" s="416"/>
      <c r="CL74" s="417"/>
      <c r="CM74" s="413">
        <v>4</v>
      </c>
      <c r="CN74" s="416"/>
      <c r="CO74" s="416"/>
      <c r="CP74" s="416"/>
      <c r="CQ74" s="416"/>
      <c r="CR74" s="416"/>
      <c r="CS74" s="416"/>
      <c r="CT74" s="416"/>
      <c r="CU74" s="416"/>
      <c r="CV74" s="416"/>
      <c r="CW74" s="416"/>
      <c r="CX74" s="416"/>
      <c r="CY74" s="416"/>
      <c r="CZ74" s="416"/>
      <c r="DA74" s="416"/>
      <c r="DB74" s="417"/>
      <c r="DC74" s="413">
        <v>5</v>
      </c>
      <c r="DD74" s="416"/>
      <c r="DE74" s="416"/>
      <c r="DF74" s="416"/>
      <c r="DG74" s="416"/>
      <c r="DH74" s="416"/>
      <c r="DI74" s="416"/>
      <c r="DJ74" s="416"/>
      <c r="DK74" s="416"/>
      <c r="DL74" s="416"/>
      <c r="DM74" s="416"/>
      <c r="DN74" s="416"/>
      <c r="DO74" s="416"/>
      <c r="DP74" s="416"/>
      <c r="DQ74" s="416"/>
      <c r="DR74" s="416"/>
      <c r="DS74" s="416"/>
      <c r="DT74" s="416"/>
      <c r="DU74" s="416"/>
      <c r="DV74" s="416"/>
      <c r="DW74" s="416"/>
      <c r="DX74" s="416"/>
      <c r="DY74" s="416"/>
      <c r="DZ74" s="416"/>
      <c r="EA74" s="416"/>
      <c r="EB74" s="416"/>
      <c r="EC74" s="416"/>
      <c r="ED74" s="416"/>
      <c r="EE74" s="416"/>
      <c r="EF74" s="416"/>
      <c r="EG74" s="416"/>
      <c r="EH74" s="416"/>
      <c r="EI74" s="417"/>
      <c r="EJ74" s="447">
        <v>6</v>
      </c>
      <c r="EK74" s="447"/>
      <c r="EL74" s="447"/>
      <c r="EM74" s="447"/>
      <c r="EN74" s="447"/>
      <c r="EO74" s="447"/>
      <c r="EP74" s="447"/>
      <c r="EQ74" s="447"/>
      <c r="ER74" s="447"/>
      <c r="ES74" s="447"/>
      <c r="ET74" s="447"/>
      <c r="EU74" s="447">
        <v>7</v>
      </c>
      <c r="EV74" s="447"/>
      <c r="EW74" s="447"/>
      <c r="EX74" s="447"/>
      <c r="EY74" s="447"/>
      <c r="EZ74" s="447"/>
      <c r="FA74" s="447"/>
      <c r="FB74" s="447"/>
      <c r="FC74" s="447"/>
      <c r="FD74" s="447"/>
      <c r="FE74" s="447"/>
      <c r="FF74" s="447"/>
      <c r="FG74" s="447"/>
      <c r="FH74" s="447">
        <v>8</v>
      </c>
      <c r="FI74" s="447"/>
      <c r="FJ74" s="447"/>
      <c r="FK74" s="447"/>
      <c r="FL74" s="447"/>
      <c r="FM74" s="447"/>
      <c r="FN74" s="447"/>
      <c r="FO74" s="447"/>
      <c r="FP74" s="447"/>
      <c r="FQ74" s="447"/>
      <c r="FR74" s="447"/>
      <c r="FS74" s="447"/>
      <c r="FT74" s="447"/>
      <c r="FU74" s="447">
        <v>9</v>
      </c>
      <c r="FV74" s="447"/>
      <c r="FW74" s="447"/>
      <c r="FX74" s="447"/>
      <c r="FY74" s="447"/>
      <c r="FZ74" s="447"/>
      <c r="GA74" s="447"/>
      <c r="GB74" s="447"/>
      <c r="GC74" s="447"/>
      <c r="GD74" s="447"/>
      <c r="GE74" s="447"/>
      <c r="GF74" s="447"/>
      <c r="GG74" s="447"/>
      <c r="GH74" s="447"/>
      <c r="GI74" s="42"/>
    </row>
    <row r="75" spans="1:191" x14ac:dyDescent="0.3">
      <c r="A75" s="422" t="s">
        <v>186</v>
      </c>
      <c r="B75" s="423"/>
      <c r="C75" s="423"/>
      <c r="D75" s="423"/>
      <c r="E75" s="423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  <c r="AA75" s="423"/>
      <c r="AB75" s="423"/>
      <c r="AC75" s="423"/>
      <c r="AD75" s="423"/>
      <c r="AE75" s="423"/>
      <c r="AF75" s="423"/>
      <c r="AG75" s="423"/>
      <c r="AH75" s="424"/>
      <c r="AI75" s="425"/>
      <c r="AJ75" s="426"/>
      <c r="AK75" s="426"/>
      <c r="AL75" s="426"/>
      <c r="AM75" s="426"/>
      <c r="AN75" s="426"/>
      <c r="AO75" s="426"/>
      <c r="AP75" s="426"/>
      <c r="AQ75" s="426"/>
      <c r="AR75" s="426"/>
      <c r="AS75" s="426"/>
      <c r="AT75" s="426"/>
      <c r="AU75" s="426"/>
      <c r="AV75" s="426"/>
      <c r="AW75" s="426"/>
      <c r="AX75" s="426"/>
      <c r="AY75" s="426"/>
      <c r="AZ75" s="426"/>
      <c r="BA75" s="426"/>
      <c r="BB75" s="426"/>
      <c r="BC75" s="426"/>
      <c r="BD75" s="426"/>
      <c r="BE75" s="426"/>
      <c r="BF75" s="426"/>
      <c r="BG75" s="426"/>
      <c r="BH75" s="426"/>
      <c r="BI75" s="426"/>
      <c r="BJ75" s="426"/>
      <c r="BK75" s="426"/>
      <c r="BL75" s="426"/>
      <c r="BM75" s="426"/>
      <c r="BN75" s="426"/>
      <c r="BO75" s="426"/>
      <c r="BP75" s="426"/>
      <c r="BQ75" s="426"/>
      <c r="BR75" s="426"/>
      <c r="BS75" s="426"/>
      <c r="BT75" s="427"/>
      <c r="BU75" s="425"/>
      <c r="BV75" s="426"/>
      <c r="BW75" s="426"/>
      <c r="BX75" s="426"/>
      <c r="BY75" s="426"/>
      <c r="BZ75" s="426"/>
      <c r="CA75" s="426"/>
      <c r="CB75" s="426"/>
      <c r="CC75" s="426"/>
      <c r="CD75" s="426"/>
      <c r="CE75" s="426"/>
      <c r="CF75" s="426"/>
      <c r="CG75" s="426"/>
      <c r="CH75" s="426"/>
      <c r="CI75" s="426"/>
      <c r="CJ75" s="426"/>
      <c r="CK75" s="426"/>
      <c r="CL75" s="426"/>
      <c r="CM75" s="428"/>
      <c r="CN75" s="429"/>
      <c r="CO75" s="429"/>
      <c r="CP75" s="429"/>
      <c r="CQ75" s="429"/>
      <c r="CR75" s="429"/>
      <c r="CS75" s="429"/>
      <c r="CT75" s="429"/>
      <c r="CU75" s="429"/>
      <c r="CV75" s="429"/>
      <c r="CW75" s="429"/>
      <c r="CX75" s="429"/>
      <c r="CY75" s="429"/>
      <c r="CZ75" s="429"/>
      <c r="DA75" s="429"/>
      <c r="DB75" s="430"/>
      <c r="DC75" s="431"/>
      <c r="DD75" s="431"/>
      <c r="DE75" s="431"/>
      <c r="DF75" s="431"/>
      <c r="DG75" s="431"/>
      <c r="DH75" s="431"/>
      <c r="DI75" s="431"/>
      <c r="DJ75" s="431"/>
      <c r="DK75" s="431"/>
      <c r="DL75" s="431"/>
      <c r="DM75" s="431"/>
      <c r="DN75" s="431"/>
      <c r="DO75" s="431"/>
      <c r="DP75" s="431"/>
      <c r="DQ75" s="431"/>
      <c r="DR75" s="431"/>
      <c r="DS75" s="431"/>
      <c r="DT75" s="431"/>
      <c r="DU75" s="431"/>
      <c r="DV75" s="431"/>
      <c r="DW75" s="431"/>
      <c r="DX75" s="431"/>
      <c r="DY75" s="431"/>
      <c r="DZ75" s="431"/>
      <c r="EA75" s="431"/>
      <c r="EB75" s="431"/>
      <c r="EC75" s="431"/>
      <c r="ED75" s="431"/>
      <c r="EE75" s="431"/>
      <c r="EF75" s="431"/>
      <c r="EG75" s="431"/>
      <c r="EH75" s="431"/>
      <c r="EI75" s="431"/>
      <c r="EJ75" s="425"/>
      <c r="EK75" s="432"/>
      <c r="EL75" s="432"/>
      <c r="EM75" s="432"/>
      <c r="EN75" s="432"/>
      <c r="EO75" s="432"/>
      <c r="EP75" s="432"/>
      <c r="EQ75" s="432"/>
      <c r="ER75" s="432"/>
      <c r="ES75" s="432"/>
      <c r="ET75" s="433"/>
      <c r="EU75" s="432"/>
      <c r="EV75" s="432"/>
      <c r="EW75" s="432"/>
      <c r="EX75" s="432"/>
      <c r="EY75" s="432"/>
      <c r="EZ75" s="432"/>
      <c r="FA75" s="432"/>
      <c r="FB75" s="432"/>
      <c r="FC75" s="432"/>
      <c r="FD75" s="432"/>
      <c r="FE75" s="432"/>
      <c r="FF75" s="432"/>
      <c r="FG75" s="432"/>
      <c r="FH75" s="425"/>
      <c r="FI75" s="432"/>
      <c r="FJ75" s="432"/>
      <c r="FK75" s="432"/>
      <c r="FL75" s="432"/>
      <c r="FM75" s="432"/>
      <c r="FN75" s="432"/>
      <c r="FO75" s="432"/>
      <c r="FP75" s="432"/>
      <c r="FQ75" s="432"/>
      <c r="FR75" s="432"/>
      <c r="FS75" s="432"/>
      <c r="FT75" s="433"/>
      <c r="FU75" s="434"/>
      <c r="FV75" s="434"/>
      <c r="FW75" s="434"/>
      <c r="FX75" s="434"/>
      <c r="FY75" s="434"/>
      <c r="FZ75" s="434"/>
      <c r="GA75" s="434"/>
      <c r="GB75" s="434"/>
      <c r="GC75" s="434"/>
      <c r="GD75" s="434"/>
      <c r="GE75" s="434"/>
      <c r="GF75" s="434"/>
      <c r="GG75" s="434"/>
      <c r="GH75" s="435"/>
      <c r="GI75" s="42"/>
    </row>
    <row r="76" spans="1:191" ht="8.4" customHeight="1" x14ac:dyDescent="0.3">
      <c r="A76" s="96" t="s">
        <v>187</v>
      </c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261" t="s">
        <v>188</v>
      </c>
      <c r="AT76" s="261"/>
      <c r="AU76" s="261"/>
      <c r="AV76" s="261"/>
      <c r="AW76" s="261"/>
      <c r="AX76" s="261"/>
      <c r="AY76" s="96"/>
      <c r="AZ76" s="96"/>
      <c r="BA76" s="96"/>
      <c r="BB76" s="96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98"/>
      <c r="BO76" s="78"/>
      <c r="BP76" s="96" t="s">
        <v>187</v>
      </c>
      <c r="BQ76" s="96"/>
      <c r="BR76" s="96"/>
      <c r="BS76" s="96"/>
      <c r="BT76" s="96"/>
      <c r="BU76" s="96"/>
      <c r="BV76" s="96"/>
      <c r="BW76" s="96"/>
      <c r="BX76" s="96"/>
      <c r="BY76" s="96"/>
      <c r="BZ76" s="96"/>
      <c r="CA76" s="96"/>
      <c r="CB76" s="96"/>
      <c r="CC76" s="96"/>
      <c r="CD76" s="96"/>
      <c r="CE76" s="96"/>
      <c r="CF76" s="96"/>
      <c r="CG76" s="96"/>
      <c r="CH76" s="96"/>
      <c r="CI76" s="96"/>
      <c r="CJ76" s="96"/>
      <c r="CK76" s="96"/>
      <c r="CL76" s="96"/>
      <c r="CM76" s="96"/>
      <c r="CN76" s="96"/>
      <c r="CO76" s="96"/>
      <c r="CP76" s="96"/>
      <c r="CQ76" s="96"/>
      <c r="CR76" s="96"/>
      <c r="CS76" s="78"/>
      <c r="CT76" s="78"/>
      <c r="CU76" s="78"/>
      <c r="CV76" s="78"/>
      <c r="CW76" s="78"/>
      <c r="CX76" s="78"/>
      <c r="CY76" s="78"/>
      <c r="CZ76" s="78"/>
      <c r="DA76" s="78"/>
      <c r="DB76" s="261" t="s">
        <v>188</v>
      </c>
      <c r="DC76" s="261"/>
      <c r="DD76" s="261"/>
      <c r="DE76" s="261"/>
      <c r="DF76" s="261"/>
      <c r="DG76" s="261"/>
      <c r="DH76" s="261"/>
      <c r="DI76" s="261"/>
      <c r="DJ76" s="261"/>
      <c r="DK76" s="78"/>
      <c r="DL76" s="78"/>
      <c r="DM76" s="78"/>
      <c r="DN76" s="78"/>
      <c r="DO76" s="78"/>
      <c r="DP76" s="78"/>
      <c r="DQ76" s="78"/>
      <c r="DR76" s="78"/>
      <c r="DS76" s="78"/>
      <c r="DT76" s="78"/>
      <c r="DU76" s="96"/>
      <c r="DV76" s="96" t="s">
        <v>72</v>
      </c>
      <c r="DW76" s="78"/>
      <c r="DX76" s="96"/>
      <c r="DY76" s="96"/>
      <c r="DZ76" s="96"/>
      <c r="EA76" s="96"/>
      <c r="EB76" s="96"/>
      <c r="EC76" s="96"/>
      <c r="ED76" s="96"/>
      <c r="EE76" s="96"/>
      <c r="EF76" s="96"/>
      <c r="EG76" s="96"/>
      <c r="EH76" s="96"/>
      <c r="EI76" s="96"/>
      <c r="EJ76" s="436"/>
      <c r="EK76" s="314"/>
      <c r="EL76" s="314"/>
      <c r="EM76" s="314"/>
      <c r="EN76" s="314"/>
      <c r="EO76" s="314"/>
      <c r="EP76" s="314"/>
      <c r="EQ76" s="314"/>
      <c r="ER76" s="314"/>
      <c r="ES76" s="314"/>
      <c r="ET76" s="437"/>
      <c r="EU76" s="314" t="s">
        <v>189</v>
      </c>
      <c r="EV76" s="314"/>
      <c r="EW76" s="314"/>
      <c r="EX76" s="314"/>
      <c r="EY76" s="314"/>
      <c r="EZ76" s="314"/>
      <c r="FA76" s="314"/>
      <c r="FB76" s="314"/>
      <c r="FC76" s="314"/>
      <c r="FD76" s="314"/>
      <c r="FE76" s="314"/>
      <c r="FF76" s="314"/>
      <c r="FG76" s="314"/>
      <c r="FH76" s="314"/>
      <c r="FI76" s="314"/>
      <c r="FJ76" s="314"/>
      <c r="FK76" s="314"/>
      <c r="FL76" s="314"/>
      <c r="FM76" s="314"/>
      <c r="FN76" s="314"/>
      <c r="FO76" s="314"/>
      <c r="FP76" s="314"/>
      <c r="FQ76" s="314"/>
      <c r="FR76" s="314"/>
      <c r="FS76" s="314"/>
      <c r="FT76" s="314"/>
      <c r="FU76" s="441"/>
      <c r="FV76" s="442"/>
      <c r="FW76" s="442"/>
      <c r="FX76" s="442"/>
      <c r="FY76" s="442"/>
      <c r="FZ76" s="442"/>
      <c r="GA76" s="442"/>
      <c r="GB76" s="442"/>
      <c r="GC76" s="442"/>
      <c r="GD76" s="442"/>
      <c r="GE76" s="442"/>
      <c r="GF76" s="442"/>
      <c r="GG76" s="442"/>
      <c r="GH76" s="443"/>
      <c r="GI76" s="42"/>
    </row>
    <row r="77" spans="1:191" ht="8.4" customHeight="1" thickBot="1" x14ac:dyDescent="0.35">
      <c r="A77" s="78" t="s">
        <v>190</v>
      </c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450"/>
      <c r="AB77" s="450"/>
      <c r="AC77" s="450"/>
      <c r="AD77" s="450"/>
      <c r="AE77" s="450"/>
      <c r="AF77" s="450"/>
      <c r="AG77" s="450"/>
      <c r="AH77" s="450"/>
      <c r="AI77" s="450"/>
      <c r="AJ77" s="450"/>
      <c r="AK77" s="450"/>
      <c r="AL77" s="450"/>
      <c r="AM77" s="450"/>
      <c r="AN77" s="450"/>
      <c r="AO77" s="450"/>
      <c r="AP77" s="450"/>
      <c r="AQ77" s="450"/>
      <c r="AR77" s="450"/>
      <c r="AS77" s="380" t="s">
        <v>191</v>
      </c>
      <c r="AT77" s="380"/>
      <c r="AU77" s="380"/>
      <c r="AV77" s="380"/>
      <c r="AW77" s="380"/>
      <c r="AX77" s="380"/>
      <c r="AY77" s="449"/>
      <c r="AZ77" s="449"/>
      <c r="BA77" s="449"/>
      <c r="BB77" s="449"/>
      <c r="BC77" s="449"/>
      <c r="BD77" s="449"/>
      <c r="BE77" s="449"/>
      <c r="BF77" s="449"/>
      <c r="BG77" s="449"/>
      <c r="BH77" s="449"/>
      <c r="BI77" s="449"/>
      <c r="BJ77" s="449"/>
      <c r="BK77" s="449"/>
      <c r="BL77" s="449"/>
      <c r="BM77" s="449"/>
      <c r="BN77" s="99"/>
      <c r="BO77" s="78"/>
      <c r="BP77" s="78" t="s">
        <v>190</v>
      </c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451"/>
      <c r="CT77" s="451"/>
      <c r="CU77" s="451"/>
      <c r="CV77" s="451"/>
      <c r="CW77" s="451"/>
      <c r="CX77" s="451"/>
      <c r="CY77" s="451"/>
      <c r="CZ77" s="451"/>
      <c r="DA77" s="451"/>
      <c r="DB77" s="380" t="s">
        <v>191</v>
      </c>
      <c r="DC77" s="380"/>
      <c r="DD77" s="380"/>
      <c r="DE77" s="380"/>
      <c r="DF77" s="380"/>
      <c r="DG77" s="380"/>
      <c r="DH77" s="380"/>
      <c r="DI77" s="380"/>
      <c r="DJ77" s="380"/>
      <c r="DK77" s="300"/>
      <c r="DL77" s="300"/>
      <c r="DM77" s="300"/>
      <c r="DN77" s="300"/>
      <c r="DO77" s="300"/>
      <c r="DP77" s="300"/>
      <c r="DQ77" s="300"/>
      <c r="DR77" s="300"/>
      <c r="DS77" s="300"/>
      <c r="DT77" s="300"/>
      <c r="DU77" s="78"/>
      <c r="DV77" s="78" t="s">
        <v>192</v>
      </c>
      <c r="DW77" s="78"/>
      <c r="DX77" s="78"/>
      <c r="DY77" s="78"/>
      <c r="DZ77" s="78"/>
      <c r="EA77" s="78"/>
      <c r="EB77" s="78"/>
      <c r="EC77" s="78"/>
      <c r="ED77" s="78"/>
      <c r="EE77" s="78"/>
      <c r="EF77" s="78"/>
      <c r="EG77" s="78"/>
      <c r="EH77" s="78"/>
      <c r="EI77" s="78"/>
      <c r="EJ77" s="438"/>
      <c r="EK77" s="439"/>
      <c r="EL77" s="439"/>
      <c r="EM77" s="439"/>
      <c r="EN77" s="439"/>
      <c r="EO77" s="439"/>
      <c r="EP77" s="439"/>
      <c r="EQ77" s="439"/>
      <c r="ER77" s="439"/>
      <c r="ES77" s="439"/>
      <c r="ET77" s="440"/>
      <c r="EU77" s="78"/>
      <c r="EV77" s="78"/>
      <c r="EW77" s="78"/>
      <c r="EX77" s="78"/>
      <c r="EY77" s="78"/>
      <c r="EZ77" s="78"/>
      <c r="FA77" s="78"/>
      <c r="FB77" s="78"/>
      <c r="FC77" s="78"/>
      <c r="FD77" s="78"/>
      <c r="FE77" s="78"/>
      <c r="FF77" s="78"/>
      <c r="FG77" s="78"/>
      <c r="FH77" s="78"/>
      <c r="FI77" s="78"/>
      <c r="FJ77" s="78"/>
      <c r="FK77" s="78"/>
      <c r="FL77" s="78"/>
      <c r="FM77" s="78"/>
      <c r="FN77" s="78"/>
      <c r="FO77" s="78"/>
      <c r="FP77" s="78"/>
      <c r="FQ77" s="78"/>
      <c r="FR77" s="78"/>
      <c r="FS77" s="78"/>
      <c r="FT77" s="78"/>
      <c r="FU77" s="444"/>
      <c r="FV77" s="445"/>
      <c r="FW77" s="445"/>
      <c r="FX77" s="445"/>
      <c r="FY77" s="445"/>
      <c r="FZ77" s="445"/>
      <c r="GA77" s="445"/>
      <c r="GB77" s="445"/>
      <c r="GC77" s="445"/>
      <c r="GD77" s="445"/>
      <c r="GE77" s="445"/>
      <c r="GF77" s="445"/>
      <c r="GG77" s="445"/>
      <c r="GH77" s="446"/>
      <c r="GI77" s="42"/>
    </row>
    <row r="78" spans="1:191" ht="7.2" customHeight="1" x14ac:dyDescent="0.3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448" t="s">
        <v>193</v>
      </c>
      <c r="AB78" s="448"/>
      <c r="AC78" s="448"/>
      <c r="AD78" s="448"/>
      <c r="AE78" s="448"/>
      <c r="AF78" s="448"/>
      <c r="AG78" s="448"/>
      <c r="AH78" s="448"/>
      <c r="AI78" s="448"/>
      <c r="AJ78" s="448"/>
      <c r="AK78" s="448"/>
      <c r="AL78" s="448"/>
      <c r="AM78" s="448"/>
      <c r="AN78" s="448"/>
      <c r="AO78" s="448"/>
      <c r="AP78" s="448"/>
      <c r="AQ78" s="448"/>
      <c r="AR78" s="448"/>
      <c r="AS78" s="85"/>
      <c r="AT78" s="85"/>
      <c r="AU78" s="100"/>
      <c r="AV78" s="100"/>
      <c r="AW78" s="100"/>
      <c r="AX78" s="100"/>
      <c r="AY78" s="448" t="s">
        <v>99</v>
      </c>
      <c r="AZ78" s="448"/>
      <c r="BA78" s="448"/>
      <c r="BB78" s="448"/>
      <c r="BC78" s="448"/>
      <c r="BD78" s="448"/>
      <c r="BE78" s="448"/>
      <c r="BF78" s="448"/>
      <c r="BG78" s="448"/>
      <c r="BH78" s="448"/>
      <c r="BI78" s="448"/>
      <c r="BJ78" s="448"/>
      <c r="BK78" s="448"/>
      <c r="BL78" s="448"/>
      <c r="BM78" s="448"/>
      <c r="BN78" s="101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448" t="s">
        <v>193</v>
      </c>
      <c r="CT78" s="448"/>
      <c r="CU78" s="448"/>
      <c r="CV78" s="448"/>
      <c r="CW78" s="448"/>
      <c r="CX78" s="448"/>
      <c r="CY78" s="448"/>
      <c r="CZ78" s="448"/>
      <c r="DA78" s="448"/>
      <c r="DB78" s="85"/>
      <c r="DC78" s="100"/>
      <c r="DD78" s="100"/>
      <c r="DE78" s="100"/>
      <c r="DF78" s="100"/>
      <c r="DG78" s="100"/>
      <c r="DH78" s="100"/>
      <c r="DI78" s="100"/>
      <c r="DJ78" s="85"/>
      <c r="DK78" s="448" t="s">
        <v>99</v>
      </c>
      <c r="DL78" s="448"/>
      <c r="DM78" s="448"/>
      <c r="DN78" s="448"/>
      <c r="DO78" s="448"/>
      <c r="DP78" s="448"/>
      <c r="DQ78" s="448"/>
      <c r="DR78" s="448"/>
      <c r="DS78" s="448"/>
      <c r="DT78" s="448"/>
      <c r="DU78" s="85"/>
      <c r="DV78" s="85"/>
      <c r="DW78" s="85"/>
      <c r="DX78" s="85"/>
      <c r="DY78" s="85"/>
      <c r="DZ78" s="85"/>
      <c r="EA78" s="85"/>
      <c r="EB78" s="85"/>
      <c r="EC78" s="85"/>
      <c r="ED78" s="85"/>
      <c r="EE78" s="85"/>
      <c r="EF78" s="85"/>
      <c r="EG78" s="85"/>
      <c r="EH78" s="85"/>
      <c r="EI78" s="85"/>
      <c r="EJ78" s="85"/>
      <c r="EK78" s="85"/>
      <c r="EL78" s="85"/>
      <c r="EM78" s="85"/>
      <c r="EN78" s="85"/>
      <c r="EO78" s="85"/>
      <c r="EP78" s="85"/>
      <c r="EQ78" s="85"/>
      <c r="ER78" s="85"/>
      <c r="ES78" s="85"/>
      <c r="ET78" s="85"/>
      <c r="EU78" s="85"/>
      <c r="EV78" s="85"/>
      <c r="EW78" s="85"/>
      <c r="EX78" s="85"/>
      <c r="EY78" s="85"/>
      <c r="EZ78" s="85"/>
      <c r="FA78" s="85"/>
      <c r="FB78" s="85"/>
      <c r="FC78" s="85"/>
      <c r="FD78" s="85"/>
      <c r="FE78" s="85"/>
      <c r="FF78" s="85"/>
      <c r="FG78" s="85"/>
      <c r="FH78" s="85"/>
      <c r="FI78" s="85"/>
      <c r="FJ78" s="85"/>
      <c r="FK78" s="85"/>
      <c r="FL78" s="85"/>
      <c r="FM78" s="85"/>
      <c r="FN78" s="85"/>
      <c r="FO78" s="85"/>
      <c r="FP78" s="85"/>
      <c r="FQ78" s="85"/>
      <c r="FR78" s="85"/>
      <c r="FS78" s="85"/>
      <c r="FT78" s="85"/>
      <c r="FU78" s="85"/>
      <c r="FV78" s="85"/>
      <c r="FW78" s="85"/>
      <c r="FX78" s="85"/>
      <c r="FY78" s="85"/>
      <c r="FZ78" s="85"/>
      <c r="GA78" s="85"/>
      <c r="GB78" s="85"/>
      <c r="GC78" s="85"/>
      <c r="GD78" s="85"/>
      <c r="GE78" s="85"/>
      <c r="GF78" s="85"/>
      <c r="GG78" s="85"/>
      <c r="GH78" s="85"/>
      <c r="GI78" s="42"/>
    </row>
    <row r="79" spans="1:191" ht="9.6" customHeight="1" x14ac:dyDescent="0.3">
      <c r="A79" s="78" t="s">
        <v>194</v>
      </c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449"/>
      <c r="R79" s="449"/>
      <c r="S79" s="449"/>
      <c r="T79" s="449"/>
      <c r="U79" s="449"/>
      <c r="V79" s="449"/>
      <c r="W79" s="449"/>
      <c r="X79" s="449"/>
      <c r="Y79" s="449"/>
      <c r="Z79" s="449"/>
      <c r="AA79" s="449"/>
      <c r="AB79" s="449"/>
      <c r="AC79" s="449"/>
      <c r="AD79" s="449"/>
      <c r="AE79" s="449"/>
      <c r="AF79" s="449"/>
      <c r="AG79" s="449"/>
      <c r="AH79" s="449"/>
      <c r="AI79" s="449"/>
      <c r="AJ79" s="449"/>
      <c r="AK79" s="449"/>
      <c r="AL79" s="449"/>
      <c r="AM79" s="449"/>
      <c r="AN79" s="449"/>
      <c r="AO79" s="449"/>
      <c r="AP79" s="449"/>
      <c r="AQ79" s="449"/>
      <c r="AR79" s="449"/>
      <c r="AS79" s="449"/>
      <c r="AT79" s="78"/>
      <c r="AU79" s="78" t="s">
        <v>195</v>
      </c>
      <c r="AV79" s="78"/>
      <c r="AW79" s="78"/>
      <c r="AX79" s="78"/>
      <c r="AY79" s="78"/>
      <c r="AZ79" s="78"/>
      <c r="BA79" s="78"/>
      <c r="BB79" s="78" t="s">
        <v>196</v>
      </c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98"/>
      <c r="BO79" s="78"/>
      <c r="BP79" s="78" t="s">
        <v>194</v>
      </c>
      <c r="BQ79" s="78"/>
      <c r="BR79" s="78"/>
      <c r="BS79" s="78"/>
      <c r="BT79" s="78"/>
      <c r="BU79" s="78"/>
      <c r="BV79" s="78"/>
      <c r="BW79" s="78"/>
      <c r="BX79" s="78"/>
      <c r="BY79" s="78"/>
      <c r="BZ79" s="78"/>
      <c r="CA79" s="78"/>
      <c r="CB79" s="78"/>
      <c r="CC79" s="78"/>
      <c r="CD79" s="78"/>
      <c r="CE79" s="78"/>
      <c r="CF79" s="362"/>
      <c r="CG79" s="362"/>
      <c r="CH79" s="362"/>
      <c r="CI79" s="362"/>
      <c r="CJ79" s="362"/>
      <c r="CK79" s="362"/>
      <c r="CL79" s="362"/>
      <c r="CM79" s="362"/>
      <c r="CN79" s="362"/>
      <c r="CO79" s="362"/>
      <c r="CP79" s="362"/>
      <c r="CQ79" s="362"/>
      <c r="CR79" s="362"/>
      <c r="CS79" s="362"/>
      <c r="CT79" s="362"/>
      <c r="CU79" s="362"/>
      <c r="CV79" s="362"/>
      <c r="CW79" s="362"/>
      <c r="CX79" s="362"/>
      <c r="CY79" s="362"/>
      <c r="CZ79" s="362"/>
      <c r="DA79" s="362"/>
      <c r="DB79" s="362"/>
      <c r="DC79" s="91" t="s">
        <v>195</v>
      </c>
      <c r="DD79" s="78"/>
      <c r="DE79" s="78"/>
      <c r="DF79" s="78"/>
      <c r="DG79" s="78"/>
      <c r="DH79" s="78"/>
      <c r="DI79" s="78"/>
      <c r="DJ79" s="78"/>
      <c r="DK79" s="78"/>
      <c r="DL79" s="78"/>
      <c r="DM79" s="78"/>
      <c r="DN79" s="78"/>
      <c r="DO79" s="78"/>
      <c r="DP79" s="78"/>
      <c r="DQ79" s="78"/>
      <c r="DR79" s="78"/>
      <c r="DS79" s="78"/>
      <c r="DT79" s="78"/>
      <c r="DU79" s="78"/>
      <c r="DV79" s="78"/>
      <c r="DW79" s="78"/>
      <c r="DX79" s="78"/>
      <c r="DY79" s="78"/>
      <c r="DZ79" s="78"/>
      <c r="EA79" s="78"/>
      <c r="EB79" s="102" t="s">
        <v>197</v>
      </c>
      <c r="EC79" s="78"/>
      <c r="ED79" s="78"/>
      <c r="EE79" s="78"/>
      <c r="EF79" s="78"/>
      <c r="EG79" s="78"/>
      <c r="EH79" s="78"/>
      <c r="EI79" s="78"/>
      <c r="EJ79" s="78"/>
      <c r="EK79" s="78"/>
      <c r="EL79" s="78"/>
      <c r="EM79" s="78"/>
      <c r="EN79" s="78"/>
      <c r="EO79" s="78"/>
      <c r="EP79" s="78"/>
      <c r="EQ79" s="78"/>
      <c r="ER79" s="78"/>
      <c r="ES79" s="78"/>
      <c r="ET79" s="78"/>
      <c r="EU79" s="78"/>
      <c r="EV79" s="78"/>
      <c r="EW79" s="78"/>
      <c r="EX79" s="78"/>
      <c r="EY79" s="78"/>
      <c r="EZ79" s="78"/>
      <c r="FA79" s="78"/>
      <c r="FB79" s="78"/>
      <c r="FC79" s="78"/>
      <c r="FD79" s="78"/>
      <c r="FE79" s="452"/>
      <c r="FF79" s="452"/>
      <c r="FG79" s="452"/>
      <c r="FH79" s="452"/>
      <c r="FI79" s="452"/>
      <c r="FJ79" s="452"/>
      <c r="FK79" s="452"/>
      <c r="FL79" s="452"/>
      <c r="FM79" s="452"/>
      <c r="FN79" s="452"/>
      <c r="FO79" s="452"/>
      <c r="FP79" s="452"/>
      <c r="FQ79" s="452"/>
      <c r="FR79" s="452"/>
      <c r="FS79" s="452"/>
      <c r="FT79" s="452"/>
      <c r="FU79" s="452"/>
      <c r="FV79" s="452"/>
      <c r="FW79" s="452"/>
      <c r="FX79" s="452"/>
      <c r="FY79" s="452"/>
      <c r="FZ79" s="452"/>
      <c r="GA79" s="452"/>
      <c r="GB79" s="452"/>
      <c r="GC79" s="452"/>
      <c r="GD79" s="452"/>
      <c r="GE79" s="452"/>
      <c r="GF79" s="452"/>
      <c r="GG79" s="452"/>
      <c r="GH79" s="452"/>
      <c r="GI79" s="42"/>
    </row>
    <row r="80" spans="1:191" s="33" customFormat="1" ht="6.6" customHeight="1" x14ac:dyDescent="0.3">
      <c r="A80" s="367" t="s">
        <v>198</v>
      </c>
      <c r="B80" s="367"/>
      <c r="C80" s="367"/>
      <c r="D80" s="367"/>
      <c r="E80" s="367"/>
      <c r="F80" s="367"/>
      <c r="G80" s="367"/>
      <c r="H80" s="103"/>
      <c r="I80" s="103"/>
      <c r="J80" s="103"/>
      <c r="K80" s="103"/>
      <c r="L80" s="103"/>
      <c r="M80" s="103"/>
      <c r="N80" s="103"/>
      <c r="O80" s="103"/>
      <c r="P80" s="103"/>
      <c r="Q80" s="404" t="s">
        <v>99</v>
      </c>
      <c r="R80" s="404"/>
      <c r="S80" s="404"/>
      <c r="T80" s="404"/>
      <c r="U80" s="404"/>
      <c r="V80" s="404"/>
      <c r="W80" s="404"/>
      <c r="X80" s="404"/>
      <c r="Y80" s="404"/>
      <c r="Z80" s="404"/>
      <c r="AA80" s="404"/>
      <c r="AB80" s="404"/>
      <c r="AC80" s="404"/>
      <c r="AD80" s="404"/>
      <c r="AE80" s="404"/>
      <c r="AF80" s="404"/>
      <c r="AG80" s="404"/>
      <c r="AH80" s="404"/>
      <c r="AI80" s="404"/>
      <c r="AJ80" s="404"/>
      <c r="AK80" s="404"/>
      <c r="AL80" s="404"/>
      <c r="AM80" s="404"/>
      <c r="AN80" s="404"/>
      <c r="AO80" s="404"/>
      <c r="AP80" s="404"/>
      <c r="AQ80" s="404"/>
      <c r="AR80" s="404"/>
      <c r="AS80" s="404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  <c r="BM80" s="103"/>
      <c r="BN80" s="104"/>
      <c r="BO80" s="103"/>
      <c r="BP80" s="103"/>
      <c r="BQ80" s="103"/>
      <c r="BR80" s="103"/>
      <c r="BS80" s="103"/>
      <c r="BT80" s="103"/>
      <c r="BU80" s="103"/>
      <c r="BV80" s="103"/>
      <c r="BW80" s="103"/>
      <c r="BX80" s="103"/>
      <c r="BY80" s="103"/>
      <c r="BZ80" s="103"/>
      <c r="CA80" s="103"/>
      <c r="CB80" s="103"/>
      <c r="CC80" s="103"/>
      <c r="CD80" s="103"/>
      <c r="CE80" s="103"/>
      <c r="CF80" s="404" t="s">
        <v>99</v>
      </c>
      <c r="CG80" s="404"/>
      <c r="CH80" s="404"/>
      <c r="CI80" s="404"/>
      <c r="CJ80" s="404"/>
      <c r="CK80" s="404"/>
      <c r="CL80" s="404"/>
      <c r="CM80" s="404"/>
      <c r="CN80" s="404"/>
      <c r="CO80" s="404"/>
      <c r="CP80" s="404"/>
      <c r="CQ80" s="404"/>
      <c r="CR80" s="404"/>
      <c r="CS80" s="404"/>
      <c r="CT80" s="404"/>
      <c r="CU80" s="404"/>
      <c r="CV80" s="404"/>
      <c r="CW80" s="404"/>
      <c r="CX80" s="404"/>
      <c r="CY80" s="404"/>
      <c r="CZ80" s="404"/>
      <c r="DA80" s="404"/>
      <c r="DB80" s="404"/>
      <c r="DC80" s="103"/>
      <c r="DD80" s="103"/>
      <c r="DE80" s="103"/>
      <c r="DF80" s="103"/>
      <c r="DG80" s="103"/>
      <c r="DH80" s="103"/>
      <c r="DI80" s="103"/>
      <c r="DJ80" s="103"/>
      <c r="DK80" s="103"/>
      <c r="DL80" s="103"/>
      <c r="DM80" s="103"/>
      <c r="DN80" s="103"/>
      <c r="DO80" s="103"/>
      <c r="DP80" s="103"/>
      <c r="DQ80" s="103"/>
      <c r="DR80" s="103"/>
      <c r="DS80" s="103"/>
      <c r="DT80" s="103"/>
      <c r="DU80" s="103"/>
      <c r="DV80" s="103"/>
      <c r="DW80" s="103"/>
      <c r="DX80" s="103"/>
      <c r="DY80" s="103"/>
      <c r="DZ80" s="103"/>
      <c r="EA80" s="103"/>
      <c r="EB80" s="105"/>
      <c r="EC80" s="103"/>
      <c r="ED80" s="103"/>
      <c r="EE80" s="103"/>
      <c r="EF80" s="103"/>
      <c r="EG80" s="103"/>
      <c r="EH80" s="103"/>
      <c r="EI80" s="103"/>
      <c r="EJ80" s="103"/>
      <c r="EK80" s="103"/>
      <c r="EL80" s="103"/>
      <c r="EM80" s="103"/>
      <c r="EN80" s="103"/>
      <c r="EO80" s="103"/>
      <c r="EP80" s="103"/>
      <c r="EQ80" s="103"/>
      <c r="ER80" s="103"/>
      <c r="ES80" s="103"/>
      <c r="ET80" s="103"/>
      <c r="EU80" s="103"/>
      <c r="EV80" s="103"/>
      <c r="EW80" s="103"/>
      <c r="EX80" s="103"/>
      <c r="EY80" s="103"/>
      <c r="EZ80" s="103"/>
      <c r="FA80" s="103"/>
      <c r="FB80" s="103"/>
      <c r="FC80" s="103"/>
      <c r="FD80" s="103"/>
      <c r="FE80" s="103"/>
      <c r="FF80" s="103"/>
      <c r="FG80" s="103"/>
      <c r="FH80" s="103"/>
      <c r="FI80" s="103"/>
      <c r="FJ80" s="103"/>
      <c r="FK80" s="103"/>
      <c r="FL80" s="103"/>
      <c r="FM80" s="103"/>
      <c r="FN80" s="103"/>
      <c r="FO80" s="103"/>
      <c r="FP80" s="103"/>
      <c r="FQ80" s="103"/>
      <c r="FR80" s="103"/>
      <c r="FS80" s="103"/>
      <c r="FT80" s="103"/>
      <c r="FU80" s="103"/>
      <c r="FV80" s="103"/>
      <c r="FW80" s="103"/>
      <c r="FX80" s="103"/>
      <c r="FY80" s="103"/>
      <c r="FZ80" s="103"/>
      <c r="GA80" s="103"/>
      <c r="GB80" s="103"/>
      <c r="GC80" s="103"/>
      <c r="GD80" s="103"/>
      <c r="GE80" s="103"/>
      <c r="GF80" s="103"/>
      <c r="GG80" s="103"/>
      <c r="GH80" s="103"/>
      <c r="GI80" s="75"/>
    </row>
    <row r="81" spans="1:191" ht="10.199999999999999" customHeight="1" x14ac:dyDescent="0.3">
      <c r="A81" s="367"/>
      <c r="B81" s="367"/>
      <c r="C81" s="367"/>
      <c r="D81" s="367"/>
      <c r="E81" s="367"/>
      <c r="F81" s="367"/>
      <c r="G81" s="367"/>
      <c r="H81" s="256" t="str">
        <f>AB48</f>
        <v>Кладовщик</v>
      </c>
      <c r="I81" s="256"/>
      <c r="J81" s="256"/>
      <c r="K81" s="256"/>
      <c r="L81" s="256"/>
      <c r="M81" s="256"/>
      <c r="N81" s="256"/>
      <c r="O81" s="256"/>
      <c r="P81" s="256"/>
      <c r="Q81" s="256"/>
      <c r="R81" s="256"/>
      <c r="S81" s="256"/>
      <c r="T81" s="78"/>
      <c r="U81" s="350"/>
      <c r="V81" s="350"/>
      <c r="W81" s="350"/>
      <c r="X81" s="350"/>
      <c r="Y81" s="350"/>
      <c r="Z81" s="350"/>
      <c r="AA81" s="350"/>
      <c r="AB81" s="350"/>
      <c r="AC81" s="350"/>
      <c r="AD81" s="350"/>
      <c r="AE81" s="350"/>
      <c r="AF81" s="78"/>
      <c r="AG81" s="78"/>
      <c r="AH81" s="402" t="str">
        <f>BR48</f>
        <v>Петров С.Н.</v>
      </c>
      <c r="AI81" s="402"/>
      <c r="AJ81" s="402"/>
      <c r="AK81" s="402"/>
      <c r="AL81" s="402"/>
      <c r="AM81" s="402"/>
      <c r="AN81" s="402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98"/>
      <c r="BO81" s="78"/>
      <c r="BP81" s="367" t="s">
        <v>199</v>
      </c>
      <c r="BQ81" s="367"/>
      <c r="BR81" s="367"/>
      <c r="BS81" s="367"/>
      <c r="BT81" s="367"/>
      <c r="BU81" s="367"/>
      <c r="BV81" s="367"/>
      <c r="BW81" s="367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453"/>
      <c r="CQ81" s="453"/>
      <c r="CR81" s="453"/>
      <c r="CS81" s="453"/>
      <c r="CT81" s="453"/>
      <c r="CU81" s="453"/>
      <c r="CV81" s="453"/>
      <c r="CW81" s="453"/>
      <c r="CX81" s="453"/>
      <c r="CY81" s="453"/>
      <c r="CZ81" s="453"/>
      <c r="DA81" s="78"/>
      <c r="DB81" s="78"/>
      <c r="DC81" s="455" t="str">
        <f>FI42</f>
        <v>Сундеев В.И.</v>
      </c>
      <c r="DD81" s="455"/>
      <c r="DE81" s="455"/>
      <c r="DF81" s="455"/>
      <c r="DG81" s="455"/>
      <c r="DH81" s="455"/>
      <c r="DI81" s="455"/>
      <c r="DJ81" s="455"/>
      <c r="DK81" s="455"/>
      <c r="DL81" s="455"/>
      <c r="DM81" s="455"/>
      <c r="DN81" s="455"/>
      <c r="DO81" s="455"/>
      <c r="DP81" s="455"/>
      <c r="DQ81" s="455"/>
      <c r="DR81" s="455"/>
      <c r="DS81" s="455"/>
      <c r="DT81" s="455"/>
      <c r="DU81" s="455"/>
      <c r="DV81" s="455"/>
      <c r="DW81" s="455"/>
      <c r="DX81" s="455"/>
      <c r="DY81" s="80"/>
      <c r="DZ81" s="78"/>
      <c r="EA81" s="78"/>
      <c r="EB81" s="456" t="s">
        <v>200</v>
      </c>
      <c r="EC81" s="367"/>
      <c r="ED81" s="367"/>
      <c r="EE81" s="367"/>
      <c r="EF81" s="367"/>
      <c r="EG81" s="367"/>
      <c r="EH81" s="367"/>
      <c r="EI81" s="367"/>
      <c r="EJ81" s="367"/>
      <c r="EK81" s="367"/>
      <c r="EL81" s="367"/>
      <c r="EM81" s="367"/>
      <c r="EN81" s="367"/>
      <c r="EO81" s="367"/>
      <c r="EP81" s="367"/>
      <c r="EQ81" s="367"/>
      <c r="ER81" s="367"/>
      <c r="ES81" s="367"/>
      <c r="ET81" s="367"/>
      <c r="EU81" s="367"/>
      <c r="EV81" s="367"/>
      <c r="EW81" s="78"/>
      <c r="EX81" s="367"/>
      <c r="EY81" s="367"/>
      <c r="EZ81" s="367"/>
      <c r="FA81" s="367"/>
      <c r="FB81" s="367"/>
      <c r="FC81" s="367"/>
      <c r="FD81" s="367"/>
      <c r="FE81" s="367"/>
      <c r="FF81" s="367"/>
      <c r="FG81" s="367"/>
      <c r="FH81" s="367"/>
      <c r="FI81" s="367"/>
      <c r="FJ81" s="367"/>
      <c r="FK81" s="367"/>
      <c r="FL81" s="367"/>
      <c r="FM81" s="367"/>
      <c r="FN81" s="367"/>
      <c r="FO81" s="367"/>
      <c r="FP81" s="367"/>
      <c r="FQ81" s="367"/>
      <c r="FR81" s="367"/>
      <c r="FS81" s="367"/>
      <c r="FT81" s="367"/>
      <c r="FU81" s="367"/>
      <c r="FV81" s="367"/>
      <c r="FW81" s="367"/>
      <c r="FX81" s="367"/>
      <c r="FY81" s="367"/>
      <c r="FZ81" s="367"/>
      <c r="GA81" s="367"/>
      <c r="GB81" s="367"/>
      <c r="GC81" s="367"/>
      <c r="GD81" s="367"/>
      <c r="GE81" s="367"/>
      <c r="GF81" s="367"/>
      <c r="GG81" s="367"/>
      <c r="GH81" s="367"/>
      <c r="GI81" s="42"/>
    </row>
    <row r="82" spans="1:191" ht="3" customHeight="1" x14ac:dyDescent="0.3">
      <c r="A82" s="78"/>
      <c r="B82" s="78"/>
      <c r="C82" s="78"/>
      <c r="D82" s="78"/>
      <c r="E82" s="78"/>
      <c r="F82" s="78"/>
      <c r="G82" s="78"/>
      <c r="H82" s="78"/>
      <c r="I82" s="398" t="s">
        <v>121</v>
      </c>
      <c r="J82" s="398"/>
      <c r="K82" s="398"/>
      <c r="L82" s="398"/>
      <c r="M82" s="398"/>
      <c r="N82" s="398"/>
      <c r="O82" s="398"/>
      <c r="P82" s="398"/>
      <c r="Q82" s="398"/>
      <c r="R82" s="398"/>
      <c r="S82" s="106"/>
      <c r="T82" s="106"/>
      <c r="U82" s="404" t="s">
        <v>122</v>
      </c>
      <c r="V82" s="404"/>
      <c r="W82" s="404"/>
      <c r="X82" s="404"/>
      <c r="Y82" s="404"/>
      <c r="Z82" s="404"/>
      <c r="AA82" s="404"/>
      <c r="AB82" s="404"/>
      <c r="AC82" s="404"/>
      <c r="AD82" s="404"/>
      <c r="AE82" s="404"/>
      <c r="AF82" s="106"/>
      <c r="AG82" s="106"/>
      <c r="AH82" s="404" t="s">
        <v>126</v>
      </c>
      <c r="AI82" s="404"/>
      <c r="AJ82" s="404"/>
      <c r="AK82" s="404"/>
      <c r="AL82" s="404"/>
      <c r="AM82" s="404"/>
      <c r="AN82" s="404"/>
      <c r="AO82" s="404"/>
      <c r="AP82" s="404"/>
      <c r="AQ82" s="404"/>
      <c r="AR82" s="404"/>
      <c r="AS82" s="404"/>
      <c r="AT82" s="404"/>
      <c r="AU82" s="404"/>
      <c r="AV82" s="404"/>
      <c r="AW82" s="404"/>
      <c r="AX82" s="404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98"/>
      <c r="BO82" s="78"/>
      <c r="BP82" s="367"/>
      <c r="BQ82" s="367"/>
      <c r="BR82" s="367"/>
      <c r="BS82" s="367"/>
      <c r="BT82" s="367"/>
      <c r="BU82" s="367"/>
      <c r="BV82" s="367"/>
      <c r="BW82" s="367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/>
      <c r="CZ82" s="454"/>
      <c r="DA82" s="107"/>
      <c r="DB82" s="107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86"/>
      <c r="DZ82" s="78"/>
      <c r="EA82" s="78"/>
      <c r="EB82" s="456"/>
      <c r="EC82" s="367"/>
      <c r="ED82" s="367"/>
      <c r="EE82" s="367"/>
      <c r="EF82" s="367"/>
      <c r="EG82" s="367"/>
      <c r="EH82" s="367"/>
      <c r="EI82" s="367"/>
      <c r="EJ82" s="367"/>
      <c r="EK82" s="367"/>
      <c r="EL82" s="367"/>
      <c r="EM82" s="367"/>
      <c r="EN82" s="367"/>
      <c r="EO82" s="367"/>
      <c r="EP82" s="367"/>
      <c r="EQ82" s="367"/>
      <c r="ER82" s="367"/>
      <c r="ES82" s="367"/>
      <c r="ET82" s="367"/>
      <c r="EU82" s="367"/>
      <c r="EV82" s="367"/>
      <c r="EW82" s="78"/>
      <c r="EX82" s="367"/>
      <c r="EY82" s="367"/>
      <c r="EZ82" s="367"/>
      <c r="FA82" s="367"/>
      <c r="FB82" s="367"/>
      <c r="FC82" s="367"/>
      <c r="FD82" s="367"/>
      <c r="FE82" s="367"/>
      <c r="FF82" s="367"/>
      <c r="FG82" s="367"/>
      <c r="FH82" s="367"/>
      <c r="FI82" s="367"/>
      <c r="FJ82" s="367"/>
      <c r="FK82" s="367"/>
      <c r="FL82" s="367"/>
      <c r="FM82" s="367"/>
      <c r="FN82" s="367"/>
      <c r="FO82" s="367"/>
      <c r="FP82" s="367"/>
      <c r="FQ82" s="367"/>
      <c r="FR82" s="367"/>
      <c r="FS82" s="367"/>
      <c r="FT82" s="367"/>
      <c r="FU82" s="367"/>
      <c r="FV82" s="367"/>
      <c r="FW82" s="367"/>
      <c r="FX82" s="367"/>
      <c r="FY82" s="367"/>
      <c r="FZ82" s="367"/>
      <c r="GA82" s="367"/>
      <c r="GB82" s="367"/>
      <c r="GC82" s="367"/>
      <c r="GD82" s="367"/>
      <c r="GE82" s="367"/>
      <c r="GF82" s="367"/>
      <c r="GG82" s="367"/>
      <c r="GH82" s="367"/>
      <c r="GI82" s="42"/>
    </row>
    <row r="83" spans="1:191" ht="2.4" customHeight="1" x14ac:dyDescent="0.3">
      <c r="A83" s="78"/>
      <c r="B83" s="78"/>
      <c r="C83" s="78"/>
      <c r="D83" s="78"/>
      <c r="E83" s="78"/>
      <c r="F83" s="78"/>
      <c r="G83" s="78"/>
      <c r="H83" s="78"/>
      <c r="I83" s="398"/>
      <c r="J83" s="398"/>
      <c r="K83" s="398"/>
      <c r="L83" s="398"/>
      <c r="M83" s="398"/>
      <c r="N83" s="398"/>
      <c r="O83" s="398"/>
      <c r="P83" s="398"/>
      <c r="Q83" s="398"/>
      <c r="R83" s="398"/>
      <c r="S83" s="96"/>
      <c r="T83" s="96"/>
      <c r="U83" s="398"/>
      <c r="V83" s="398"/>
      <c r="W83" s="398"/>
      <c r="X83" s="398"/>
      <c r="Y83" s="398"/>
      <c r="Z83" s="398"/>
      <c r="AA83" s="398"/>
      <c r="AB83" s="398"/>
      <c r="AC83" s="398"/>
      <c r="AD83" s="398"/>
      <c r="AE83" s="398"/>
      <c r="AF83" s="96"/>
      <c r="AG83" s="96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  <c r="AR83" s="398"/>
      <c r="AS83" s="398"/>
      <c r="AT83" s="398"/>
      <c r="AU83" s="398"/>
      <c r="AV83" s="398"/>
      <c r="AW83" s="398"/>
      <c r="AX83" s="39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9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86"/>
      <c r="CM83" s="86"/>
      <c r="CN83" s="86"/>
      <c r="CO83" s="86"/>
      <c r="CP83" s="404" t="s">
        <v>122</v>
      </c>
      <c r="CQ83" s="404"/>
      <c r="CR83" s="404"/>
      <c r="CS83" s="404"/>
      <c r="CT83" s="404"/>
      <c r="CU83" s="404"/>
      <c r="CV83" s="404"/>
      <c r="CW83" s="404"/>
      <c r="CX83" s="404"/>
      <c r="CY83" s="404"/>
      <c r="CZ83" s="404"/>
      <c r="DA83" s="96"/>
      <c r="DB83" s="96"/>
      <c r="DC83" s="404" t="s">
        <v>126</v>
      </c>
      <c r="DD83" s="404"/>
      <c r="DE83" s="404"/>
      <c r="DF83" s="404"/>
      <c r="DG83" s="404"/>
      <c r="DH83" s="404"/>
      <c r="DI83" s="404"/>
      <c r="DJ83" s="404"/>
      <c r="DK83" s="404"/>
      <c r="DL83" s="404"/>
      <c r="DM83" s="404"/>
      <c r="DN83" s="404"/>
      <c r="DO83" s="404"/>
      <c r="DP83" s="404"/>
      <c r="DQ83" s="404"/>
      <c r="DR83" s="404"/>
      <c r="DS83" s="404"/>
      <c r="DT83" s="404"/>
      <c r="DU83" s="404"/>
      <c r="DV83" s="404"/>
      <c r="DW83" s="404"/>
      <c r="DX83" s="404"/>
      <c r="DY83" s="86"/>
      <c r="DZ83" s="78"/>
      <c r="EA83" s="78"/>
      <c r="EB83" s="456"/>
      <c r="EC83" s="367"/>
      <c r="ED83" s="367"/>
      <c r="EE83" s="367"/>
      <c r="EF83" s="367"/>
      <c r="EG83" s="367"/>
      <c r="EH83" s="367"/>
      <c r="EI83" s="367"/>
      <c r="EJ83" s="367"/>
      <c r="EK83" s="367"/>
      <c r="EL83" s="367"/>
      <c r="EM83" s="367"/>
      <c r="EN83" s="367"/>
      <c r="EO83" s="367"/>
      <c r="EP83" s="367"/>
      <c r="EQ83" s="367"/>
      <c r="ER83" s="367"/>
      <c r="ES83" s="367"/>
      <c r="ET83" s="367"/>
      <c r="EU83" s="367"/>
      <c r="EV83" s="367"/>
      <c r="EW83" s="78"/>
      <c r="EX83" s="457"/>
      <c r="EY83" s="457"/>
      <c r="EZ83" s="457"/>
      <c r="FA83" s="457"/>
      <c r="FB83" s="457"/>
      <c r="FC83" s="457"/>
      <c r="FD83" s="457"/>
      <c r="FE83" s="457"/>
      <c r="FF83" s="457"/>
      <c r="FG83" s="457"/>
      <c r="FH83" s="457"/>
      <c r="FI83" s="457"/>
      <c r="FJ83" s="457"/>
      <c r="FK83" s="457"/>
      <c r="FL83" s="457"/>
      <c r="FM83" s="457"/>
      <c r="FN83" s="457"/>
      <c r="FO83" s="457"/>
      <c r="FP83" s="457"/>
      <c r="FQ83" s="457"/>
      <c r="FR83" s="457"/>
      <c r="FS83" s="457"/>
      <c r="FT83" s="457"/>
      <c r="FU83" s="457"/>
      <c r="FV83" s="457"/>
      <c r="FW83" s="457"/>
      <c r="FX83" s="457"/>
      <c r="FY83" s="457"/>
      <c r="FZ83" s="457"/>
      <c r="GA83" s="457"/>
      <c r="GB83" s="457"/>
      <c r="GC83" s="457"/>
      <c r="GD83" s="457"/>
      <c r="GE83" s="457"/>
      <c r="GF83" s="457"/>
      <c r="GG83" s="457"/>
      <c r="GH83" s="457"/>
      <c r="GI83" s="42"/>
    </row>
    <row r="84" spans="1:191" ht="2.4" customHeight="1" x14ac:dyDescent="0.3">
      <c r="A84" s="367" t="s">
        <v>201</v>
      </c>
      <c r="B84" s="367"/>
      <c r="C84" s="367"/>
      <c r="D84" s="367"/>
      <c r="E84" s="367"/>
      <c r="F84" s="367"/>
      <c r="G84" s="367"/>
      <c r="H84" s="367"/>
      <c r="I84" s="367"/>
      <c r="J84" s="367"/>
      <c r="K84" s="367"/>
      <c r="L84" s="367"/>
      <c r="M84" s="367"/>
      <c r="N84" s="367"/>
      <c r="O84" s="367"/>
      <c r="P84" s="367"/>
      <c r="Q84" s="367"/>
      <c r="R84" s="367"/>
      <c r="S84" s="367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9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398"/>
      <c r="CQ84" s="398"/>
      <c r="CR84" s="398"/>
      <c r="CS84" s="398"/>
      <c r="CT84" s="398"/>
      <c r="CU84" s="398"/>
      <c r="CV84" s="398"/>
      <c r="CW84" s="398"/>
      <c r="CX84" s="398"/>
      <c r="CY84" s="398"/>
      <c r="CZ84" s="398"/>
      <c r="DA84" s="96"/>
      <c r="DB84" s="96"/>
      <c r="DC84" s="398"/>
      <c r="DD84" s="398"/>
      <c r="DE84" s="398"/>
      <c r="DF84" s="398"/>
      <c r="DG84" s="398"/>
      <c r="DH84" s="398"/>
      <c r="DI84" s="398"/>
      <c r="DJ84" s="398"/>
      <c r="DK84" s="398"/>
      <c r="DL84" s="398"/>
      <c r="DM84" s="398"/>
      <c r="DN84" s="398"/>
      <c r="DO84" s="398"/>
      <c r="DP84" s="398"/>
      <c r="DQ84" s="398"/>
      <c r="DR84" s="398"/>
      <c r="DS84" s="398"/>
      <c r="DT84" s="398"/>
      <c r="DU84" s="398"/>
      <c r="DV84" s="398"/>
      <c r="DW84" s="398"/>
      <c r="DX84" s="398"/>
      <c r="DY84" s="78"/>
      <c r="DZ84" s="78"/>
      <c r="EA84" s="78"/>
      <c r="EB84" s="102"/>
      <c r="EC84" s="367"/>
      <c r="ED84" s="367"/>
      <c r="EE84" s="367"/>
      <c r="EF84" s="367"/>
      <c r="EG84" s="367"/>
      <c r="EH84" s="367"/>
      <c r="EI84" s="367"/>
      <c r="EJ84" s="367"/>
      <c r="EK84" s="367"/>
      <c r="EL84" s="367"/>
      <c r="EM84" s="367"/>
      <c r="EN84" s="367"/>
      <c r="EO84" s="367"/>
      <c r="EP84" s="367"/>
      <c r="EQ84" s="367"/>
      <c r="ER84" s="367"/>
      <c r="ES84" s="367"/>
      <c r="ET84" s="367"/>
      <c r="EU84" s="367"/>
      <c r="EV84" s="367"/>
      <c r="EW84" s="367"/>
      <c r="EX84" s="367"/>
      <c r="EY84" s="367"/>
      <c r="EZ84" s="367"/>
      <c r="FA84" s="367"/>
      <c r="FB84" s="367"/>
      <c r="FC84" s="367"/>
      <c r="FD84" s="367"/>
      <c r="FE84" s="367"/>
      <c r="FF84" s="367"/>
      <c r="FG84" s="367"/>
      <c r="FH84" s="367"/>
      <c r="FI84" s="367"/>
      <c r="FJ84" s="367"/>
      <c r="FK84" s="367"/>
      <c r="FL84" s="367"/>
      <c r="FM84" s="367"/>
      <c r="FN84" s="367"/>
      <c r="FO84" s="367"/>
      <c r="FP84" s="367"/>
      <c r="FQ84" s="367"/>
      <c r="FR84" s="367"/>
      <c r="FS84" s="367"/>
      <c r="FT84" s="367"/>
      <c r="FU84" s="367"/>
      <c r="FV84" s="367"/>
      <c r="FW84" s="367"/>
      <c r="FX84" s="367"/>
      <c r="FY84" s="367"/>
      <c r="FZ84" s="367"/>
      <c r="GA84" s="367"/>
      <c r="GB84" s="367"/>
      <c r="GC84" s="367"/>
      <c r="GD84" s="367"/>
      <c r="GE84" s="367"/>
      <c r="GF84" s="367"/>
      <c r="GG84" s="367"/>
      <c r="GH84" s="367"/>
      <c r="GI84" s="42"/>
    </row>
    <row r="85" spans="1:191" x14ac:dyDescent="0.3">
      <c r="A85" s="367"/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108"/>
      <c r="BD85" s="108"/>
      <c r="BE85" s="458" t="s">
        <v>202</v>
      </c>
      <c r="BF85" s="458"/>
      <c r="BG85" s="458"/>
      <c r="BH85" s="458"/>
      <c r="BI85" s="458"/>
      <c r="BJ85" s="458"/>
      <c r="BK85" s="458"/>
      <c r="BL85" s="458"/>
      <c r="BM85" s="458"/>
      <c r="BN85" s="98"/>
      <c r="BO85" s="78"/>
      <c r="BP85" s="78"/>
      <c r="BQ85" s="78"/>
      <c r="BR85" s="78"/>
      <c r="BS85" s="78"/>
      <c r="BT85" s="78"/>
      <c r="BU85" s="78"/>
      <c r="BV85" s="78"/>
      <c r="BW85" s="78"/>
      <c r="BX85" s="78"/>
      <c r="BY85" s="78"/>
      <c r="BZ85" s="78"/>
      <c r="CA85" s="78"/>
      <c r="CB85" s="78"/>
      <c r="CC85" s="78"/>
      <c r="CD85" s="78"/>
      <c r="CE85" s="78"/>
      <c r="CF85" s="78"/>
      <c r="CG85" s="78"/>
      <c r="CH85" s="78"/>
      <c r="CI85" s="78"/>
      <c r="CJ85" s="78"/>
      <c r="CK85" s="78"/>
      <c r="CL85" s="78"/>
      <c r="CM85" s="78"/>
      <c r="CN85" s="78"/>
      <c r="CO85" s="78"/>
      <c r="CP85" s="78"/>
      <c r="CQ85" s="78"/>
      <c r="CR85" s="78"/>
      <c r="CS85" s="78"/>
      <c r="CT85" s="78"/>
      <c r="CU85" s="78"/>
      <c r="CV85" s="78"/>
      <c r="CW85" s="78"/>
      <c r="CX85" s="78"/>
      <c r="CY85" s="78"/>
      <c r="CZ85" s="78"/>
      <c r="DA85" s="78"/>
      <c r="DB85" s="78"/>
      <c r="DC85" s="78"/>
      <c r="DD85" s="78"/>
      <c r="DE85" s="78"/>
      <c r="DF85" s="78"/>
      <c r="DG85" s="78"/>
      <c r="DH85" s="78"/>
      <c r="DI85" s="78"/>
      <c r="DJ85" s="78"/>
      <c r="DK85" s="78"/>
      <c r="DL85" s="78"/>
      <c r="DM85" s="78"/>
      <c r="DN85" s="78"/>
      <c r="DO85" s="78"/>
      <c r="DP85" s="78"/>
      <c r="DQ85" s="78"/>
      <c r="DR85" s="458" t="s">
        <v>202</v>
      </c>
      <c r="DS85" s="458"/>
      <c r="DT85" s="458"/>
      <c r="DU85" s="458"/>
      <c r="DV85" s="458"/>
      <c r="DW85" s="458"/>
      <c r="DX85" s="458"/>
      <c r="DY85" s="458"/>
      <c r="DZ85" s="458"/>
      <c r="EA85" s="78"/>
      <c r="EB85" s="102"/>
      <c r="EC85" s="457"/>
      <c r="ED85" s="457"/>
      <c r="EE85" s="457"/>
      <c r="EF85" s="457"/>
      <c r="EG85" s="457"/>
      <c r="EH85" s="457"/>
      <c r="EI85" s="457"/>
      <c r="EJ85" s="457"/>
      <c r="EK85" s="457"/>
      <c r="EL85" s="457"/>
      <c r="EM85" s="457"/>
      <c r="EN85" s="457"/>
      <c r="EO85" s="457"/>
      <c r="EP85" s="457"/>
      <c r="EQ85" s="457"/>
      <c r="ER85" s="457"/>
      <c r="ES85" s="457"/>
      <c r="ET85" s="457"/>
      <c r="EU85" s="457"/>
      <c r="EV85" s="457"/>
      <c r="EW85" s="457"/>
      <c r="EX85" s="457"/>
      <c r="EY85" s="457"/>
      <c r="EZ85" s="457"/>
      <c r="FA85" s="457"/>
      <c r="FB85" s="457"/>
      <c r="FC85" s="457"/>
      <c r="FD85" s="457"/>
      <c r="FE85" s="457"/>
      <c r="FF85" s="457"/>
      <c r="FG85" s="457"/>
      <c r="FH85" s="457"/>
      <c r="FI85" s="457"/>
      <c r="FJ85" s="457"/>
      <c r="FK85" s="457"/>
      <c r="FL85" s="457"/>
      <c r="FM85" s="457"/>
      <c r="FN85" s="457"/>
      <c r="FO85" s="457"/>
      <c r="FP85" s="457"/>
      <c r="FQ85" s="457"/>
      <c r="FR85" s="457"/>
      <c r="FS85" s="457"/>
      <c r="FT85" s="457"/>
      <c r="FU85" s="457"/>
      <c r="FV85" s="457"/>
      <c r="FW85" s="457"/>
      <c r="FX85" s="457"/>
      <c r="FY85" s="457"/>
      <c r="FZ85" s="457"/>
      <c r="GA85" s="457"/>
      <c r="GB85" s="457"/>
      <c r="GC85" s="457"/>
      <c r="GD85" s="457"/>
      <c r="GE85" s="457"/>
      <c r="GF85" s="457"/>
      <c r="GG85" s="457"/>
      <c r="GH85" s="457"/>
      <c r="GI85" s="42"/>
    </row>
    <row r="86" spans="1:191" ht="11.4" customHeight="1" x14ac:dyDescent="0.3">
      <c r="A86" s="78" t="s">
        <v>203</v>
      </c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350"/>
      <c r="O86" s="350"/>
      <c r="P86" s="350"/>
      <c r="Q86" s="350"/>
      <c r="R86" s="350"/>
      <c r="S86" s="350"/>
      <c r="T86" s="350"/>
      <c r="U86" s="350"/>
      <c r="V86" s="350"/>
      <c r="W86" s="350"/>
      <c r="X86" s="350"/>
      <c r="Y86" s="78"/>
      <c r="Z86" s="78"/>
      <c r="AA86" s="402" t="str">
        <f>FI42</f>
        <v>Сундеев В.И.</v>
      </c>
      <c r="AB86" s="402"/>
      <c r="AC86" s="402"/>
      <c r="AD86" s="402"/>
      <c r="AE86" s="402"/>
      <c r="AF86" s="402"/>
      <c r="AG86" s="402"/>
      <c r="AH86" s="402"/>
      <c r="AI86" s="402"/>
      <c r="AJ86" s="402"/>
      <c r="AK86" s="402"/>
      <c r="AL86" s="402"/>
      <c r="AM86" s="402"/>
      <c r="AN86" s="402"/>
      <c r="AO86" s="402"/>
      <c r="AP86" s="402"/>
      <c r="AQ86" s="402"/>
      <c r="AR86" s="402"/>
      <c r="AS86" s="402"/>
      <c r="AT86" s="402"/>
      <c r="AU86" s="402"/>
      <c r="AV86" s="402"/>
      <c r="AW86" s="78"/>
      <c r="AX86" s="78"/>
      <c r="AY86" s="78"/>
      <c r="AZ86" s="78"/>
      <c r="BA86" s="78"/>
      <c r="BB86" s="78"/>
      <c r="BC86" s="108"/>
      <c r="BD86" s="108"/>
      <c r="BE86" s="458"/>
      <c r="BF86" s="458"/>
      <c r="BG86" s="458"/>
      <c r="BH86" s="458"/>
      <c r="BI86" s="458"/>
      <c r="BJ86" s="458"/>
      <c r="BK86" s="458"/>
      <c r="BL86" s="458"/>
      <c r="BM86" s="458"/>
      <c r="BN86" s="98"/>
      <c r="BO86" s="78"/>
      <c r="BP86" s="78" t="s">
        <v>204</v>
      </c>
      <c r="BQ86" s="78"/>
      <c r="BR86" s="78"/>
      <c r="BS86" s="78"/>
      <c r="BT86" s="78"/>
      <c r="BU86" s="78"/>
      <c r="BV86" s="78"/>
      <c r="BW86" s="78"/>
      <c r="BX86" s="78"/>
      <c r="BY86" s="642" t="s">
        <v>336</v>
      </c>
      <c r="BZ86" s="642"/>
      <c r="CA86" s="642"/>
      <c r="CB86" s="642"/>
      <c r="CC86" s="642"/>
      <c r="CD86" s="642"/>
      <c r="CE86" s="642"/>
      <c r="CF86" s="642"/>
      <c r="CG86" s="642"/>
      <c r="CH86" s="642"/>
      <c r="CI86" s="642"/>
      <c r="CJ86" s="642"/>
      <c r="CK86" s="642"/>
      <c r="CL86" s="144"/>
      <c r="CM86" s="642"/>
      <c r="CN86" s="642"/>
      <c r="CO86" s="642"/>
      <c r="CP86" s="642"/>
      <c r="CQ86" s="642"/>
      <c r="CR86" s="642"/>
      <c r="CS86" s="642"/>
      <c r="CT86" s="642"/>
      <c r="CU86" s="642"/>
      <c r="CV86" s="642"/>
      <c r="CW86" s="642"/>
      <c r="CX86" s="642"/>
      <c r="CY86" s="144"/>
      <c r="CZ86" s="642" t="s">
        <v>337</v>
      </c>
      <c r="DA86" s="642"/>
      <c r="DB86" s="642"/>
      <c r="DC86" s="642"/>
      <c r="DD86" s="642"/>
      <c r="DE86" s="642"/>
      <c r="DF86" s="642"/>
      <c r="DG86" s="642"/>
      <c r="DH86" s="642"/>
      <c r="DI86" s="642"/>
      <c r="DJ86" s="642"/>
      <c r="DK86" s="642"/>
      <c r="DL86" s="642"/>
      <c r="DM86" s="642"/>
      <c r="DN86" s="642"/>
      <c r="DO86" s="642"/>
      <c r="DP86" s="642"/>
      <c r="DQ86" s="109"/>
      <c r="DR86" s="458"/>
      <c r="DS86" s="458"/>
      <c r="DT86" s="458"/>
      <c r="DU86" s="458"/>
      <c r="DV86" s="458"/>
      <c r="DW86" s="458"/>
      <c r="DX86" s="458"/>
      <c r="DY86" s="458"/>
      <c r="DZ86" s="458"/>
      <c r="EA86" s="109"/>
      <c r="EB86" s="102"/>
      <c r="EC86" s="459"/>
      <c r="ED86" s="459"/>
      <c r="EE86" s="459"/>
      <c r="EF86" s="459"/>
      <c r="EG86" s="459"/>
      <c r="EH86" s="459"/>
      <c r="EI86" s="459"/>
      <c r="EJ86" s="459"/>
      <c r="EK86" s="459"/>
      <c r="EL86" s="459"/>
      <c r="EM86" s="459"/>
      <c r="EN86" s="459"/>
      <c r="EO86" s="459"/>
      <c r="EP86" s="459"/>
      <c r="EQ86" s="459"/>
      <c r="ER86" s="459"/>
      <c r="ES86" s="459"/>
      <c r="ET86" s="459"/>
      <c r="EU86" s="459"/>
      <c r="EV86" s="459"/>
      <c r="EW86" s="459"/>
      <c r="EX86" s="459"/>
      <c r="EY86" s="459"/>
      <c r="EZ86" s="459"/>
      <c r="FA86" s="459"/>
      <c r="FB86" s="459"/>
      <c r="FC86" s="459"/>
      <c r="FD86" s="459"/>
      <c r="FE86" s="459"/>
      <c r="FF86" s="459"/>
      <c r="FG86" s="459"/>
      <c r="FH86" s="459"/>
      <c r="FI86" s="459"/>
      <c r="FJ86" s="459"/>
      <c r="FK86" s="459"/>
      <c r="FL86" s="459"/>
      <c r="FM86" s="459"/>
      <c r="FN86" s="459"/>
      <c r="FO86" s="459"/>
      <c r="FP86" s="459"/>
      <c r="FQ86" s="459"/>
      <c r="FR86" s="459"/>
      <c r="FS86" s="459"/>
      <c r="FT86" s="459"/>
      <c r="FU86" s="459"/>
      <c r="FV86" s="459"/>
      <c r="FW86" s="459"/>
      <c r="FX86" s="459"/>
      <c r="FY86" s="459"/>
      <c r="FZ86" s="459"/>
      <c r="GA86" s="459"/>
      <c r="GB86" s="459"/>
      <c r="GC86" s="459"/>
      <c r="GD86" s="459"/>
      <c r="GE86" s="459"/>
      <c r="GF86" s="459"/>
      <c r="GG86" s="459"/>
      <c r="GH86" s="459"/>
      <c r="GI86" s="42"/>
    </row>
    <row r="87" spans="1:191" s="62" customFormat="1" ht="4.2" customHeight="1" x14ac:dyDescent="0.3">
      <c r="A87" s="96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389" t="s">
        <v>122</v>
      </c>
      <c r="O87" s="389"/>
      <c r="P87" s="389"/>
      <c r="Q87" s="389"/>
      <c r="R87" s="389"/>
      <c r="S87" s="389"/>
      <c r="T87" s="389"/>
      <c r="U87" s="389"/>
      <c r="V87" s="389"/>
      <c r="W87" s="389"/>
      <c r="X87" s="389"/>
      <c r="Y87" s="106"/>
      <c r="Z87" s="106"/>
      <c r="AA87" s="389"/>
      <c r="AB87" s="389"/>
      <c r="AC87" s="389"/>
      <c r="AD87" s="389"/>
      <c r="AE87" s="389"/>
      <c r="AF87" s="389"/>
      <c r="AG87" s="389"/>
      <c r="AH87" s="389"/>
      <c r="AI87" s="389"/>
      <c r="AJ87" s="389"/>
      <c r="AK87" s="389"/>
      <c r="AL87" s="389"/>
      <c r="AM87" s="389"/>
      <c r="AN87" s="389"/>
      <c r="AO87" s="389"/>
      <c r="AP87" s="389"/>
      <c r="AQ87" s="389"/>
      <c r="AR87" s="389"/>
      <c r="AS87" s="389"/>
      <c r="AT87" s="389"/>
      <c r="AU87" s="389"/>
      <c r="AV87" s="389"/>
      <c r="AW87" s="96"/>
      <c r="AX87" s="96"/>
      <c r="AY87" s="96"/>
      <c r="AZ87" s="96"/>
      <c r="BA87" s="96"/>
      <c r="BB87" s="96"/>
      <c r="BC87" s="110"/>
      <c r="BD87" s="110"/>
      <c r="BE87" s="458"/>
      <c r="BF87" s="458"/>
      <c r="BG87" s="458"/>
      <c r="BH87" s="458"/>
      <c r="BI87" s="458"/>
      <c r="BJ87" s="458"/>
      <c r="BK87" s="458"/>
      <c r="BL87" s="458"/>
      <c r="BM87" s="458"/>
      <c r="BN87" s="111"/>
      <c r="BO87" s="96"/>
      <c r="BP87" s="96"/>
      <c r="BQ87" s="96"/>
      <c r="BR87" s="96"/>
      <c r="BS87" s="96"/>
      <c r="BT87" s="96"/>
      <c r="BU87" s="96"/>
      <c r="BV87" s="96"/>
      <c r="BW87" s="96"/>
      <c r="BX87" s="96"/>
      <c r="BY87" s="461" t="s">
        <v>121</v>
      </c>
      <c r="BZ87" s="461"/>
      <c r="CA87" s="461"/>
      <c r="CB87" s="461"/>
      <c r="CC87" s="461"/>
      <c r="CD87" s="461"/>
      <c r="CE87" s="461"/>
      <c r="CF87" s="461"/>
      <c r="CG87" s="461"/>
      <c r="CH87" s="461"/>
      <c r="CI87" s="461"/>
      <c r="CJ87" s="461"/>
      <c r="CK87" s="461"/>
      <c r="CL87" s="106"/>
      <c r="CM87" s="461" t="s">
        <v>122</v>
      </c>
      <c r="CN87" s="461"/>
      <c r="CO87" s="461"/>
      <c r="CP87" s="461"/>
      <c r="CQ87" s="461"/>
      <c r="CR87" s="461"/>
      <c r="CS87" s="461"/>
      <c r="CT87" s="461"/>
      <c r="CU87" s="461"/>
      <c r="CV87" s="461"/>
      <c r="CW87" s="461"/>
      <c r="CX87" s="461"/>
      <c r="CY87" s="106"/>
      <c r="CZ87" s="461" t="s">
        <v>126</v>
      </c>
      <c r="DA87" s="461"/>
      <c r="DB87" s="461"/>
      <c r="DC87" s="461"/>
      <c r="DD87" s="461"/>
      <c r="DE87" s="461"/>
      <c r="DF87" s="461"/>
      <c r="DG87" s="461"/>
      <c r="DH87" s="461"/>
      <c r="DI87" s="461"/>
      <c r="DJ87" s="461"/>
      <c r="DK87" s="461"/>
      <c r="DL87" s="461"/>
      <c r="DM87" s="461"/>
      <c r="DN87" s="461"/>
      <c r="DO87" s="461"/>
      <c r="DP87" s="461"/>
      <c r="DQ87" s="112"/>
      <c r="DR87" s="458"/>
      <c r="DS87" s="458"/>
      <c r="DT87" s="458"/>
      <c r="DU87" s="458"/>
      <c r="DV87" s="458"/>
      <c r="DW87" s="458"/>
      <c r="DX87" s="458"/>
      <c r="DY87" s="458"/>
      <c r="DZ87" s="458"/>
      <c r="EA87" s="112"/>
      <c r="EB87" s="113"/>
      <c r="EC87" s="367"/>
      <c r="ED87" s="367"/>
      <c r="EE87" s="367"/>
      <c r="EF87" s="367"/>
      <c r="EG87" s="367"/>
      <c r="EH87" s="367"/>
      <c r="EI87" s="367"/>
      <c r="EJ87" s="367"/>
      <c r="EK87" s="367"/>
      <c r="EL87" s="367"/>
      <c r="EM87" s="367"/>
      <c r="EN87" s="367"/>
      <c r="EO87" s="367"/>
      <c r="EP87" s="367"/>
      <c r="EQ87" s="367"/>
      <c r="ER87" s="367"/>
      <c r="ES87" s="367"/>
      <c r="ET87" s="367"/>
      <c r="EU87" s="367"/>
      <c r="EV87" s="367"/>
      <c r="EW87" s="367"/>
      <c r="EX87" s="367"/>
      <c r="EY87" s="367"/>
      <c r="EZ87" s="367"/>
      <c r="FA87" s="367"/>
      <c r="FB87" s="367"/>
      <c r="FC87" s="367"/>
      <c r="FD87" s="367"/>
      <c r="FE87" s="367"/>
      <c r="FF87" s="367"/>
      <c r="FG87" s="367"/>
      <c r="FH87" s="367"/>
      <c r="FI87" s="367"/>
      <c r="FJ87" s="367"/>
      <c r="FK87" s="367"/>
      <c r="FL87" s="367"/>
      <c r="FM87" s="367"/>
      <c r="FN87" s="367"/>
      <c r="FO87" s="367"/>
      <c r="FP87" s="367"/>
      <c r="FQ87" s="367"/>
      <c r="FR87" s="367"/>
      <c r="FS87" s="367"/>
      <c r="FT87" s="367"/>
      <c r="FU87" s="367"/>
      <c r="FV87" s="367"/>
      <c r="FW87" s="367"/>
      <c r="FX87" s="367"/>
      <c r="FY87" s="367"/>
      <c r="FZ87" s="367"/>
      <c r="GA87" s="367"/>
      <c r="GB87" s="367"/>
      <c r="GC87" s="367"/>
      <c r="GD87" s="367"/>
      <c r="GE87" s="367"/>
      <c r="GF87" s="367"/>
      <c r="GG87" s="367"/>
      <c r="GH87" s="367"/>
      <c r="GI87" s="61"/>
    </row>
    <row r="88" spans="1:191" ht="4.2" customHeight="1" x14ac:dyDescent="0.3">
      <c r="A88" s="78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390"/>
      <c r="O88" s="390"/>
      <c r="P88" s="390"/>
      <c r="Q88" s="390"/>
      <c r="R88" s="390"/>
      <c r="S88" s="390"/>
      <c r="T88" s="390"/>
      <c r="U88" s="390"/>
      <c r="V88" s="390"/>
      <c r="W88" s="390"/>
      <c r="X88" s="390"/>
      <c r="Y88" s="114"/>
      <c r="Z88" s="114"/>
      <c r="AA88" s="390"/>
      <c r="AB88" s="390"/>
      <c r="AC88" s="390"/>
      <c r="AD88" s="390"/>
      <c r="AE88" s="390"/>
      <c r="AF88" s="390"/>
      <c r="AG88" s="390"/>
      <c r="AH88" s="390"/>
      <c r="AI88" s="390"/>
      <c r="AJ88" s="390"/>
      <c r="AK88" s="390"/>
      <c r="AL88" s="390"/>
      <c r="AM88" s="390"/>
      <c r="AN88" s="390"/>
      <c r="AO88" s="390"/>
      <c r="AP88" s="390"/>
      <c r="AQ88" s="390"/>
      <c r="AR88" s="390"/>
      <c r="AS88" s="390"/>
      <c r="AT88" s="390"/>
      <c r="AU88" s="390"/>
      <c r="AV88" s="390"/>
      <c r="AW88" s="78"/>
      <c r="AX88" s="78"/>
      <c r="AY88" s="78"/>
      <c r="AZ88" s="78"/>
      <c r="BA88" s="78"/>
      <c r="BB88" s="78"/>
      <c r="BC88" s="108"/>
      <c r="BD88" s="108"/>
      <c r="BE88" s="458"/>
      <c r="BF88" s="458"/>
      <c r="BG88" s="458"/>
      <c r="BH88" s="458"/>
      <c r="BI88" s="458"/>
      <c r="BJ88" s="458"/>
      <c r="BK88" s="458"/>
      <c r="BL88" s="458"/>
      <c r="BM88" s="45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462"/>
      <c r="BZ88" s="462"/>
      <c r="CA88" s="462"/>
      <c r="CB88" s="462"/>
      <c r="CC88" s="462"/>
      <c r="CD88" s="462"/>
      <c r="CE88" s="462"/>
      <c r="CF88" s="462"/>
      <c r="CG88" s="462"/>
      <c r="CH88" s="462"/>
      <c r="CI88" s="462"/>
      <c r="CJ88" s="462"/>
      <c r="CK88" s="462"/>
      <c r="CL88" s="114"/>
      <c r="CM88" s="462"/>
      <c r="CN88" s="462"/>
      <c r="CO88" s="462"/>
      <c r="CP88" s="462"/>
      <c r="CQ88" s="462"/>
      <c r="CR88" s="462"/>
      <c r="CS88" s="462"/>
      <c r="CT88" s="462"/>
      <c r="CU88" s="462"/>
      <c r="CV88" s="462"/>
      <c r="CW88" s="462"/>
      <c r="CX88" s="462"/>
      <c r="CY88" s="114"/>
      <c r="CZ88" s="462"/>
      <c r="DA88" s="462"/>
      <c r="DB88" s="462"/>
      <c r="DC88" s="462"/>
      <c r="DD88" s="462"/>
      <c r="DE88" s="462"/>
      <c r="DF88" s="462"/>
      <c r="DG88" s="462"/>
      <c r="DH88" s="462"/>
      <c r="DI88" s="462"/>
      <c r="DJ88" s="462"/>
      <c r="DK88" s="462"/>
      <c r="DL88" s="462"/>
      <c r="DM88" s="462"/>
      <c r="DN88" s="462"/>
      <c r="DO88" s="462"/>
      <c r="DP88" s="462"/>
      <c r="DQ88" s="109"/>
      <c r="DR88" s="458"/>
      <c r="DS88" s="458"/>
      <c r="DT88" s="458"/>
      <c r="DU88" s="458"/>
      <c r="DV88" s="458"/>
      <c r="DW88" s="458"/>
      <c r="DX88" s="458"/>
      <c r="DY88" s="458"/>
      <c r="DZ88" s="458"/>
      <c r="EA88" s="109"/>
      <c r="EB88" s="102"/>
      <c r="EC88" s="457"/>
      <c r="ED88" s="457"/>
      <c r="EE88" s="457"/>
      <c r="EF88" s="457"/>
      <c r="EG88" s="457"/>
      <c r="EH88" s="457"/>
      <c r="EI88" s="457"/>
      <c r="EJ88" s="457"/>
      <c r="EK88" s="457"/>
      <c r="EL88" s="457"/>
      <c r="EM88" s="457"/>
      <c r="EN88" s="457"/>
      <c r="EO88" s="457"/>
      <c r="EP88" s="457"/>
      <c r="EQ88" s="457"/>
      <c r="ER88" s="457"/>
      <c r="ES88" s="457"/>
      <c r="ET88" s="457"/>
      <c r="EU88" s="457"/>
      <c r="EV88" s="457"/>
      <c r="EW88" s="457"/>
      <c r="EX88" s="457"/>
      <c r="EY88" s="457"/>
      <c r="EZ88" s="457"/>
      <c r="FA88" s="457"/>
      <c r="FB88" s="457"/>
      <c r="FC88" s="457"/>
      <c r="FD88" s="457"/>
      <c r="FE88" s="457"/>
      <c r="FF88" s="457"/>
      <c r="FG88" s="457"/>
      <c r="FH88" s="457"/>
      <c r="FI88" s="457"/>
      <c r="FJ88" s="457"/>
      <c r="FK88" s="457"/>
      <c r="FL88" s="457"/>
      <c r="FM88" s="457"/>
      <c r="FN88" s="457"/>
      <c r="FO88" s="457"/>
      <c r="FP88" s="457"/>
      <c r="FQ88" s="457"/>
      <c r="FR88" s="457"/>
      <c r="FS88" s="457"/>
      <c r="FT88" s="457"/>
      <c r="FU88" s="457"/>
      <c r="FV88" s="457"/>
      <c r="FW88" s="457"/>
      <c r="FX88" s="457"/>
      <c r="FY88" s="457"/>
      <c r="FZ88" s="457"/>
      <c r="GA88" s="457"/>
      <c r="GB88" s="457"/>
      <c r="GC88" s="457"/>
      <c r="GD88" s="457"/>
      <c r="GE88" s="457"/>
      <c r="GF88" s="457"/>
      <c r="GG88" s="457"/>
      <c r="GH88" s="457"/>
      <c r="GI88" s="42"/>
    </row>
    <row r="89" spans="1:191" ht="4.2" customHeight="1" thickBot="1" x14ac:dyDescent="0.35">
      <c r="A89" s="78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460"/>
      <c r="O89" s="460"/>
      <c r="P89" s="460"/>
      <c r="Q89" s="460"/>
      <c r="R89" s="460"/>
      <c r="S89" s="460"/>
      <c r="T89" s="460"/>
      <c r="U89" s="460"/>
      <c r="V89" s="460"/>
      <c r="W89" s="460"/>
      <c r="X89" s="460"/>
      <c r="Y89" s="78"/>
      <c r="Z89" s="78"/>
      <c r="AA89" s="460"/>
      <c r="AB89" s="460"/>
      <c r="AC89" s="460"/>
      <c r="AD89" s="460"/>
      <c r="AE89" s="460"/>
      <c r="AF89" s="460"/>
      <c r="AG89" s="460"/>
      <c r="AH89" s="460"/>
      <c r="AI89" s="460"/>
      <c r="AJ89" s="460"/>
      <c r="AK89" s="460"/>
      <c r="AL89" s="460"/>
      <c r="AM89" s="460"/>
      <c r="AN89" s="460"/>
      <c r="AO89" s="460"/>
      <c r="AP89" s="460"/>
      <c r="AQ89" s="460"/>
      <c r="AR89" s="460"/>
      <c r="AS89" s="460"/>
      <c r="AT89" s="460"/>
      <c r="AU89" s="460"/>
      <c r="AV89" s="460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463"/>
      <c r="BZ89" s="463"/>
      <c r="CA89" s="463"/>
      <c r="CB89" s="463"/>
      <c r="CC89" s="463"/>
      <c r="CD89" s="463"/>
      <c r="CE89" s="463"/>
      <c r="CF89" s="463"/>
      <c r="CG89" s="463"/>
      <c r="CH89" s="463"/>
      <c r="CI89" s="463"/>
      <c r="CJ89" s="463"/>
      <c r="CK89" s="463"/>
      <c r="CL89" s="78"/>
      <c r="CM89" s="463"/>
      <c r="CN89" s="463"/>
      <c r="CO89" s="463"/>
      <c r="CP89" s="463"/>
      <c r="CQ89" s="463"/>
      <c r="CR89" s="463"/>
      <c r="CS89" s="463"/>
      <c r="CT89" s="463"/>
      <c r="CU89" s="463"/>
      <c r="CV89" s="463"/>
      <c r="CW89" s="463"/>
      <c r="CX89" s="463"/>
      <c r="CY89" s="78"/>
      <c r="CZ89" s="463"/>
      <c r="DA89" s="463"/>
      <c r="DB89" s="463"/>
      <c r="DC89" s="463"/>
      <c r="DD89" s="463"/>
      <c r="DE89" s="463"/>
      <c r="DF89" s="463"/>
      <c r="DG89" s="463"/>
      <c r="DH89" s="463"/>
      <c r="DI89" s="463"/>
      <c r="DJ89" s="463"/>
      <c r="DK89" s="463"/>
      <c r="DL89" s="463"/>
      <c r="DM89" s="463"/>
      <c r="DN89" s="463"/>
      <c r="DO89" s="463"/>
      <c r="DP89" s="463"/>
      <c r="DQ89" s="78"/>
      <c r="DR89" s="78"/>
      <c r="DS89" s="78"/>
      <c r="DT89" s="78"/>
      <c r="DU89" s="78"/>
      <c r="DV89" s="78"/>
      <c r="DW89" s="78"/>
      <c r="DX89" s="78"/>
      <c r="DY89" s="78"/>
      <c r="DZ89" s="78"/>
      <c r="EA89" s="78"/>
      <c r="EB89" s="78"/>
      <c r="EC89" s="78"/>
      <c r="ED89" s="78"/>
      <c r="EE89" s="78"/>
      <c r="EF89" s="78"/>
      <c r="EG89" s="78"/>
      <c r="EH89" s="78"/>
      <c r="EI89" s="78"/>
      <c r="EJ89" s="78"/>
      <c r="EK89" s="78"/>
      <c r="EL89" s="78"/>
      <c r="EM89" s="78"/>
      <c r="EN89" s="78"/>
      <c r="EO89" s="78"/>
      <c r="EP89" s="78"/>
      <c r="EQ89" s="78"/>
      <c r="ER89" s="78"/>
      <c r="ES89" s="78"/>
      <c r="ET89" s="78"/>
      <c r="EU89" s="78"/>
      <c r="EV89" s="78"/>
      <c r="EW89" s="78"/>
      <c r="EX89" s="78"/>
      <c r="EY89" s="78"/>
      <c r="EZ89" s="78"/>
      <c r="FA89" s="78"/>
      <c r="FB89" s="78"/>
      <c r="FC89" s="78"/>
      <c r="FD89" s="78"/>
      <c r="FE89" s="78"/>
      <c r="FF89" s="78"/>
      <c r="FG89" s="78"/>
      <c r="FH89" s="78"/>
      <c r="FI89" s="78"/>
      <c r="FJ89" s="78"/>
      <c r="FK89" s="78"/>
      <c r="FL89" s="78"/>
      <c r="FM89" s="78"/>
      <c r="FN89" s="78"/>
      <c r="FO89" s="78"/>
      <c r="FP89" s="78"/>
      <c r="FQ89" s="78"/>
      <c r="FR89" s="78"/>
      <c r="FS89" s="78"/>
      <c r="FT89" s="78"/>
      <c r="FU89" s="78"/>
      <c r="FV89" s="78"/>
      <c r="FW89" s="78"/>
      <c r="FX89" s="78"/>
      <c r="FY89" s="78"/>
      <c r="FZ89" s="78"/>
      <c r="GA89" s="78"/>
      <c r="GB89" s="78"/>
      <c r="GC89" s="78"/>
      <c r="GD89" s="78"/>
      <c r="GE89" s="78"/>
      <c r="GF89" s="78"/>
      <c r="GG89" s="78"/>
      <c r="GH89" s="78"/>
      <c r="GI89" s="42"/>
    </row>
    <row r="90" spans="1:191" ht="15" thickTop="1" x14ac:dyDescent="0.3">
      <c r="A90" s="464" t="s">
        <v>205</v>
      </c>
      <c r="B90" s="465"/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5"/>
      <c r="V90" s="465"/>
      <c r="W90" s="465"/>
      <c r="X90" s="465"/>
      <c r="Y90" s="465"/>
      <c r="Z90" s="465"/>
      <c r="AA90" s="465"/>
      <c r="AB90" s="465"/>
      <c r="AC90" s="465"/>
      <c r="AD90" s="465"/>
      <c r="AE90" s="465"/>
      <c r="AF90" s="465"/>
      <c r="AG90" s="465"/>
      <c r="AH90" s="465"/>
      <c r="AI90" s="465"/>
      <c r="AJ90" s="465"/>
      <c r="AK90" s="465"/>
      <c r="AL90" s="465"/>
      <c r="AM90" s="465"/>
      <c r="AN90" s="465"/>
      <c r="AO90" s="465"/>
      <c r="AP90" s="465"/>
      <c r="AQ90" s="465"/>
      <c r="AR90" s="465"/>
      <c r="AS90" s="465"/>
      <c r="AT90" s="465"/>
      <c r="AU90" s="465"/>
      <c r="AV90" s="465"/>
      <c r="AW90" s="465"/>
      <c r="AX90" s="465"/>
      <c r="AY90" s="465"/>
      <c r="AZ90" s="465"/>
      <c r="BA90" s="465"/>
      <c r="BB90" s="465"/>
      <c r="BC90" s="465"/>
      <c r="BD90" s="465"/>
      <c r="BE90" s="465"/>
      <c r="BF90" s="465"/>
      <c r="BG90" s="465"/>
      <c r="BH90" s="465"/>
      <c r="BI90" s="465"/>
      <c r="BJ90" s="465"/>
      <c r="BK90" s="465"/>
      <c r="BL90" s="465"/>
      <c r="BM90" s="465"/>
      <c r="BN90" s="465"/>
      <c r="BO90" s="465"/>
      <c r="BP90" s="465"/>
      <c r="BQ90" s="465"/>
      <c r="BR90" s="465"/>
      <c r="BS90" s="465"/>
      <c r="BT90" s="465"/>
      <c r="BU90" s="465"/>
      <c r="BV90" s="465"/>
      <c r="BW90" s="465"/>
      <c r="BX90" s="465"/>
      <c r="BY90" s="465"/>
      <c r="BZ90" s="465"/>
      <c r="CA90" s="465"/>
      <c r="CB90" s="465"/>
      <c r="CC90" s="465"/>
      <c r="CD90" s="465"/>
      <c r="CE90" s="465"/>
      <c r="CF90" s="465"/>
      <c r="CG90" s="465"/>
      <c r="CH90" s="465"/>
      <c r="CI90" s="465"/>
      <c r="CJ90" s="465"/>
      <c r="CK90" s="465"/>
      <c r="CL90" s="465"/>
      <c r="CM90" s="465"/>
      <c r="CN90" s="465"/>
      <c r="CO90" s="465"/>
      <c r="CP90" s="465"/>
      <c r="CQ90" s="465"/>
      <c r="CR90" s="465"/>
      <c r="CS90" s="465"/>
      <c r="CT90" s="465"/>
      <c r="CU90" s="465"/>
      <c r="CV90" s="465"/>
      <c r="CW90" s="465"/>
      <c r="CX90" s="465"/>
      <c r="CY90" s="465"/>
      <c r="CZ90" s="465"/>
      <c r="DA90" s="465"/>
      <c r="DB90" s="465"/>
      <c r="DC90" s="465"/>
      <c r="DD90" s="465"/>
      <c r="DE90" s="465"/>
      <c r="DF90" s="465"/>
      <c r="DG90" s="465"/>
      <c r="DH90" s="465"/>
      <c r="DI90" s="465"/>
      <c r="DJ90" s="465"/>
      <c r="DK90" s="465"/>
      <c r="DL90" s="465"/>
      <c r="DM90" s="465"/>
      <c r="DN90" s="465"/>
      <c r="DO90" s="465"/>
      <c r="DP90" s="465"/>
      <c r="DQ90" s="465"/>
      <c r="DR90" s="465"/>
      <c r="DS90" s="465"/>
      <c r="DT90" s="465"/>
      <c r="DU90" s="465"/>
      <c r="DV90" s="465"/>
      <c r="DW90" s="465"/>
      <c r="DX90" s="465"/>
      <c r="DY90" s="465"/>
      <c r="DZ90" s="465"/>
      <c r="EA90" s="465"/>
      <c r="EB90" s="465"/>
      <c r="EC90" s="465"/>
      <c r="ED90" s="465"/>
      <c r="EE90" s="465"/>
      <c r="EF90" s="465"/>
      <c r="EG90" s="465"/>
      <c r="EH90" s="465"/>
      <c r="EI90" s="465"/>
      <c r="EJ90" s="465"/>
      <c r="EK90" s="465"/>
      <c r="EL90" s="465"/>
      <c r="EM90" s="465"/>
      <c r="EN90" s="465"/>
      <c r="EO90" s="465"/>
      <c r="EP90" s="465"/>
      <c r="EQ90" s="465"/>
      <c r="ER90" s="465"/>
      <c r="ES90" s="465"/>
      <c r="ET90" s="465"/>
      <c r="EU90" s="465"/>
      <c r="EV90" s="465"/>
      <c r="EW90" s="465"/>
      <c r="EX90" s="465"/>
      <c r="EY90" s="465"/>
      <c r="EZ90" s="465"/>
      <c r="FA90" s="465"/>
      <c r="FB90" s="465"/>
      <c r="FC90" s="465"/>
      <c r="FD90" s="465"/>
      <c r="FE90" s="465"/>
      <c r="FF90" s="465"/>
      <c r="FG90" s="465"/>
      <c r="FH90" s="465"/>
      <c r="FI90" s="465"/>
      <c r="FJ90" s="465"/>
      <c r="FK90" s="465"/>
      <c r="FL90" s="465"/>
      <c r="FM90" s="465"/>
      <c r="FN90" s="465"/>
      <c r="FO90" s="465"/>
      <c r="FP90" s="465"/>
      <c r="FQ90" s="465"/>
      <c r="FR90" s="465"/>
      <c r="FS90" s="465"/>
      <c r="FT90" s="465"/>
      <c r="FU90" s="465"/>
      <c r="FV90" s="465"/>
      <c r="FW90" s="465"/>
      <c r="FX90" s="465"/>
      <c r="FY90" s="465"/>
      <c r="FZ90" s="465"/>
      <c r="GA90" s="465"/>
      <c r="GB90" s="465"/>
      <c r="GC90" s="465"/>
      <c r="GD90" s="465"/>
      <c r="GE90" s="465"/>
      <c r="GF90" s="465"/>
      <c r="GG90" s="465"/>
      <c r="GH90" s="466"/>
      <c r="GI90" s="42"/>
    </row>
    <row r="91" spans="1:191" x14ac:dyDescent="0.3">
      <c r="A91" s="467" t="s">
        <v>206</v>
      </c>
      <c r="B91" s="468"/>
      <c r="C91" s="468"/>
      <c r="D91" s="468"/>
      <c r="E91" s="468"/>
      <c r="F91" s="468"/>
      <c r="G91" s="468"/>
      <c r="H91" s="468"/>
      <c r="I91" s="468"/>
      <c r="J91" s="469"/>
      <c r="K91" s="473" t="s">
        <v>207</v>
      </c>
      <c r="L91" s="305"/>
      <c r="M91" s="305"/>
      <c r="N91" s="305"/>
      <c r="O91" s="305"/>
      <c r="P91" s="305"/>
      <c r="Q91" s="305"/>
      <c r="R91" s="305"/>
      <c r="S91" s="305"/>
      <c r="T91" s="305"/>
      <c r="U91" s="305"/>
      <c r="V91" s="305"/>
      <c r="W91" s="305"/>
      <c r="X91" s="305"/>
      <c r="Y91" s="305"/>
      <c r="Z91" s="305"/>
      <c r="AA91" s="305"/>
      <c r="AB91" s="305"/>
      <c r="AC91" s="305"/>
      <c r="AD91" s="305"/>
      <c r="AE91" s="305"/>
      <c r="AF91" s="305"/>
      <c r="AG91" s="305"/>
      <c r="AH91" s="305"/>
      <c r="AI91" s="305"/>
      <c r="AJ91" s="306"/>
      <c r="AK91" s="473" t="s">
        <v>208</v>
      </c>
      <c r="AL91" s="305"/>
      <c r="AM91" s="305"/>
      <c r="AN91" s="305"/>
      <c r="AO91" s="305"/>
      <c r="AP91" s="305"/>
      <c r="AQ91" s="305"/>
      <c r="AR91" s="305"/>
      <c r="AS91" s="305"/>
      <c r="AT91" s="305"/>
      <c r="AU91" s="305"/>
      <c r="AV91" s="305"/>
      <c r="AW91" s="305"/>
      <c r="AX91" s="305"/>
      <c r="AY91" s="305"/>
      <c r="AZ91" s="305"/>
      <c r="BA91" s="305"/>
      <c r="BB91" s="305"/>
      <c r="BC91" s="305"/>
      <c r="BD91" s="305"/>
      <c r="BE91" s="305"/>
      <c r="BF91" s="305"/>
      <c r="BG91" s="305"/>
      <c r="BH91" s="305"/>
      <c r="BI91" s="305"/>
      <c r="BJ91" s="306"/>
      <c r="BK91" s="473" t="s">
        <v>209</v>
      </c>
      <c r="BL91" s="305"/>
      <c r="BM91" s="305"/>
      <c r="BN91" s="305"/>
      <c r="BO91" s="305"/>
      <c r="BP91" s="305"/>
      <c r="BQ91" s="305"/>
      <c r="BR91" s="305"/>
      <c r="BS91" s="305"/>
      <c r="BT91" s="305"/>
      <c r="BU91" s="305"/>
      <c r="BV91" s="305"/>
      <c r="BW91" s="305"/>
      <c r="BX91" s="305"/>
      <c r="BY91" s="305"/>
      <c r="BZ91" s="305"/>
      <c r="CA91" s="305"/>
      <c r="CB91" s="305"/>
      <c r="CC91" s="305"/>
      <c r="CD91" s="305"/>
      <c r="CE91" s="305"/>
      <c r="CF91" s="305"/>
      <c r="CG91" s="305"/>
      <c r="CH91" s="305"/>
      <c r="CI91" s="305"/>
      <c r="CJ91" s="305"/>
      <c r="CK91" s="305"/>
      <c r="CL91" s="306"/>
      <c r="CM91" s="475" t="s">
        <v>210</v>
      </c>
      <c r="CN91" s="476"/>
      <c r="CO91" s="476"/>
      <c r="CP91" s="476"/>
      <c r="CQ91" s="476"/>
      <c r="CR91" s="476"/>
      <c r="CS91" s="476"/>
      <c r="CT91" s="476"/>
      <c r="CU91" s="476"/>
      <c r="CV91" s="476"/>
      <c r="CW91" s="476"/>
      <c r="CX91" s="476"/>
      <c r="CY91" s="476"/>
      <c r="CZ91" s="476"/>
      <c r="DA91" s="476"/>
      <c r="DB91" s="476"/>
      <c r="DC91" s="476"/>
      <c r="DD91" s="476"/>
      <c r="DE91" s="476"/>
      <c r="DF91" s="476"/>
      <c r="DG91" s="476"/>
      <c r="DH91" s="476"/>
      <c r="DI91" s="476"/>
      <c r="DJ91" s="476"/>
      <c r="DK91" s="476"/>
      <c r="DL91" s="476"/>
      <c r="DM91" s="476"/>
      <c r="DN91" s="476"/>
      <c r="DO91" s="476"/>
      <c r="DP91" s="476"/>
      <c r="DQ91" s="476"/>
      <c r="DR91" s="476"/>
      <c r="DS91" s="476"/>
      <c r="DT91" s="476"/>
      <c r="DU91" s="476"/>
      <c r="DV91" s="476"/>
      <c r="DW91" s="476"/>
      <c r="DX91" s="476"/>
      <c r="DY91" s="476"/>
      <c r="DZ91" s="476"/>
      <c r="EA91" s="477"/>
      <c r="EB91" s="478" t="s">
        <v>211</v>
      </c>
      <c r="EC91" s="479"/>
      <c r="ED91" s="479"/>
      <c r="EE91" s="479"/>
      <c r="EF91" s="479"/>
      <c r="EG91" s="479"/>
      <c r="EH91" s="479"/>
      <c r="EI91" s="479"/>
      <c r="EJ91" s="479"/>
      <c r="EK91" s="479"/>
      <c r="EL91" s="479"/>
      <c r="EM91" s="479"/>
      <c r="EN91" s="479"/>
      <c r="EO91" s="479"/>
      <c r="EP91" s="479"/>
      <c r="EQ91" s="479"/>
      <c r="ER91" s="479"/>
      <c r="ES91" s="479"/>
      <c r="ET91" s="479"/>
      <c r="EU91" s="479"/>
      <c r="EV91" s="479"/>
      <c r="EW91" s="479"/>
      <c r="EX91" s="479"/>
      <c r="EY91" s="479"/>
      <c r="EZ91" s="479"/>
      <c r="FA91" s="479"/>
      <c r="FB91" s="479"/>
      <c r="FC91" s="479"/>
      <c r="FD91" s="480"/>
      <c r="FE91" s="473" t="s">
        <v>212</v>
      </c>
      <c r="FF91" s="305"/>
      <c r="FG91" s="305"/>
      <c r="FH91" s="305"/>
      <c r="FI91" s="305"/>
      <c r="FJ91" s="305"/>
      <c r="FK91" s="305"/>
      <c r="FL91" s="305"/>
      <c r="FM91" s="305"/>
      <c r="FN91" s="305"/>
      <c r="FO91" s="305"/>
      <c r="FP91" s="305"/>
      <c r="FQ91" s="305"/>
      <c r="FR91" s="305"/>
      <c r="FS91" s="306"/>
      <c r="FT91" s="473" t="s">
        <v>213</v>
      </c>
      <c r="FU91" s="305"/>
      <c r="FV91" s="305"/>
      <c r="FW91" s="305"/>
      <c r="FX91" s="305"/>
      <c r="FY91" s="305"/>
      <c r="FZ91" s="305"/>
      <c r="GA91" s="305"/>
      <c r="GB91" s="305"/>
      <c r="GC91" s="305"/>
      <c r="GD91" s="305"/>
      <c r="GE91" s="305"/>
      <c r="GF91" s="305"/>
      <c r="GG91" s="305"/>
      <c r="GH91" s="481"/>
      <c r="GI91" s="42"/>
    </row>
    <row r="92" spans="1:191" x14ac:dyDescent="0.3">
      <c r="A92" s="470"/>
      <c r="B92" s="471"/>
      <c r="C92" s="471"/>
      <c r="D92" s="471"/>
      <c r="E92" s="471"/>
      <c r="F92" s="471"/>
      <c r="G92" s="471"/>
      <c r="H92" s="471"/>
      <c r="I92" s="471"/>
      <c r="J92" s="472"/>
      <c r="K92" s="474"/>
      <c r="L92" s="311"/>
      <c r="M92" s="311"/>
      <c r="N92" s="311"/>
      <c r="O92" s="311"/>
      <c r="P92" s="311"/>
      <c r="Q92" s="311"/>
      <c r="R92" s="311"/>
      <c r="S92" s="311"/>
      <c r="T92" s="311"/>
      <c r="U92" s="311"/>
      <c r="V92" s="311"/>
      <c r="W92" s="311"/>
      <c r="X92" s="311"/>
      <c r="Y92" s="311"/>
      <c r="Z92" s="311"/>
      <c r="AA92" s="311"/>
      <c r="AB92" s="311"/>
      <c r="AC92" s="311"/>
      <c r="AD92" s="311"/>
      <c r="AE92" s="311"/>
      <c r="AF92" s="311"/>
      <c r="AG92" s="311"/>
      <c r="AH92" s="311"/>
      <c r="AI92" s="311"/>
      <c r="AJ92" s="312"/>
      <c r="AK92" s="474"/>
      <c r="AL92" s="311"/>
      <c r="AM92" s="311"/>
      <c r="AN92" s="311"/>
      <c r="AO92" s="311"/>
      <c r="AP92" s="311"/>
      <c r="AQ92" s="311"/>
      <c r="AR92" s="311"/>
      <c r="AS92" s="311"/>
      <c r="AT92" s="311"/>
      <c r="AU92" s="311"/>
      <c r="AV92" s="311"/>
      <c r="AW92" s="311"/>
      <c r="AX92" s="311"/>
      <c r="AY92" s="311"/>
      <c r="AZ92" s="311"/>
      <c r="BA92" s="311"/>
      <c r="BB92" s="311"/>
      <c r="BC92" s="311"/>
      <c r="BD92" s="311"/>
      <c r="BE92" s="311"/>
      <c r="BF92" s="311"/>
      <c r="BG92" s="311"/>
      <c r="BH92" s="311"/>
      <c r="BI92" s="311"/>
      <c r="BJ92" s="312"/>
      <c r="BK92" s="474"/>
      <c r="BL92" s="311"/>
      <c r="BM92" s="311"/>
      <c r="BN92" s="311"/>
      <c r="BO92" s="311"/>
      <c r="BP92" s="311"/>
      <c r="BQ92" s="311"/>
      <c r="BR92" s="311"/>
      <c r="BS92" s="311"/>
      <c r="BT92" s="311"/>
      <c r="BU92" s="311"/>
      <c r="BV92" s="311"/>
      <c r="BW92" s="311"/>
      <c r="BX92" s="311"/>
      <c r="BY92" s="311"/>
      <c r="BZ92" s="311"/>
      <c r="CA92" s="311"/>
      <c r="CB92" s="311"/>
      <c r="CC92" s="311"/>
      <c r="CD92" s="311"/>
      <c r="CE92" s="311"/>
      <c r="CF92" s="311"/>
      <c r="CG92" s="311"/>
      <c r="CH92" s="311"/>
      <c r="CI92" s="311"/>
      <c r="CJ92" s="311"/>
      <c r="CK92" s="311"/>
      <c r="CL92" s="312"/>
      <c r="CM92" s="478" t="s">
        <v>214</v>
      </c>
      <c r="CN92" s="479"/>
      <c r="CO92" s="479"/>
      <c r="CP92" s="479"/>
      <c r="CQ92" s="479"/>
      <c r="CR92" s="479"/>
      <c r="CS92" s="479"/>
      <c r="CT92" s="479"/>
      <c r="CU92" s="479"/>
      <c r="CV92" s="479"/>
      <c r="CW92" s="479"/>
      <c r="CX92" s="479"/>
      <c r="CY92" s="479"/>
      <c r="CZ92" s="479"/>
      <c r="DA92" s="479"/>
      <c r="DB92" s="479"/>
      <c r="DC92" s="479"/>
      <c r="DD92" s="479"/>
      <c r="DE92" s="479"/>
      <c r="DF92" s="479"/>
      <c r="DG92" s="479"/>
      <c r="DH92" s="479"/>
      <c r="DI92" s="479"/>
      <c r="DJ92" s="479"/>
      <c r="DK92" s="479"/>
      <c r="DL92" s="479"/>
      <c r="DM92" s="479"/>
      <c r="DN92" s="479"/>
      <c r="DO92" s="479"/>
      <c r="DP92" s="479"/>
      <c r="DQ92" s="479"/>
      <c r="DR92" s="479"/>
      <c r="DS92" s="479"/>
      <c r="DT92" s="480"/>
      <c r="DU92" s="475" t="s">
        <v>215</v>
      </c>
      <c r="DV92" s="476"/>
      <c r="DW92" s="476"/>
      <c r="DX92" s="476"/>
      <c r="DY92" s="476"/>
      <c r="DZ92" s="476"/>
      <c r="EA92" s="477"/>
      <c r="EB92" s="475" t="s">
        <v>216</v>
      </c>
      <c r="EC92" s="476"/>
      <c r="ED92" s="476"/>
      <c r="EE92" s="476"/>
      <c r="EF92" s="476"/>
      <c r="EG92" s="476"/>
      <c r="EH92" s="476"/>
      <c r="EI92" s="476"/>
      <c r="EJ92" s="476"/>
      <c r="EK92" s="476"/>
      <c r="EL92" s="476"/>
      <c r="EM92" s="476"/>
      <c r="EN92" s="476"/>
      <c r="EO92" s="476"/>
      <c r="EP92" s="477"/>
      <c r="EQ92" s="475" t="s">
        <v>217</v>
      </c>
      <c r="ER92" s="476"/>
      <c r="ES92" s="476"/>
      <c r="ET92" s="476"/>
      <c r="EU92" s="476"/>
      <c r="EV92" s="476"/>
      <c r="EW92" s="476"/>
      <c r="EX92" s="476"/>
      <c r="EY92" s="476"/>
      <c r="EZ92" s="476"/>
      <c r="FA92" s="476"/>
      <c r="FB92" s="476"/>
      <c r="FC92" s="476"/>
      <c r="FD92" s="476"/>
      <c r="FE92" s="474"/>
      <c r="FF92" s="311"/>
      <c r="FG92" s="311"/>
      <c r="FH92" s="311"/>
      <c r="FI92" s="311"/>
      <c r="FJ92" s="311"/>
      <c r="FK92" s="311"/>
      <c r="FL92" s="311"/>
      <c r="FM92" s="311"/>
      <c r="FN92" s="311"/>
      <c r="FO92" s="311"/>
      <c r="FP92" s="311"/>
      <c r="FQ92" s="311"/>
      <c r="FR92" s="311"/>
      <c r="FS92" s="312"/>
      <c r="FT92" s="474"/>
      <c r="FU92" s="311"/>
      <c r="FV92" s="311"/>
      <c r="FW92" s="311"/>
      <c r="FX92" s="311"/>
      <c r="FY92" s="311"/>
      <c r="FZ92" s="311"/>
      <c r="GA92" s="311"/>
      <c r="GB92" s="311"/>
      <c r="GC92" s="311"/>
      <c r="GD92" s="311"/>
      <c r="GE92" s="311"/>
      <c r="GF92" s="311"/>
      <c r="GG92" s="311"/>
      <c r="GH92" s="482"/>
      <c r="GI92" s="42"/>
    </row>
    <row r="93" spans="1:191" ht="7.95" customHeight="1" thickBot="1" x14ac:dyDescent="0.35">
      <c r="A93" s="413">
        <v>10</v>
      </c>
      <c r="B93" s="416"/>
      <c r="C93" s="416"/>
      <c r="D93" s="416"/>
      <c r="E93" s="416"/>
      <c r="F93" s="416"/>
      <c r="G93" s="416"/>
      <c r="H93" s="416"/>
      <c r="I93" s="416"/>
      <c r="J93" s="501"/>
      <c r="K93" s="483">
        <v>11</v>
      </c>
      <c r="L93" s="416"/>
      <c r="M93" s="416"/>
      <c r="N93" s="416"/>
      <c r="O93" s="416"/>
      <c r="P93" s="416"/>
      <c r="Q93" s="416"/>
      <c r="R93" s="416"/>
      <c r="S93" s="416"/>
      <c r="T93" s="416"/>
      <c r="U93" s="416"/>
      <c r="V93" s="416"/>
      <c r="W93" s="416"/>
      <c r="X93" s="416"/>
      <c r="Y93" s="416"/>
      <c r="Z93" s="416"/>
      <c r="AA93" s="416"/>
      <c r="AB93" s="416"/>
      <c r="AC93" s="416"/>
      <c r="AD93" s="416"/>
      <c r="AE93" s="416"/>
      <c r="AF93" s="416"/>
      <c r="AG93" s="416"/>
      <c r="AH93" s="416"/>
      <c r="AI93" s="416"/>
      <c r="AJ93" s="501"/>
      <c r="AK93" s="483">
        <v>12</v>
      </c>
      <c r="AL93" s="416"/>
      <c r="AM93" s="416"/>
      <c r="AN93" s="416"/>
      <c r="AO93" s="416"/>
      <c r="AP93" s="416"/>
      <c r="AQ93" s="416"/>
      <c r="AR93" s="416"/>
      <c r="AS93" s="416"/>
      <c r="AT93" s="416"/>
      <c r="AU93" s="416"/>
      <c r="AV93" s="416"/>
      <c r="AW93" s="416"/>
      <c r="AX93" s="416"/>
      <c r="AY93" s="416"/>
      <c r="AZ93" s="416"/>
      <c r="BA93" s="416"/>
      <c r="BB93" s="416"/>
      <c r="BC93" s="416"/>
      <c r="BD93" s="416"/>
      <c r="BE93" s="416"/>
      <c r="BF93" s="416"/>
      <c r="BG93" s="416"/>
      <c r="BH93" s="416"/>
      <c r="BI93" s="416"/>
      <c r="BJ93" s="501"/>
      <c r="BK93" s="483">
        <v>6</v>
      </c>
      <c r="BL93" s="416"/>
      <c r="BM93" s="416"/>
      <c r="BN93" s="416"/>
      <c r="BO93" s="416"/>
      <c r="BP93" s="416"/>
      <c r="BQ93" s="416"/>
      <c r="BR93" s="416"/>
      <c r="BS93" s="416"/>
      <c r="BT93" s="416"/>
      <c r="BU93" s="416"/>
      <c r="BV93" s="416"/>
      <c r="BW93" s="416"/>
      <c r="BX93" s="416"/>
      <c r="BY93" s="416"/>
      <c r="BZ93" s="416"/>
      <c r="CA93" s="416"/>
      <c r="CB93" s="416"/>
      <c r="CC93" s="416"/>
      <c r="CD93" s="416"/>
      <c r="CE93" s="416"/>
      <c r="CF93" s="416"/>
      <c r="CG93" s="416"/>
      <c r="CH93" s="416"/>
      <c r="CI93" s="416"/>
      <c r="CJ93" s="416"/>
      <c r="CK93" s="416"/>
      <c r="CL93" s="501"/>
      <c r="CM93" s="483">
        <v>14</v>
      </c>
      <c r="CN93" s="416"/>
      <c r="CO93" s="416"/>
      <c r="CP93" s="416"/>
      <c r="CQ93" s="416"/>
      <c r="CR93" s="416"/>
      <c r="CS93" s="416"/>
      <c r="CT93" s="416"/>
      <c r="CU93" s="416"/>
      <c r="CV93" s="416"/>
      <c r="CW93" s="416"/>
      <c r="CX93" s="416"/>
      <c r="CY93" s="416"/>
      <c r="CZ93" s="416"/>
      <c r="DA93" s="416"/>
      <c r="DB93" s="416"/>
      <c r="DC93" s="416"/>
      <c r="DD93" s="416"/>
      <c r="DE93" s="416"/>
      <c r="DF93" s="416"/>
      <c r="DG93" s="416"/>
      <c r="DH93" s="416"/>
      <c r="DI93" s="416"/>
      <c r="DJ93" s="416"/>
      <c r="DK93" s="416"/>
      <c r="DL93" s="416"/>
      <c r="DM93" s="416"/>
      <c r="DN93" s="416"/>
      <c r="DO93" s="416"/>
      <c r="DP93" s="416"/>
      <c r="DQ93" s="416"/>
      <c r="DR93" s="416"/>
      <c r="DS93" s="416"/>
      <c r="DT93" s="501"/>
      <c r="DU93" s="483">
        <v>15</v>
      </c>
      <c r="DV93" s="416"/>
      <c r="DW93" s="416"/>
      <c r="DX93" s="416"/>
      <c r="DY93" s="416"/>
      <c r="DZ93" s="416"/>
      <c r="EA93" s="501"/>
      <c r="EB93" s="483">
        <v>16</v>
      </c>
      <c r="EC93" s="416"/>
      <c r="ED93" s="416"/>
      <c r="EE93" s="416"/>
      <c r="EF93" s="416"/>
      <c r="EG93" s="416"/>
      <c r="EH93" s="416"/>
      <c r="EI93" s="416"/>
      <c r="EJ93" s="416"/>
      <c r="EK93" s="416"/>
      <c r="EL93" s="416"/>
      <c r="EM93" s="416"/>
      <c r="EN93" s="416"/>
      <c r="EO93" s="416"/>
      <c r="EP93" s="501"/>
      <c r="EQ93" s="483">
        <v>17</v>
      </c>
      <c r="ER93" s="416"/>
      <c r="ES93" s="416"/>
      <c r="ET93" s="416"/>
      <c r="EU93" s="416"/>
      <c r="EV93" s="416"/>
      <c r="EW93" s="416"/>
      <c r="EX93" s="416"/>
      <c r="EY93" s="416"/>
      <c r="EZ93" s="416"/>
      <c r="FA93" s="416"/>
      <c r="FB93" s="416"/>
      <c r="FC93" s="416"/>
      <c r="FD93" s="501"/>
      <c r="FE93" s="483">
        <v>18</v>
      </c>
      <c r="FF93" s="416"/>
      <c r="FG93" s="416"/>
      <c r="FH93" s="416"/>
      <c r="FI93" s="416"/>
      <c r="FJ93" s="416"/>
      <c r="FK93" s="416"/>
      <c r="FL93" s="416"/>
      <c r="FM93" s="416"/>
      <c r="FN93" s="416"/>
      <c r="FO93" s="416"/>
      <c r="FP93" s="416"/>
      <c r="FQ93" s="416"/>
      <c r="FR93" s="416"/>
      <c r="FS93" s="501"/>
      <c r="FT93" s="483">
        <v>19</v>
      </c>
      <c r="FU93" s="416"/>
      <c r="FV93" s="416"/>
      <c r="FW93" s="416"/>
      <c r="FX93" s="416"/>
      <c r="FY93" s="416"/>
      <c r="FZ93" s="416"/>
      <c r="GA93" s="416"/>
      <c r="GB93" s="416"/>
      <c r="GC93" s="416"/>
      <c r="GD93" s="416"/>
      <c r="GE93" s="416"/>
      <c r="GF93" s="416"/>
      <c r="GG93" s="416"/>
      <c r="GH93" s="417"/>
      <c r="GI93" s="42"/>
    </row>
    <row r="94" spans="1:191" ht="13.2" customHeight="1" thickTop="1" x14ac:dyDescent="0.3">
      <c r="A94" s="484" t="s">
        <v>218</v>
      </c>
      <c r="B94" s="485"/>
      <c r="C94" s="485"/>
      <c r="D94" s="485"/>
      <c r="E94" s="485"/>
      <c r="F94" s="485"/>
      <c r="G94" s="485"/>
      <c r="H94" s="485"/>
      <c r="I94" s="485"/>
      <c r="J94" s="486"/>
      <c r="K94" s="487"/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9"/>
      <c r="AK94" s="487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8"/>
      <c r="AY94" s="488"/>
      <c r="AZ94" s="488"/>
      <c r="BA94" s="488"/>
      <c r="BB94" s="488"/>
      <c r="BC94" s="488"/>
      <c r="BD94" s="488"/>
      <c r="BE94" s="488"/>
      <c r="BF94" s="488"/>
      <c r="BG94" s="488"/>
      <c r="BH94" s="488"/>
      <c r="BI94" s="488"/>
      <c r="BJ94" s="489"/>
      <c r="BK94" s="487"/>
      <c r="BL94" s="488"/>
      <c r="BM94" s="488"/>
      <c r="BN94" s="488"/>
      <c r="BO94" s="488"/>
      <c r="BP94" s="488"/>
      <c r="BQ94" s="488"/>
      <c r="BR94" s="488"/>
      <c r="BS94" s="488"/>
      <c r="BT94" s="488"/>
      <c r="BU94" s="488"/>
      <c r="BV94" s="488"/>
      <c r="BW94" s="488"/>
      <c r="BX94" s="488"/>
      <c r="BY94" s="488"/>
      <c r="BZ94" s="488"/>
      <c r="CA94" s="488"/>
      <c r="CB94" s="488"/>
      <c r="CC94" s="488"/>
      <c r="CD94" s="488"/>
      <c r="CE94" s="488"/>
      <c r="CF94" s="488"/>
      <c r="CG94" s="488"/>
      <c r="CH94" s="488"/>
      <c r="CI94" s="488"/>
      <c r="CJ94" s="488"/>
      <c r="CK94" s="488"/>
      <c r="CL94" s="489"/>
      <c r="CM94" s="487"/>
      <c r="CN94" s="488"/>
      <c r="CO94" s="488"/>
      <c r="CP94" s="488"/>
      <c r="CQ94" s="488"/>
      <c r="CR94" s="488"/>
      <c r="CS94" s="488"/>
      <c r="CT94" s="488"/>
      <c r="CU94" s="488"/>
      <c r="CV94" s="488"/>
      <c r="CW94" s="488"/>
      <c r="CX94" s="488"/>
      <c r="CY94" s="488"/>
      <c r="CZ94" s="488"/>
      <c r="DA94" s="488"/>
      <c r="DB94" s="488"/>
      <c r="DC94" s="488"/>
      <c r="DD94" s="488"/>
      <c r="DE94" s="488"/>
      <c r="DF94" s="488"/>
      <c r="DG94" s="488"/>
      <c r="DH94" s="488"/>
      <c r="DI94" s="488"/>
      <c r="DJ94" s="488"/>
      <c r="DK94" s="488"/>
      <c r="DL94" s="488"/>
      <c r="DM94" s="488"/>
      <c r="DN94" s="488"/>
      <c r="DO94" s="488"/>
      <c r="DP94" s="488"/>
      <c r="DQ94" s="488"/>
      <c r="DR94" s="488"/>
      <c r="DS94" s="488"/>
      <c r="DT94" s="490"/>
      <c r="DU94" s="491"/>
      <c r="DV94" s="492"/>
      <c r="DW94" s="492"/>
      <c r="DX94" s="492"/>
      <c r="DY94" s="492"/>
      <c r="DZ94" s="492"/>
      <c r="EA94" s="493"/>
      <c r="EB94" s="494"/>
      <c r="EC94" s="492"/>
      <c r="ED94" s="492"/>
      <c r="EE94" s="492"/>
      <c r="EF94" s="492"/>
      <c r="EG94" s="492"/>
      <c r="EH94" s="492"/>
      <c r="EI94" s="492"/>
      <c r="EJ94" s="492"/>
      <c r="EK94" s="492"/>
      <c r="EL94" s="492"/>
      <c r="EM94" s="492"/>
      <c r="EN94" s="492"/>
      <c r="EO94" s="492"/>
      <c r="EP94" s="493"/>
      <c r="EQ94" s="494"/>
      <c r="ER94" s="492"/>
      <c r="ES94" s="492"/>
      <c r="ET94" s="492"/>
      <c r="EU94" s="492"/>
      <c r="EV94" s="492"/>
      <c r="EW94" s="492"/>
      <c r="EX94" s="492"/>
      <c r="EY94" s="492"/>
      <c r="EZ94" s="492"/>
      <c r="FA94" s="492"/>
      <c r="FB94" s="492"/>
      <c r="FC94" s="492"/>
      <c r="FD94" s="493"/>
      <c r="FE94" s="495"/>
      <c r="FF94" s="496"/>
      <c r="FG94" s="496"/>
      <c r="FH94" s="496"/>
      <c r="FI94" s="496"/>
      <c r="FJ94" s="496"/>
      <c r="FK94" s="496"/>
      <c r="FL94" s="496"/>
      <c r="FM94" s="496"/>
      <c r="FN94" s="496"/>
      <c r="FO94" s="496"/>
      <c r="FP94" s="496"/>
      <c r="FQ94" s="496"/>
      <c r="FR94" s="496"/>
      <c r="FS94" s="497"/>
      <c r="FT94" s="498"/>
      <c r="FU94" s="499"/>
      <c r="FV94" s="499"/>
      <c r="FW94" s="499"/>
      <c r="FX94" s="499"/>
      <c r="FY94" s="499"/>
      <c r="FZ94" s="499"/>
      <c r="GA94" s="499"/>
      <c r="GB94" s="499"/>
      <c r="GC94" s="499"/>
      <c r="GD94" s="499"/>
      <c r="GE94" s="499"/>
      <c r="GF94" s="499"/>
      <c r="GG94" s="499"/>
      <c r="GH94" s="500"/>
      <c r="GI94" s="42"/>
    </row>
    <row r="95" spans="1:191" ht="13.2" customHeight="1" thickBot="1" x14ac:dyDescent="0.35">
      <c r="A95" s="502" t="s">
        <v>219</v>
      </c>
      <c r="B95" s="503"/>
      <c r="C95" s="503"/>
      <c r="D95" s="503"/>
      <c r="E95" s="503"/>
      <c r="F95" s="503"/>
      <c r="G95" s="503"/>
      <c r="H95" s="503"/>
      <c r="I95" s="503"/>
      <c r="J95" s="504"/>
      <c r="K95" s="505"/>
      <c r="L95" s="506"/>
      <c r="M95" s="506"/>
      <c r="N95" s="506"/>
      <c r="O95" s="506"/>
      <c r="P95" s="506"/>
      <c r="Q95" s="506"/>
      <c r="R95" s="506"/>
      <c r="S95" s="506"/>
      <c r="T95" s="506"/>
      <c r="U95" s="506"/>
      <c r="V95" s="506"/>
      <c r="W95" s="506"/>
      <c r="X95" s="506"/>
      <c r="Y95" s="506"/>
      <c r="Z95" s="506"/>
      <c r="AA95" s="506"/>
      <c r="AB95" s="506"/>
      <c r="AC95" s="506"/>
      <c r="AD95" s="506"/>
      <c r="AE95" s="506"/>
      <c r="AF95" s="506"/>
      <c r="AG95" s="506"/>
      <c r="AH95" s="506"/>
      <c r="AI95" s="506"/>
      <c r="AJ95" s="507"/>
      <c r="AK95" s="508"/>
      <c r="AL95" s="509"/>
      <c r="AM95" s="509"/>
      <c r="AN95" s="509"/>
      <c r="AO95" s="509"/>
      <c r="AP95" s="509"/>
      <c r="AQ95" s="509"/>
      <c r="AR95" s="509"/>
      <c r="AS95" s="509"/>
      <c r="AT95" s="509"/>
      <c r="AU95" s="509"/>
      <c r="AV95" s="509"/>
      <c r="AW95" s="509"/>
      <c r="AX95" s="509"/>
      <c r="AY95" s="509"/>
      <c r="AZ95" s="509"/>
      <c r="BA95" s="509"/>
      <c r="BB95" s="509"/>
      <c r="BC95" s="509"/>
      <c r="BD95" s="509"/>
      <c r="BE95" s="509"/>
      <c r="BF95" s="509"/>
      <c r="BG95" s="509"/>
      <c r="BH95" s="509"/>
      <c r="BI95" s="509"/>
      <c r="BJ95" s="510"/>
      <c r="BK95" s="508"/>
      <c r="BL95" s="509"/>
      <c r="BM95" s="509"/>
      <c r="BN95" s="509"/>
      <c r="BO95" s="509"/>
      <c r="BP95" s="509"/>
      <c r="BQ95" s="509"/>
      <c r="BR95" s="509"/>
      <c r="BS95" s="509"/>
      <c r="BT95" s="509"/>
      <c r="BU95" s="509"/>
      <c r="BV95" s="509"/>
      <c r="BW95" s="509"/>
      <c r="BX95" s="509"/>
      <c r="BY95" s="509"/>
      <c r="BZ95" s="509"/>
      <c r="CA95" s="509"/>
      <c r="CB95" s="509"/>
      <c r="CC95" s="509"/>
      <c r="CD95" s="509"/>
      <c r="CE95" s="509"/>
      <c r="CF95" s="509"/>
      <c r="CG95" s="509"/>
      <c r="CH95" s="509"/>
      <c r="CI95" s="509"/>
      <c r="CJ95" s="509"/>
      <c r="CK95" s="509"/>
      <c r="CL95" s="510"/>
      <c r="CM95" s="508"/>
      <c r="CN95" s="509"/>
      <c r="CO95" s="509"/>
      <c r="CP95" s="509"/>
      <c r="CQ95" s="509"/>
      <c r="CR95" s="509"/>
      <c r="CS95" s="509"/>
      <c r="CT95" s="509"/>
      <c r="CU95" s="509"/>
      <c r="CV95" s="509"/>
      <c r="CW95" s="509"/>
      <c r="CX95" s="509"/>
      <c r="CY95" s="509"/>
      <c r="CZ95" s="509"/>
      <c r="DA95" s="509"/>
      <c r="DB95" s="509"/>
      <c r="DC95" s="509"/>
      <c r="DD95" s="509"/>
      <c r="DE95" s="509"/>
      <c r="DF95" s="509"/>
      <c r="DG95" s="509"/>
      <c r="DH95" s="509"/>
      <c r="DI95" s="509"/>
      <c r="DJ95" s="509"/>
      <c r="DK95" s="509"/>
      <c r="DL95" s="509"/>
      <c r="DM95" s="509"/>
      <c r="DN95" s="509"/>
      <c r="DO95" s="509"/>
      <c r="DP95" s="509"/>
      <c r="DQ95" s="509"/>
      <c r="DR95" s="509"/>
      <c r="DS95" s="509"/>
      <c r="DT95" s="511"/>
      <c r="DU95" s="512"/>
      <c r="DV95" s="513"/>
      <c r="DW95" s="513"/>
      <c r="DX95" s="513"/>
      <c r="DY95" s="513"/>
      <c r="DZ95" s="513"/>
      <c r="EA95" s="514"/>
      <c r="EB95" s="515"/>
      <c r="EC95" s="513"/>
      <c r="ED95" s="513"/>
      <c r="EE95" s="513"/>
      <c r="EF95" s="513"/>
      <c r="EG95" s="513"/>
      <c r="EH95" s="513"/>
      <c r="EI95" s="513"/>
      <c r="EJ95" s="513"/>
      <c r="EK95" s="513"/>
      <c r="EL95" s="513"/>
      <c r="EM95" s="513"/>
      <c r="EN95" s="513"/>
      <c r="EO95" s="513"/>
      <c r="EP95" s="514"/>
      <c r="EQ95" s="515"/>
      <c r="ER95" s="513"/>
      <c r="ES95" s="513"/>
      <c r="ET95" s="513"/>
      <c r="EU95" s="513"/>
      <c r="EV95" s="513"/>
      <c r="EW95" s="513"/>
      <c r="EX95" s="513"/>
      <c r="EY95" s="513"/>
      <c r="EZ95" s="513"/>
      <c r="FA95" s="513"/>
      <c r="FB95" s="513"/>
      <c r="FC95" s="513"/>
      <c r="FD95" s="514"/>
      <c r="FE95" s="516"/>
      <c r="FF95" s="517"/>
      <c r="FG95" s="517"/>
      <c r="FH95" s="517"/>
      <c r="FI95" s="517"/>
      <c r="FJ95" s="517"/>
      <c r="FK95" s="517"/>
      <c r="FL95" s="517"/>
      <c r="FM95" s="517"/>
      <c r="FN95" s="517"/>
      <c r="FO95" s="517"/>
      <c r="FP95" s="517"/>
      <c r="FQ95" s="517"/>
      <c r="FR95" s="517"/>
      <c r="FS95" s="518"/>
      <c r="FT95" s="519"/>
      <c r="FU95" s="520"/>
      <c r="FV95" s="520"/>
      <c r="FW95" s="520"/>
      <c r="FX95" s="520"/>
      <c r="FY95" s="520"/>
      <c r="FZ95" s="520"/>
      <c r="GA95" s="520"/>
      <c r="GB95" s="520"/>
      <c r="GC95" s="520"/>
      <c r="GD95" s="520"/>
      <c r="GE95" s="520"/>
      <c r="GF95" s="520"/>
      <c r="GG95" s="520"/>
      <c r="GH95" s="521"/>
      <c r="GI95" s="42"/>
    </row>
    <row r="96" spans="1:191" ht="5.4" customHeight="1" thickTop="1" thickBot="1" x14ac:dyDescent="0.35">
      <c r="A96" s="78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  <c r="CY96" s="78"/>
      <c r="CZ96" s="78"/>
      <c r="DA96" s="78"/>
      <c r="DB96" s="78"/>
      <c r="DC96" s="78"/>
      <c r="DD96" s="78"/>
      <c r="DE96" s="78"/>
      <c r="DF96" s="78"/>
      <c r="DG96" s="78"/>
      <c r="DH96" s="78"/>
      <c r="DI96" s="78"/>
      <c r="DJ96" s="78"/>
      <c r="DK96" s="78"/>
      <c r="DL96" s="78"/>
      <c r="DM96" s="78"/>
      <c r="DN96" s="78"/>
      <c r="DO96" s="78"/>
      <c r="DP96" s="78"/>
      <c r="DQ96" s="78"/>
      <c r="DR96" s="78"/>
      <c r="DS96" s="78"/>
      <c r="DT96" s="78"/>
      <c r="DU96" s="78"/>
      <c r="DV96" s="78"/>
      <c r="DW96" s="78"/>
      <c r="DX96" s="78"/>
      <c r="DY96" s="78"/>
      <c r="DZ96" s="78"/>
      <c r="EA96" s="78"/>
      <c r="EB96" s="78"/>
      <c r="EC96" s="78"/>
      <c r="ED96" s="78"/>
      <c r="EE96" s="78"/>
      <c r="EF96" s="78"/>
      <c r="EG96" s="78"/>
      <c r="EH96" s="78"/>
      <c r="EI96" s="78"/>
      <c r="EJ96" s="78"/>
      <c r="EK96" s="78"/>
      <c r="EL96" s="78"/>
      <c r="EM96" s="78"/>
      <c r="EN96" s="78"/>
      <c r="EO96" s="78"/>
      <c r="EP96" s="78"/>
      <c r="EQ96" s="78"/>
      <c r="ER96" s="78"/>
      <c r="ES96" s="78"/>
      <c r="ET96" s="78"/>
      <c r="EU96" s="78"/>
      <c r="EV96" s="78"/>
      <c r="EW96" s="78"/>
      <c r="EX96" s="78"/>
      <c r="EY96" s="78"/>
      <c r="EZ96" s="78"/>
      <c r="FA96" s="78"/>
      <c r="FB96" s="78"/>
      <c r="FC96" s="78"/>
      <c r="FD96" s="78"/>
      <c r="FE96" s="78"/>
      <c r="FF96" s="78"/>
      <c r="FG96" s="78"/>
      <c r="FH96" s="78"/>
      <c r="FI96" s="78"/>
      <c r="FJ96" s="78"/>
      <c r="FK96" s="78"/>
      <c r="FL96" s="78"/>
      <c r="FM96" s="78"/>
      <c r="FN96" s="78"/>
      <c r="FO96" s="78"/>
      <c r="FP96" s="78"/>
      <c r="FQ96" s="78"/>
      <c r="FR96" s="78"/>
      <c r="FS96" s="78"/>
      <c r="FT96" s="78"/>
      <c r="FU96" s="78"/>
      <c r="FV96" s="78"/>
      <c r="FW96" s="78"/>
      <c r="FX96" s="78"/>
      <c r="FY96" s="78"/>
      <c r="FZ96" s="78"/>
      <c r="GA96" s="78"/>
      <c r="GB96" s="78"/>
      <c r="GC96" s="78"/>
      <c r="GD96" s="78"/>
      <c r="GE96" s="78"/>
      <c r="GF96" s="78"/>
      <c r="GG96" s="78"/>
      <c r="GH96" s="78"/>
      <c r="GI96" s="42"/>
    </row>
    <row r="97" spans="1:193" ht="15" thickTop="1" x14ac:dyDescent="0.3">
      <c r="A97" s="522" t="s">
        <v>220</v>
      </c>
      <c r="B97" s="523"/>
      <c r="C97" s="523"/>
      <c r="D97" s="523"/>
      <c r="E97" s="523"/>
      <c r="F97" s="523"/>
      <c r="G97" s="523"/>
      <c r="H97" s="523"/>
      <c r="I97" s="523"/>
      <c r="J97" s="523"/>
      <c r="K97" s="523"/>
      <c r="L97" s="523"/>
      <c r="M97" s="523"/>
      <c r="N97" s="523"/>
      <c r="O97" s="523"/>
      <c r="P97" s="523"/>
      <c r="Q97" s="523"/>
      <c r="R97" s="523"/>
      <c r="S97" s="523"/>
      <c r="T97" s="523"/>
      <c r="U97" s="523"/>
      <c r="V97" s="523"/>
      <c r="W97" s="523"/>
      <c r="X97" s="523"/>
      <c r="Y97" s="523"/>
      <c r="Z97" s="523"/>
      <c r="AA97" s="523"/>
      <c r="AB97" s="523"/>
      <c r="AC97" s="523"/>
      <c r="AD97" s="523"/>
      <c r="AE97" s="523"/>
      <c r="AF97" s="523"/>
      <c r="AG97" s="523"/>
      <c r="AH97" s="523"/>
      <c r="AI97" s="523"/>
      <c r="AJ97" s="523"/>
      <c r="AK97" s="523"/>
      <c r="AL97" s="523"/>
      <c r="AM97" s="523"/>
      <c r="AN97" s="523"/>
      <c r="AO97" s="523"/>
      <c r="AP97" s="523"/>
      <c r="AQ97" s="523"/>
      <c r="AR97" s="523"/>
      <c r="AS97" s="523"/>
      <c r="AT97" s="523"/>
      <c r="AU97" s="523"/>
      <c r="AV97" s="523"/>
      <c r="AW97" s="523"/>
      <c r="AX97" s="523"/>
      <c r="AY97" s="523"/>
      <c r="AZ97" s="523"/>
      <c r="BA97" s="523"/>
      <c r="BB97" s="523"/>
      <c r="BC97" s="523"/>
      <c r="BD97" s="523"/>
      <c r="BE97" s="523"/>
      <c r="BF97" s="523"/>
      <c r="BG97" s="523"/>
      <c r="BH97" s="523"/>
      <c r="BI97" s="523"/>
      <c r="BJ97" s="523"/>
      <c r="BK97" s="523"/>
      <c r="BL97" s="523"/>
      <c r="BM97" s="523"/>
      <c r="BN97" s="523"/>
      <c r="BO97" s="523"/>
      <c r="BP97" s="523"/>
      <c r="BQ97" s="523"/>
      <c r="BR97" s="523"/>
      <c r="BS97" s="523"/>
      <c r="BT97" s="523"/>
      <c r="BU97" s="523"/>
      <c r="BV97" s="523"/>
      <c r="BW97" s="523"/>
      <c r="BX97" s="523"/>
      <c r="BY97" s="523"/>
      <c r="BZ97" s="523"/>
      <c r="CA97" s="523"/>
      <c r="CB97" s="523"/>
      <c r="CC97" s="523"/>
      <c r="CD97" s="523"/>
      <c r="CE97" s="523"/>
      <c r="CF97" s="523"/>
      <c r="CG97" s="523"/>
      <c r="CH97" s="523"/>
      <c r="CI97" s="523"/>
      <c r="CJ97" s="523"/>
      <c r="CK97" s="523"/>
      <c r="CL97" s="523"/>
      <c r="CM97" s="523"/>
      <c r="CN97" s="523"/>
      <c r="CO97" s="523"/>
      <c r="CP97" s="523"/>
      <c r="CQ97" s="523"/>
      <c r="CR97" s="523"/>
      <c r="CS97" s="523"/>
      <c r="CT97" s="523"/>
      <c r="CU97" s="523"/>
      <c r="CV97" s="523"/>
      <c r="CW97" s="523"/>
      <c r="CX97" s="523"/>
      <c r="CY97" s="523"/>
      <c r="CZ97" s="523"/>
      <c r="DA97" s="523"/>
      <c r="DB97" s="523"/>
      <c r="DC97" s="523"/>
      <c r="DD97" s="523"/>
      <c r="DE97" s="523"/>
      <c r="DF97" s="523"/>
      <c r="DG97" s="523"/>
      <c r="DH97" s="523"/>
      <c r="DI97" s="523"/>
      <c r="DJ97" s="523"/>
      <c r="DK97" s="523"/>
      <c r="DL97" s="523"/>
      <c r="DM97" s="523"/>
      <c r="DN97" s="523"/>
      <c r="DO97" s="523"/>
      <c r="DP97" s="523"/>
      <c r="DQ97" s="523"/>
      <c r="DR97" s="523"/>
      <c r="DS97" s="523"/>
      <c r="DT97" s="523"/>
      <c r="DU97" s="523"/>
      <c r="DV97" s="523"/>
      <c r="DW97" s="523"/>
      <c r="DX97" s="523"/>
      <c r="DY97" s="523"/>
      <c r="DZ97" s="523"/>
      <c r="EA97" s="523"/>
      <c r="EB97" s="523"/>
      <c r="EC97" s="523"/>
      <c r="ED97" s="523"/>
      <c r="EE97" s="523"/>
      <c r="EF97" s="523"/>
      <c r="EG97" s="523"/>
      <c r="EH97" s="523"/>
      <c r="EI97" s="523"/>
      <c r="EJ97" s="523"/>
      <c r="EK97" s="523"/>
      <c r="EL97" s="523"/>
      <c r="EM97" s="523"/>
      <c r="EN97" s="523"/>
      <c r="EO97" s="524"/>
      <c r="EP97" s="78"/>
      <c r="EQ97" s="78"/>
      <c r="ER97" s="78"/>
      <c r="ES97" s="78"/>
      <c r="ET97" s="78"/>
      <c r="EU97" s="78"/>
      <c r="EV97" s="78"/>
      <c r="EW97" s="78"/>
      <c r="EX97" s="78"/>
      <c r="EY97" s="78"/>
      <c r="EZ97" s="78"/>
      <c r="FA97" s="78"/>
      <c r="FB97" s="78"/>
      <c r="FC97" s="78"/>
      <c r="FD97" s="78"/>
      <c r="FE97" s="78"/>
      <c r="FF97" s="78"/>
      <c r="FG97" s="78"/>
      <c r="FH97" s="78"/>
      <c r="FI97" s="78"/>
      <c r="FJ97" s="78"/>
      <c r="FK97" s="78"/>
      <c r="FL97" s="78"/>
      <c r="FM97" s="78"/>
      <c r="FN97" s="78"/>
      <c r="FO97" s="78"/>
      <c r="FP97" s="78"/>
      <c r="FQ97" s="78"/>
      <c r="FR97" s="78"/>
      <c r="FS97" s="78"/>
      <c r="FT97" s="78"/>
      <c r="FU97" s="78"/>
      <c r="FV97" s="78"/>
      <c r="FW97" s="78"/>
      <c r="FX97" s="78"/>
      <c r="FY97" s="78"/>
      <c r="FZ97" s="78"/>
      <c r="GA97" s="78"/>
      <c r="GB97" s="78"/>
      <c r="GC97" s="78"/>
      <c r="GD97" s="78"/>
      <c r="GE97" s="78"/>
      <c r="GF97" s="78"/>
      <c r="GG97" s="78"/>
      <c r="GH97" s="78"/>
      <c r="GI97" s="42"/>
    </row>
    <row r="98" spans="1:193" ht="9.6" customHeight="1" x14ac:dyDescent="0.3">
      <c r="A98" s="525" t="s">
        <v>221</v>
      </c>
      <c r="B98" s="476"/>
      <c r="C98" s="476"/>
      <c r="D98" s="476"/>
      <c r="E98" s="476"/>
      <c r="F98" s="476"/>
      <c r="G98" s="476"/>
      <c r="H98" s="476"/>
      <c r="I98" s="476"/>
      <c r="J98" s="476"/>
      <c r="K98" s="476"/>
      <c r="L98" s="476"/>
      <c r="M98" s="476"/>
      <c r="N98" s="476"/>
      <c r="O98" s="476"/>
      <c r="P98" s="476"/>
      <c r="Q98" s="476"/>
      <c r="R98" s="476"/>
      <c r="S98" s="476"/>
      <c r="T98" s="476"/>
      <c r="U98" s="476"/>
      <c r="V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  <c r="AG98" s="476"/>
      <c r="AH98" s="476"/>
      <c r="AI98" s="476"/>
      <c r="AJ98" s="476"/>
      <c r="AK98" s="476"/>
      <c r="AL98" s="476"/>
      <c r="AM98" s="476"/>
      <c r="AN98" s="477"/>
      <c r="AO98" s="526" t="s">
        <v>215</v>
      </c>
      <c r="AP98" s="527"/>
      <c r="AQ98" s="527"/>
      <c r="AR98" s="527"/>
      <c r="AS98" s="527"/>
      <c r="AT98" s="527"/>
      <c r="AU98" s="527"/>
      <c r="AV98" s="527"/>
      <c r="AW98" s="528"/>
      <c r="AX98" s="475" t="s">
        <v>222</v>
      </c>
      <c r="AY98" s="476"/>
      <c r="AZ98" s="476"/>
      <c r="BA98" s="476"/>
      <c r="BB98" s="476"/>
      <c r="BC98" s="476"/>
      <c r="BD98" s="476"/>
      <c r="BE98" s="476"/>
      <c r="BF98" s="476"/>
      <c r="BG98" s="476"/>
      <c r="BH98" s="476"/>
      <c r="BI98" s="476"/>
      <c r="BJ98" s="476"/>
      <c r="BK98" s="476"/>
      <c r="BL98" s="476"/>
      <c r="BM98" s="476"/>
      <c r="BN98" s="476"/>
      <c r="BO98" s="476"/>
      <c r="BP98" s="476"/>
      <c r="BQ98" s="476"/>
      <c r="BR98" s="476"/>
      <c r="BS98" s="476"/>
      <c r="BT98" s="476"/>
      <c r="BU98" s="476"/>
      <c r="BV98" s="477"/>
      <c r="BW98" s="473" t="s">
        <v>223</v>
      </c>
      <c r="BX98" s="305"/>
      <c r="BY98" s="305"/>
      <c r="BZ98" s="305"/>
      <c r="CA98" s="305"/>
      <c r="CB98" s="305"/>
      <c r="CC98" s="305"/>
      <c r="CD98" s="305"/>
      <c r="CE98" s="305"/>
      <c r="CF98" s="305"/>
      <c r="CG98" s="305"/>
      <c r="CH98" s="305"/>
      <c r="CI98" s="305"/>
      <c r="CJ98" s="305"/>
      <c r="CK98" s="305"/>
      <c r="CL98" s="305"/>
      <c r="CM98" s="305"/>
      <c r="CN98" s="305"/>
      <c r="CO98" s="305"/>
      <c r="CP98" s="306"/>
      <c r="CQ98" s="475" t="s">
        <v>224</v>
      </c>
      <c r="CR98" s="476"/>
      <c r="CS98" s="476"/>
      <c r="CT98" s="476"/>
      <c r="CU98" s="476"/>
      <c r="CV98" s="476"/>
      <c r="CW98" s="476"/>
      <c r="CX98" s="476"/>
      <c r="CY98" s="476"/>
      <c r="CZ98" s="476"/>
      <c r="DA98" s="476"/>
      <c r="DB98" s="476"/>
      <c r="DC98" s="476"/>
      <c r="DD98" s="476"/>
      <c r="DE98" s="476"/>
      <c r="DF98" s="476"/>
      <c r="DG98" s="476"/>
      <c r="DH98" s="476"/>
      <c r="DI98" s="476"/>
      <c r="DJ98" s="476"/>
      <c r="DK98" s="476"/>
      <c r="DL98" s="476"/>
      <c r="DM98" s="476"/>
      <c r="DN98" s="476"/>
      <c r="DO98" s="476"/>
      <c r="DP98" s="476"/>
      <c r="DQ98" s="477"/>
      <c r="DR98" s="475" t="s">
        <v>225</v>
      </c>
      <c r="DS98" s="476"/>
      <c r="DT98" s="476"/>
      <c r="DU98" s="476"/>
      <c r="DV98" s="476"/>
      <c r="DW98" s="476"/>
      <c r="DX98" s="476"/>
      <c r="DY98" s="476"/>
      <c r="DZ98" s="476"/>
      <c r="EA98" s="476"/>
      <c r="EB98" s="476"/>
      <c r="EC98" s="476"/>
      <c r="ED98" s="476"/>
      <c r="EE98" s="476"/>
      <c r="EF98" s="476"/>
      <c r="EG98" s="476"/>
      <c r="EH98" s="476"/>
      <c r="EI98" s="476"/>
      <c r="EJ98" s="476"/>
      <c r="EK98" s="476"/>
      <c r="EL98" s="476"/>
      <c r="EM98" s="476"/>
      <c r="EN98" s="476"/>
      <c r="EO98" s="530"/>
      <c r="EP98" s="78"/>
      <c r="EQ98" s="78"/>
      <c r="ER98" s="78"/>
      <c r="ES98" s="78" t="s">
        <v>226</v>
      </c>
      <c r="ET98" s="78"/>
      <c r="EU98" s="78"/>
      <c r="EV98" s="78"/>
      <c r="EW98" s="78"/>
      <c r="EX98" s="78"/>
      <c r="EY98" s="78"/>
      <c r="EZ98" s="78"/>
      <c r="FA98" s="78"/>
      <c r="FB98" s="78"/>
      <c r="FC98" s="78"/>
      <c r="FD98" s="78"/>
      <c r="FE98" s="78"/>
      <c r="FF98" s="452"/>
      <c r="FG98" s="452"/>
      <c r="FH98" s="452"/>
      <c r="FI98" s="452"/>
      <c r="FJ98" s="452"/>
      <c r="FK98" s="452"/>
      <c r="FL98" s="452"/>
      <c r="FM98" s="452"/>
      <c r="FN98" s="452"/>
      <c r="FO98" s="452"/>
      <c r="FP98" s="452"/>
      <c r="FQ98" s="452"/>
      <c r="FR98" s="452"/>
      <c r="FS98" s="452"/>
      <c r="FT98" s="452"/>
      <c r="FU98" s="452"/>
      <c r="FV98" s="452"/>
      <c r="FW98" s="452"/>
      <c r="FX98" s="452"/>
      <c r="FY98" s="452"/>
      <c r="FZ98" s="452"/>
      <c r="GA98" s="452"/>
      <c r="GB98" s="452"/>
      <c r="GC98" s="452"/>
      <c r="GD98" s="452"/>
      <c r="GE98" s="452"/>
      <c r="GF98" s="452"/>
      <c r="GG98" s="452"/>
      <c r="GH98" s="452"/>
      <c r="GI98" s="42"/>
    </row>
    <row r="99" spans="1:193" ht="8.4" customHeight="1" x14ac:dyDescent="0.3">
      <c r="A99" s="531" t="s">
        <v>227</v>
      </c>
      <c r="B99" s="532"/>
      <c r="C99" s="532"/>
      <c r="D99" s="532"/>
      <c r="E99" s="532"/>
      <c r="F99" s="532"/>
      <c r="G99" s="532"/>
      <c r="H99" s="533"/>
      <c r="I99" s="540" t="s">
        <v>228</v>
      </c>
      <c r="J99" s="532"/>
      <c r="K99" s="532"/>
      <c r="L99" s="532"/>
      <c r="M99" s="532"/>
      <c r="N99" s="532"/>
      <c r="O99" s="532"/>
      <c r="P99" s="533"/>
      <c r="Q99" s="540" t="s">
        <v>229</v>
      </c>
      <c r="R99" s="532"/>
      <c r="S99" s="532"/>
      <c r="T99" s="532"/>
      <c r="U99" s="532"/>
      <c r="V99" s="532"/>
      <c r="W99" s="532"/>
      <c r="X99" s="533"/>
      <c r="Y99" s="540" t="s">
        <v>230</v>
      </c>
      <c r="Z99" s="532"/>
      <c r="AA99" s="532"/>
      <c r="AB99" s="532"/>
      <c r="AC99" s="532"/>
      <c r="AD99" s="532"/>
      <c r="AE99" s="532"/>
      <c r="AF99" s="533"/>
      <c r="AG99" s="540" t="s">
        <v>231</v>
      </c>
      <c r="AH99" s="532"/>
      <c r="AI99" s="532"/>
      <c r="AJ99" s="532"/>
      <c r="AK99" s="532"/>
      <c r="AL99" s="532"/>
      <c r="AM99" s="532"/>
      <c r="AN99" s="533"/>
      <c r="AO99" s="543" t="s">
        <v>232</v>
      </c>
      <c r="AP99" s="544"/>
      <c r="AQ99" s="544"/>
      <c r="AR99" s="544"/>
      <c r="AS99" s="544"/>
      <c r="AT99" s="544"/>
      <c r="AU99" s="544"/>
      <c r="AV99" s="544"/>
      <c r="AW99" s="545"/>
      <c r="AX99" s="540" t="s">
        <v>233</v>
      </c>
      <c r="AY99" s="532"/>
      <c r="AZ99" s="532"/>
      <c r="BA99" s="532"/>
      <c r="BB99" s="532"/>
      <c r="BC99" s="532"/>
      <c r="BD99" s="532"/>
      <c r="BE99" s="532"/>
      <c r="BF99" s="532"/>
      <c r="BG99" s="532"/>
      <c r="BH99" s="533"/>
      <c r="BI99" s="546" t="s">
        <v>234</v>
      </c>
      <c r="BJ99" s="547"/>
      <c r="BK99" s="547"/>
      <c r="BL99" s="547"/>
      <c r="BM99" s="547"/>
      <c r="BN99" s="547"/>
      <c r="BO99" s="547"/>
      <c r="BP99" s="547"/>
      <c r="BQ99" s="547"/>
      <c r="BR99" s="547"/>
      <c r="BS99" s="547"/>
      <c r="BT99" s="547"/>
      <c r="BU99" s="547"/>
      <c r="BV99" s="548"/>
      <c r="BW99" s="529"/>
      <c r="BX99" s="308"/>
      <c r="BY99" s="308"/>
      <c r="BZ99" s="308"/>
      <c r="CA99" s="308"/>
      <c r="CB99" s="308"/>
      <c r="CC99" s="308"/>
      <c r="CD99" s="308"/>
      <c r="CE99" s="308"/>
      <c r="CF99" s="308"/>
      <c r="CG99" s="308"/>
      <c r="CH99" s="308"/>
      <c r="CI99" s="308"/>
      <c r="CJ99" s="308"/>
      <c r="CK99" s="308"/>
      <c r="CL99" s="308"/>
      <c r="CM99" s="308"/>
      <c r="CN99" s="308"/>
      <c r="CO99" s="308"/>
      <c r="CP99" s="309"/>
      <c r="CQ99" s="546" t="s">
        <v>235</v>
      </c>
      <c r="CR99" s="547"/>
      <c r="CS99" s="547"/>
      <c r="CT99" s="547"/>
      <c r="CU99" s="547"/>
      <c r="CV99" s="547"/>
      <c r="CW99" s="547"/>
      <c r="CX99" s="547"/>
      <c r="CY99" s="547"/>
      <c r="CZ99" s="547"/>
      <c r="DA99" s="547"/>
      <c r="DB99" s="547"/>
      <c r="DC99" s="548"/>
      <c r="DD99" s="546" t="s">
        <v>236</v>
      </c>
      <c r="DE99" s="547"/>
      <c r="DF99" s="547"/>
      <c r="DG99" s="547"/>
      <c r="DH99" s="547"/>
      <c r="DI99" s="547"/>
      <c r="DJ99" s="547"/>
      <c r="DK99" s="547"/>
      <c r="DL99" s="547"/>
      <c r="DM99" s="547"/>
      <c r="DN99" s="547"/>
      <c r="DO99" s="547"/>
      <c r="DP99" s="547"/>
      <c r="DQ99" s="548"/>
      <c r="DR99" s="546" t="s">
        <v>237</v>
      </c>
      <c r="DS99" s="547"/>
      <c r="DT99" s="547"/>
      <c r="DU99" s="547"/>
      <c r="DV99" s="547"/>
      <c r="DW99" s="547"/>
      <c r="DX99" s="547"/>
      <c r="DY99" s="547"/>
      <c r="DZ99" s="547"/>
      <c r="EA99" s="547"/>
      <c r="EB99" s="547"/>
      <c r="EC99" s="547"/>
      <c r="ED99" s="547"/>
      <c r="EE99" s="548"/>
      <c r="EF99" s="546" t="s">
        <v>238</v>
      </c>
      <c r="EG99" s="547"/>
      <c r="EH99" s="547"/>
      <c r="EI99" s="547"/>
      <c r="EJ99" s="547"/>
      <c r="EK99" s="547"/>
      <c r="EL99" s="547"/>
      <c r="EM99" s="547"/>
      <c r="EN99" s="547"/>
      <c r="EO99" s="555"/>
      <c r="EP99" s="78"/>
      <c r="EQ99" s="78"/>
      <c r="ER99" s="367"/>
      <c r="ES99" s="367"/>
      <c r="ET99" s="367"/>
      <c r="EU99" s="367"/>
      <c r="EV99" s="367"/>
      <c r="EW99" s="367"/>
      <c r="EX99" s="367"/>
      <c r="EY99" s="367"/>
      <c r="EZ99" s="367"/>
      <c r="FA99" s="367"/>
      <c r="FB99" s="367"/>
      <c r="FC99" s="367"/>
      <c r="FD99" s="367"/>
      <c r="FE99" s="367"/>
      <c r="FF99" s="367"/>
      <c r="FG99" s="367"/>
      <c r="FH99" s="367"/>
      <c r="FI99" s="367"/>
      <c r="FJ99" s="367"/>
      <c r="FK99" s="367"/>
      <c r="FL99" s="367"/>
      <c r="FM99" s="367"/>
      <c r="FN99" s="367"/>
      <c r="FO99" s="367"/>
      <c r="FP99" s="367"/>
      <c r="FQ99" s="367"/>
      <c r="FR99" s="367"/>
      <c r="FS99" s="367"/>
      <c r="FT99" s="367"/>
      <c r="FU99" s="367"/>
      <c r="FV99" s="367"/>
      <c r="FW99" s="367"/>
      <c r="FX99" s="367"/>
      <c r="FY99" s="367"/>
      <c r="FZ99" s="367"/>
      <c r="GA99" s="367"/>
      <c r="GB99" s="367"/>
      <c r="GC99" s="367"/>
      <c r="GD99" s="367"/>
      <c r="GE99" s="367"/>
      <c r="GF99" s="367"/>
      <c r="GG99" s="367"/>
      <c r="GH99" s="367"/>
      <c r="GI99" s="42"/>
    </row>
    <row r="100" spans="1:193" ht="8.4" customHeight="1" x14ac:dyDescent="0.3">
      <c r="A100" s="534"/>
      <c r="B100" s="535"/>
      <c r="C100" s="535"/>
      <c r="D100" s="535"/>
      <c r="E100" s="535"/>
      <c r="F100" s="535"/>
      <c r="G100" s="535"/>
      <c r="H100" s="536"/>
      <c r="I100" s="541"/>
      <c r="J100" s="535"/>
      <c r="K100" s="535"/>
      <c r="L100" s="535"/>
      <c r="M100" s="535"/>
      <c r="N100" s="535"/>
      <c r="O100" s="535"/>
      <c r="P100" s="536"/>
      <c r="Q100" s="541"/>
      <c r="R100" s="535"/>
      <c r="S100" s="535"/>
      <c r="T100" s="535"/>
      <c r="U100" s="535"/>
      <c r="V100" s="535"/>
      <c r="W100" s="535"/>
      <c r="X100" s="536"/>
      <c r="Y100" s="541"/>
      <c r="Z100" s="535"/>
      <c r="AA100" s="535"/>
      <c r="AB100" s="535"/>
      <c r="AC100" s="535"/>
      <c r="AD100" s="535"/>
      <c r="AE100" s="535"/>
      <c r="AF100" s="536"/>
      <c r="AG100" s="541"/>
      <c r="AH100" s="535"/>
      <c r="AI100" s="535"/>
      <c r="AJ100" s="535"/>
      <c r="AK100" s="535"/>
      <c r="AL100" s="535"/>
      <c r="AM100" s="535"/>
      <c r="AN100" s="536"/>
      <c r="AO100" s="543" t="s">
        <v>239</v>
      </c>
      <c r="AP100" s="544"/>
      <c r="AQ100" s="544"/>
      <c r="AR100" s="544"/>
      <c r="AS100" s="544"/>
      <c r="AT100" s="544"/>
      <c r="AU100" s="544"/>
      <c r="AV100" s="544"/>
      <c r="AW100" s="545"/>
      <c r="AX100" s="541"/>
      <c r="AY100" s="535"/>
      <c r="AZ100" s="535"/>
      <c r="BA100" s="535"/>
      <c r="BB100" s="535"/>
      <c r="BC100" s="535"/>
      <c r="BD100" s="535"/>
      <c r="BE100" s="535"/>
      <c r="BF100" s="535"/>
      <c r="BG100" s="535"/>
      <c r="BH100" s="536"/>
      <c r="BI100" s="549"/>
      <c r="BJ100" s="550"/>
      <c r="BK100" s="550"/>
      <c r="BL100" s="550"/>
      <c r="BM100" s="550"/>
      <c r="BN100" s="550"/>
      <c r="BO100" s="550"/>
      <c r="BP100" s="550"/>
      <c r="BQ100" s="550"/>
      <c r="BR100" s="550"/>
      <c r="BS100" s="550"/>
      <c r="BT100" s="550"/>
      <c r="BU100" s="550"/>
      <c r="BV100" s="551"/>
      <c r="BW100" s="529"/>
      <c r="BX100" s="308"/>
      <c r="BY100" s="308"/>
      <c r="BZ100" s="308"/>
      <c r="CA100" s="308"/>
      <c r="CB100" s="308"/>
      <c r="CC100" s="308"/>
      <c r="CD100" s="308"/>
      <c r="CE100" s="308"/>
      <c r="CF100" s="308"/>
      <c r="CG100" s="308"/>
      <c r="CH100" s="308"/>
      <c r="CI100" s="308"/>
      <c r="CJ100" s="308"/>
      <c r="CK100" s="308"/>
      <c r="CL100" s="308"/>
      <c r="CM100" s="308"/>
      <c r="CN100" s="308"/>
      <c r="CO100" s="308"/>
      <c r="CP100" s="309"/>
      <c r="CQ100" s="549"/>
      <c r="CR100" s="550"/>
      <c r="CS100" s="550"/>
      <c r="CT100" s="550"/>
      <c r="CU100" s="550"/>
      <c r="CV100" s="550"/>
      <c r="CW100" s="550"/>
      <c r="CX100" s="550"/>
      <c r="CY100" s="550"/>
      <c r="CZ100" s="550"/>
      <c r="DA100" s="550"/>
      <c r="DB100" s="550"/>
      <c r="DC100" s="551"/>
      <c r="DD100" s="549"/>
      <c r="DE100" s="550"/>
      <c r="DF100" s="550"/>
      <c r="DG100" s="550"/>
      <c r="DH100" s="550"/>
      <c r="DI100" s="550"/>
      <c r="DJ100" s="550"/>
      <c r="DK100" s="550"/>
      <c r="DL100" s="550"/>
      <c r="DM100" s="550"/>
      <c r="DN100" s="550"/>
      <c r="DO100" s="550"/>
      <c r="DP100" s="550"/>
      <c r="DQ100" s="551"/>
      <c r="DR100" s="549"/>
      <c r="DS100" s="550"/>
      <c r="DT100" s="550"/>
      <c r="DU100" s="550"/>
      <c r="DV100" s="550"/>
      <c r="DW100" s="550"/>
      <c r="DX100" s="550"/>
      <c r="DY100" s="550"/>
      <c r="DZ100" s="550"/>
      <c r="EA100" s="550"/>
      <c r="EB100" s="550"/>
      <c r="EC100" s="550"/>
      <c r="ED100" s="550"/>
      <c r="EE100" s="551"/>
      <c r="EF100" s="549"/>
      <c r="EG100" s="550"/>
      <c r="EH100" s="550"/>
      <c r="EI100" s="550"/>
      <c r="EJ100" s="550"/>
      <c r="EK100" s="550"/>
      <c r="EL100" s="550"/>
      <c r="EM100" s="550"/>
      <c r="EN100" s="550"/>
      <c r="EO100" s="556"/>
      <c r="EP100" s="78"/>
      <c r="EQ100" s="78"/>
      <c r="ER100" s="457"/>
      <c r="ES100" s="457"/>
      <c r="ET100" s="457"/>
      <c r="EU100" s="457"/>
      <c r="EV100" s="457"/>
      <c r="EW100" s="457"/>
      <c r="EX100" s="457"/>
      <c r="EY100" s="457"/>
      <c r="EZ100" s="457"/>
      <c r="FA100" s="457"/>
      <c r="FB100" s="457"/>
      <c r="FC100" s="457"/>
      <c r="FD100" s="457"/>
      <c r="FE100" s="457"/>
      <c r="FF100" s="457"/>
      <c r="FG100" s="457"/>
      <c r="FH100" s="457"/>
      <c r="FI100" s="457"/>
      <c r="FJ100" s="457"/>
      <c r="FK100" s="457"/>
      <c r="FL100" s="457"/>
      <c r="FM100" s="457"/>
      <c r="FN100" s="457"/>
      <c r="FO100" s="457"/>
      <c r="FP100" s="457"/>
      <c r="FQ100" s="457"/>
      <c r="FR100" s="457"/>
      <c r="FS100" s="457"/>
      <c r="FT100" s="457"/>
      <c r="FU100" s="457"/>
      <c r="FV100" s="457"/>
      <c r="FW100" s="457"/>
      <c r="FX100" s="457"/>
      <c r="FY100" s="457"/>
      <c r="FZ100" s="457"/>
      <c r="GA100" s="457"/>
      <c r="GB100" s="457"/>
      <c r="GC100" s="457"/>
      <c r="GD100" s="457"/>
      <c r="GE100" s="457"/>
      <c r="GF100" s="457"/>
      <c r="GG100" s="457"/>
      <c r="GH100" s="457"/>
      <c r="GI100" s="42"/>
    </row>
    <row r="101" spans="1:193" ht="8.4" customHeight="1" x14ac:dyDescent="0.3">
      <c r="A101" s="537"/>
      <c r="B101" s="538"/>
      <c r="C101" s="538"/>
      <c r="D101" s="538"/>
      <c r="E101" s="538"/>
      <c r="F101" s="538"/>
      <c r="G101" s="538"/>
      <c r="H101" s="539"/>
      <c r="I101" s="542"/>
      <c r="J101" s="538"/>
      <c r="K101" s="538"/>
      <c r="L101" s="538"/>
      <c r="M101" s="538"/>
      <c r="N101" s="538"/>
      <c r="O101" s="538"/>
      <c r="P101" s="539"/>
      <c r="Q101" s="542"/>
      <c r="R101" s="538"/>
      <c r="S101" s="538"/>
      <c r="T101" s="538"/>
      <c r="U101" s="538"/>
      <c r="V101" s="538"/>
      <c r="W101" s="538"/>
      <c r="X101" s="539"/>
      <c r="Y101" s="542"/>
      <c r="Z101" s="538"/>
      <c r="AA101" s="538"/>
      <c r="AB101" s="538"/>
      <c r="AC101" s="538"/>
      <c r="AD101" s="538"/>
      <c r="AE101" s="538"/>
      <c r="AF101" s="539"/>
      <c r="AG101" s="542"/>
      <c r="AH101" s="538"/>
      <c r="AI101" s="538"/>
      <c r="AJ101" s="538"/>
      <c r="AK101" s="538"/>
      <c r="AL101" s="538"/>
      <c r="AM101" s="538"/>
      <c r="AN101" s="539"/>
      <c r="AO101" s="558" t="s">
        <v>240</v>
      </c>
      <c r="AP101" s="559"/>
      <c r="AQ101" s="559"/>
      <c r="AR101" s="559"/>
      <c r="AS101" s="559"/>
      <c r="AT101" s="559"/>
      <c r="AU101" s="559"/>
      <c r="AV101" s="559"/>
      <c r="AW101" s="560"/>
      <c r="AX101" s="542"/>
      <c r="AY101" s="538"/>
      <c r="AZ101" s="538"/>
      <c r="BA101" s="538"/>
      <c r="BB101" s="538"/>
      <c r="BC101" s="538"/>
      <c r="BD101" s="538"/>
      <c r="BE101" s="538"/>
      <c r="BF101" s="538"/>
      <c r="BG101" s="538"/>
      <c r="BH101" s="539"/>
      <c r="BI101" s="552"/>
      <c r="BJ101" s="553"/>
      <c r="BK101" s="553"/>
      <c r="BL101" s="553"/>
      <c r="BM101" s="553"/>
      <c r="BN101" s="553"/>
      <c r="BO101" s="553"/>
      <c r="BP101" s="553"/>
      <c r="BQ101" s="553"/>
      <c r="BR101" s="553"/>
      <c r="BS101" s="553"/>
      <c r="BT101" s="553"/>
      <c r="BU101" s="553"/>
      <c r="BV101" s="554"/>
      <c r="BW101" s="474"/>
      <c r="BX101" s="311"/>
      <c r="BY101" s="311"/>
      <c r="BZ101" s="311"/>
      <c r="CA101" s="311"/>
      <c r="CB101" s="311"/>
      <c r="CC101" s="311"/>
      <c r="CD101" s="311"/>
      <c r="CE101" s="311"/>
      <c r="CF101" s="311"/>
      <c r="CG101" s="311"/>
      <c r="CH101" s="311"/>
      <c r="CI101" s="311"/>
      <c r="CJ101" s="311"/>
      <c r="CK101" s="311"/>
      <c r="CL101" s="311"/>
      <c r="CM101" s="311"/>
      <c r="CN101" s="311"/>
      <c r="CO101" s="311"/>
      <c r="CP101" s="312"/>
      <c r="CQ101" s="552"/>
      <c r="CR101" s="553"/>
      <c r="CS101" s="553"/>
      <c r="CT101" s="553"/>
      <c r="CU101" s="553"/>
      <c r="CV101" s="553"/>
      <c r="CW101" s="553"/>
      <c r="CX101" s="553"/>
      <c r="CY101" s="553"/>
      <c r="CZ101" s="553"/>
      <c r="DA101" s="553"/>
      <c r="DB101" s="553"/>
      <c r="DC101" s="554"/>
      <c r="DD101" s="552"/>
      <c r="DE101" s="553"/>
      <c r="DF101" s="553"/>
      <c r="DG101" s="553"/>
      <c r="DH101" s="553"/>
      <c r="DI101" s="553"/>
      <c r="DJ101" s="553"/>
      <c r="DK101" s="553"/>
      <c r="DL101" s="553"/>
      <c r="DM101" s="553"/>
      <c r="DN101" s="553"/>
      <c r="DO101" s="553"/>
      <c r="DP101" s="553"/>
      <c r="DQ101" s="554"/>
      <c r="DR101" s="552"/>
      <c r="DS101" s="553"/>
      <c r="DT101" s="553"/>
      <c r="DU101" s="553"/>
      <c r="DV101" s="553"/>
      <c r="DW101" s="553"/>
      <c r="DX101" s="553"/>
      <c r="DY101" s="553"/>
      <c r="DZ101" s="553"/>
      <c r="EA101" s="553"/>
      <c r="EB101" s="553"/>
      <c r="EC101" s="553"/>
      <c r="ED101" s="553"/>
      <c r="EE101" s="554"/>
      <c r="EF101" s="552"/>
      <c r="EG101" s="553"/>
      <c r="EH101" s="553"/>
      <c r="EI101" s="553"/>
      <c r="EJ101" s="553"/>
      <c r="EK101" s="553"/>
      <c r="EL101" s="553"/>
      <c r="EM101" s="553"/>
      <c r="EN101" s="553"/>
      <c r="EO101" s="557"/>
      <c r="EP101" s="78"/>
      <c r="EQ101" s="78"/>
      <c r="ER101" s="459"/>
      <c r="ES101" s="459"/>
      <c r="ET101" s="459"/>
      <c r="EU101" s="459"/>
      <c r="EV101" s="459"/>
      <c r="EW101" s="459"/>
      <c r="EX101" s="459"/>
      <c r="EY101" s="459"/>
      <c r="EZ101" s="459"/>
      <c r="FA101" s="459"/>
      <c r="FB101" s="459"/>
      <c r="FC101" s="459"/>
      <c r="FD101" s="459"/>
      <c r="FE101" s="459"/>
      <c r="FF101" s="459"/>
      <c r="FG101" s="459"/>
      <c r="FH101" s="459"/>
      <c r="FI101" s="459"/>
      <c r="FJ101" s="459"/>
      <c r="FK101" s="459"/>
      <c r="FL101" s="459"/>
      <c r="FM101" s="459"/>
      <c r="FN101" s="459"/>
      <c r="FO101" s="459"/>
      <c r="FP101" s="459"/>
      <c r="FQ101" s="459"/>
      <c r="FR101" s="459"/>
      <c r="FS101" s="459"/>
      <c r="FT101" s="459"/>
      <c r="FU101" s="459"/>
      <c r="FV101" s="459"/>
      <c r="FW101" s="459"/>
      <c r="FX101" s="459"/>
      <c r="FY101" s="459"/>
      <c r="FZ101" s="459"/>
      <c r="GA101" s="459"/>
      <c r="GB101" s="459"/>
      <c r="GC101" s="459"/>
      <c r="GD101" s="459"/>
      <c r="GE101" s="459"/>
      <c r="GF101" s="459"/>
      <c r="GG101" s="459"/>
      <c r="GH101" s="459"/>
      <c r="GI101" s="42"/>
    </row>
    <row r="102" spans="1:193" ht="9.6" customHeight="1" thickBot="1" x14ac:dyDescent="0.35">
      <c r="A102" s="413">
        <v>20</v>
      </c>
      <c r="B102" s="416"/>
      <c r="C102" s="416"/>
      <c r="D102" s="416"/>
      <c r="E102" s="416"/>
      <c r="F102" s="416"/>
      <c r="G102" s="416"/>
      <c r="H102" s="501"/>
      <c r="I102" s="483">
        <v>21</v>
      </c>
      <c r="J102" s="416"/>
      <c r="K102" s="416"/>
      <c r="L102" s="416"/>
      <c r="M102" s="416"/>
      <c r="N102" s="416"/>
      <c r="O102" s="416"/>
      <c r="P102" s="501"/>
      <c r="Q102" s="483">
        <v>22</v>
      </c>
      <c r="R102" s="416"/>
      <c r="S102" s="416"/>
      <c r="T102" s="416"/>
      <c r="U102" s="416"/>
      <c r="V102" s="416"/>
      <c r="W102" s="416"/>
      <c r="X102" s="501"/>
      <c r="Y102" s="483">
        <v>23</v>
      </c>
      <c r="Z102" s="416"/>
      <c r="AA102" s="416"/>
      <c r="AB102" s="416"/>
      <c r="AC102" s="416"/>
      <c r="AD102" s="416"/>
      <c r="AE102" s="416"/>
      <c r="AF102" s="501"/>
      <c r="AG102" s="483">
        <v>24</v>
      </c>
      <c r="AH102" s="416"/>
      <c r="AI102" s="416"/>
      <c r="AJ102" s="416"/>
      <c r="AK102" s="416"/>
      <c r="AL102" s="416"/>
      <c r="AM102" s="416"/>
      <c r="AN102" s="501"/>
      <c r="AO102" s="483">
        <v>25</v>
      </c>
      <c r="AP102" s="416"/>
      <c r="AQ102" s="416"/>
      <c r="AR102" s="416"/>
      <c r="AS102" s="416"/>
      <c r="AT102" s="416"/>
      <c r="AU102" s="416"/>
      <c r="AV102" s="416"/>
      <c r="AW102" s="501"/>
      <c r="AX102" s="483">
        <v>26</v>
      </c>
      <c r="AY102" s="416"/>
      <c r="AZ102" s="416"/>
      <c r="BA102" s="416"/>
      <c r="BB102" s="416"/>
      <c r="BC102" s="416"/>
      <c r="BD102" s="416"/>
      <c r="BE102" s="416"/>
      <c r="BF102" s="416"/>
      <c r="BG102" s="416"/>
      <c r="BH102" s="501"/>
      <c r="BI102" s="483">
        <v>27</v>
      </c>
      <c r="BJ102" s="416"/>
      <c r="BK102" s="416"/>
      <c r="BL102" s="416"/>
      <c r="BM102" s="416"/>
      <c r="BN102" s="416"/>
      <c r="BO102" s="416"/>
      <c r="BP102" s="416"/>
      <c r="BQ102" s="416"/>
      <c r="BR102" s="416"/>
      <c r="BS102" s="416"/>
      <c r="BT102" s="416"/>
      <c r="BU102" s="416"/>
      <c r="BV102" s="501"/>
      <c r="BW102" s="483">
        <v>28</v>
      </c>
      <c r="BX102" s="416"/>
      <c r="BY102" s="416"/>
      <c r="BZ102" s="416"/>
      <c r="CA102" s="416"/>
      <c r="CB102" s="416"/>
      <c r="CC102" s="416"/>
      <c r="CD102" s="416"/>
      <c r="CE102" s="416"/>
      <c r="CF102" s="416"/>
      <c r="CG102" s="416"/>
      <c r="CH102" s="416"/>
      <c r="CI102" s="416"/>
      <c r="CJ102" s="416"/>
      <c r="CK102" s="416"/>
      <c r="CL102" s="416"/>
      <c r="CM102" s="416"/>
      <c r="CN102" s="416"/>
      <c r="CO102" s="416"/>
      <c r="CP102" s="501"/>
      <c r="CQ102" s="483">
        <v>29</v>
      </c>
      <c r="CR102" s="416"/>
      <c r="CS102" s="416"/>
      <c r="CT102" s="416"/>
      <c r="CU102" s="416"/>
      <c r="CV102" s="416"/>
      <c r="CW102" s="416"/>
      <c r="CX102" s="416"/>
      <c r="CY102" s="416"/>
      <c r="CZ102" s="416"/>
      <c r="DA102" s="416"/>
      <c r="DB102" s="416"/>
      <c r="DC102" s="501"/>
      <c r="DD102" s="483">
        <v>30</v>
      </c>
      <c r="DE102" s="416"/>
      <c r="DF102" s="416"/>
      <c r="DG102" s="416"/>
      <c r="DH102" s="416"/>
      <c r="DI102" s="416"/>
      <c r="DJ102" s="416"/>
      <c r="DK102" s="416"/>
      <c r="DL102" s="416"/>
      <c r="DM102" s="416"/>
      <c r="DN102" s="416"/>
      <c r="DO102" s="416"/>
      <c r="DP102" s="416"/>
      <c r="DQ102" s="501"/>
      <c r="DR102" s="483">
        <v>31</v>
      </c>
      <c r="DS102" s="416"/>
      <c r="DT102" s="416"/>
      <c r="DU102" s="416"/>
      <c r="DV102" s="416"/>
      <c r="DW102" s="416"/>
      <c r="DX102" s="416"/>
      <c r="DY102" s="416"/>
      <c r="DZ102" s="416"/>
      <c r="EA102" s="416"/>
      <c r="EB102" s="416"/>
      <c r="EC102" s="416"/>
      <c r="ED102" s="416"/>
      <c r="EE102" s="501"/>
      <c r="EF102" s="483">
        <v>32</v>
      </c>
      <c r="EG102" s="416"/>
      <c r="EH102" s="416"/>
      <c r="EI102" s="416"/>
      <c r="EJ102" s="416"/>
      <c r="EK102" s="416"/>
      <c r="EL102" s="416"/>
      <c r="EM102" s="416"/>
      <c r="EN102" s="416"/>
      <c r="EO102" s="417"/>
      <c r="EP102" s="78"/>
      <c r="EQ102" s="78"/>
      <c r="ER102" s="457"/>
      <c r="ES102" s="457"/>
      <c r="ET102" s="457"/>
      <c r="EU102" s="457"/>
      <c r="EV102" s="457"/>
      <c r="EW102" s="457"/>
      <c r="EX102" s="457"/>
      <c r="EY102" s="457"/>
      <c r="EZ102" s="457"/>
      <c r="FA102" s="457"/>
      <c r="FB102" s="457"/>
      <c r="FC102" s="457"/>
      <c r="FD102" s="457"/>
      <c r="FE102" s="457"/>
      <c r="FF102" s="457"/>
      <c r="FG102" s="457"/>
      <c r="FH102" s="457"/>
      <c r="FI102" s="457"/>
      <c r="FJ102" s="457"/>
      <c r="FK102" s="457"/>
      <c r="FL102" s="457"/>
      <c r="FM102" s="457"/>
      <c r="FN102" s="457"/>
      <c r="FO102" s="457"/>
      <c r="FP102" s="457"/>
      <c r="FQ102" s="457"/>
      <c r="FR102" s="457"/>
      <c r="FS102" s="457"/>
      <c r="FT102" s="457"/>
      <c r="FU102" s="457"/>
      <c r="FV102" s="457"/>
      <c r="FW102" s="457"/>
      <c r="FX102" s="457"/>
      <c r="FY102" s="457"/>
      <c r="FZ102" s="457"/>
      <c r="GA102" s="457"/>
      <c r="GB102" s="457"/>
      <c r="GC102" s="457"/>
      <c r="GD102" s="457"/>
      <c r="GE102" s="457"/>
      <c r="GF102" s="457"/>
      <c r="GG102" s="457"/>
      <c r="GH102" s="457"/>
      <c r="GI102" s="42"/>
    </row>
    <row r="103" spans="1:193" ht="11.4" customHeight="1" thickBot="1" x14ac:dyDescent="0.35">
      <c r="A103" s="561"/>
      <c r="B103" s="562"/>
      <c r="C103" s="562"/>
      <c r="D103" s="562"/>
      <c r="E103" s="562"/>
      <c r="F103" s="562"/>
      <c r="G103" s="562"/>
      <c r="H103" s="563"/>
      <c r="I103" s="564"/>
      <c r="J103" s="562"/>
      <c r="K103" s="562"/>
      <c r="L103" s="562"/>
      <c r="M103" s="562"/>
      <c r="N103" s="562"/>
      <c r="O103" s="562"/>
      <c r="P103" s="563"/>
      <c r="Q103" s="564"/>
      <c r="R103" s="562"/>
      <c r="S103" s="562"/>
      <c r="T103" s="562"/>
      <c r="U103" s="562"/>
      <c r="V103" s="562"/>
      <c r="W103" s="562"/>
      <c r="X103" s="563"/>
      <c r="Y103" s="564"/>
      <c r="Z103" s="562"/>
      <c r="AA103" s="562"/>
      <c r="AB103" s="562"/>
      <c r="AC103" s="562"/>
      <c r="AD103" s="562"/>
      <c r="AE103" s="562"/>
      <c r="AF103" s="563"/>
      <c r="AG103" s="564"/>
      <c r="AH103" s="562"/>
      <c r="AI103" s="562"/>
      <c r="AJ103" s="562"/>
      <c r="AK103" s="562"/>
      <c r="AL103" s="562"/>
      <c r="AM103" s="562"/>
      <c r="AN103" s="563"/>
      <c r="AO103" s="565"/>
      <c r="AP103" s="566"/>
      <c r="AQ103" s="566"/>
      <c r="AR103" s="566"/>
      <c r="AS103" s="566"/>
      <c r="AT103" s="566"/>
      <c r="AU103" s="566"/>
      <c r="AV103" s="566"/>
      <c r="AW103" s="567"/>
      <c r="AX103" s="564"/>
      <c r="AY103" s="562"/>
      <c r="AZ103" s="562"/>
      <c r="BA103" s="562"/>
      <c r="BB103" s="562"/>
      <c r="BC103" s="562"/>
      <c r="BD103" s="562"/>
      <c r="BE103" s="562"/>
      <c r="BF103" s="562"/>
      <c r="BG103" s="562"/>
      <c r="BH103" s="563"/>
      <c r="BI103" s="564"/>
      <c r="BJ103" s="562"/>
      <c r="BK103" s="562"/>
      <c r="BL103" s="562"/>
      <c r="BM103" s="562"/>
      <c r="BN103" s="562"/>
      <c r="BO103" s="562"/>
      <c r="BP103" s="562"/>
      <c r="BQ103" s="562"/>
      <c r="BR103" s="562"/>
      <c r="BS103" s="562"/>
      <c r="BT103" s="562"/>
      <c r="BU103" s="562"/>
      <c r="BV103" s="563"/>
      <c r="BW103" s="564"/>
      <c r="BX103" s="562"/>
      <c r="BY103" s="562"/>
      <c r="BZ103" s="562"/>
      <c r="CA103" s="562"/>
      <c r="CB103" s="562"/>
      <c r="CC103" s="562"/>
      <c r="CD103" s="562"/>
      <c r="CE103" s="562"/>
      <c r="CF103" s="562"/>
      <c r="CG103" s="562"/>
      <c r="CH103" s="562"/>
      <c r="CI103" s="562"/>
      <c r="CJ103" s="562"/>
      <c r="CK103" s="562"/>
      <c r="CL103" s="562"/>
      <c r="CM103" s="562"/>
      <c r="CN103" s="562"/>
      <c r="CO103" s="562"/>
      <c r="CP103" s="563"/>
      <c r="CQ103" s="564"/>
      <c r="CR103" s="562"/>
      <c r="CS103" s="562"/>
      <c r="CT103" s="562"/>
      <c r="CU103" s="562"/>
      <c r="CV103" s="562"/>
      <c r="CW103" s="562"/>
      <c r="CX103" s="562"/>
      <c r="CY103" s="562"/>
      <c r="CZ103" s="562"/>
      <c r="DA103" s="562"/>
      <c r="DB103" s="562"/>
      <c r="DC103" s="563"/>
      <c r="DD103" s="564"/>
      <c r="DE103" s="562"/>
      <c r="DF103" s="562"/>
      <c r="DG103" s="562"/>
      <c r="DH103" s="562"/>
      <c r="DI103" s="562"/>
      <c r="DJ103" s="562"/>
      <c r="DK103" s="562"/>
      <c r="DL103" s="562"/>
      <c r="DM103" s="562"/>
      <c r="DN103" s="562"/>
      <c r="DO103" s="562"/>
      <c r="DP103" s="562"/>
      <c r="DQ103" s="563"/>
      <c r="DR103" s="564"/>
      <c r="DS103" s="562"/>
      <c r="DT103" s="562"/>
      <c r="DU103" s="562"/>
      <c r="DV103" s="562"/>
      <c r="DW103" s="562"/>
      <c r="DX103" s="562"/>
      <c r="DY103" s="562"/>
      <c r="DZ103" s="562"/>
      <c r="EA103" s="562"/>
      <c r="EB103" s="562"/>
      <c r="EC103" s="562"/>
      <c r="ED103" s="562"/>
      <c r="EE103" s="563"/>
      <c r="EF103" s="564"/>
      <c r="EG103" s="562"/>
      <c r="EH103" s="562"/>
      <c r="EI103" s="562"/>
      <c r="EJ103" s="562"/>
      <c r="EK103" s="562"/>
      <c r="EL103" s="562"/>
      <c r="EM103" s="562"/>
      <c r="EN103" s="562"/>
      <c r="EO103" s="568"/>
      <c r="EP103" s="78"/>
      <c r="EQ103" s="78"/>
      <c r="ER103" s="569"/>
      <c r="ES103" s="569"/>
      <c r="ET103" s="569"/>
      <c r="EU103" s="569"/>
      <c r="EV103" s="569"/>
      <c r="EW103" s="569"/>
      <c r="EX103" s="569"/>
      <c r="EY103" s="569"/>
      <c r="EZ103" s="569"/>
      <c r="FA103" s="569"/>
      <c r="FB103" s="569"/>
      <c r="FC103" s="569"/>
      <c r="FD103" s="569"/>
      <c r="FE103" s="569"/>
      <c r="FF103" s="569"/>
      <c r="FG103" s="569"/>
      <c r="FH103" s="569"/>
      <c r="FI103" s="569"/>
      <c r="FJ103" s="569"/>
      <c r="FK103" s="569"/>
      <c r="FL103" s="569"/>
      <c r="FM103" s="569"/>
      <c r="FN103" s="569"/>
      <c r="FO103" s="569"/>
      <c r="FP103" s="569"/>
      <c r="FQ103" s="569"/>
      <c r="FR103" s="569"/>
      <c r="FS103" s="569"/>
      <c r="FT103" s="569"/>
      <c r="FU103" s="569"/>
      <c r="FV103" s="569"/>
      <c r="FW103" s="569"/>
      <c r="FX103" s="569"/>
      <c r="FY103" s="569"/>
      <c r="FZ103" s="569"/>
      <c r="GA103" s="569"/>
      <c r="GB103" s="569"/>
      <c r="GC103" s="569"/>
      <c r="GD103" s="569"/>
      <c r="GE103" s="569"/>
      <c r="GF103" s="569"/>
      <c r="GG103" s="569"/>
      <c r="GH103" s="569"/>
      <c r="GI103" s="42"/>
    </row>
    <row r="104" spans="1:193" ht="1.95" customHeight="1" thickBot="1" x14ac:dyDescent="0.35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  <c r="CW104" s="78"/>
      <c r="CX104" s="78"/>
      <c r="CY104" s="78"/>
      <c r="CZ104" s="78"/>
      <c r="DA104" s="78"/>
      <c r="DB104" s="78"/>
      <c r="DC104" s="78"/>
      <c r="DD104" s="78"/>
      <c r="DE104" s="78"/>
      <c r="DF104" s="78"/>
      <c r="DG104" s="78"/>
      <c r="DH104" s="78"/>
      <c r="DI104" s="78"/>
      <c r="DJ104" s="78"/>
      <c r="DK104" s="78"/>
      <c r="DL104" s="78"/>
      <c r="DM104" s="78"/>
      <c r="DN104" s="78"/>
      <c r="DO104" s="78"/>
      <c r="DP104" s="78"/>
      <c r="DQ104" s="78"/>
      <c r="DR104" s="78"/>
      <c r="DS104" s="78"/>
      <c r="DT104" s="78"/>
      <c r="DU104" s="78"/>
      <c r="DV104" s="78"/>
      <c r="DW104" s="78"/>
      <c r="DX104" s="78"/>
      <c r="DY104" s="78"/>
      <c r="DZ104" s="78"/>
      <c r="EA104" s="78"/>
      <c r="EB104" s="78"/>
      <c r="EC104" s="78"/>
      <c r="ED104" s="78"/>
      <c r="EE104" s="78"/>
      <c r="EF104" s="78"/>
      <c r="EG104" s="78"/>
      <c r="EH104" s="78"/>
      <c r="EI104" s="78"/>
      <c r="EJ104" s="78"/>
      <c r="EK104" s="78"/>
      <c r="EL104" s="78"/>
      <c r="EM104" s="78"/>
      <c r="EN104" s="78"/>
      <c r="EO104" s="78"/>
      <c r="EP104" s="78"/>
      <c r="EQ104" s="78"/>
      <c r="ER104" s="362"/>
      <c r="ES104" s="362"/>
      <c r="ET104" s="362"/>
      <c r="EU104" s="362"/>
      <c r="EV104" s="362"/>
      <c r="EW104" s="362"/>
      <c r="EX104" s="362"/>
      <c r="EY104" s="362"/>
      <c r="EZ104" s="362"/>
      <c r="FA104" s="362"/>
      <c r="FB104" s="362"/>
      <c r="FC104" s="362"/>
      <c r="FD104" s="362"/>
      <c r="FE104" s="362"/>
      <c r="FF104" s="362"/>
      <c r="FG104" s="362"/>
      <c r="FH104" s="362"/>
      <c r="FI104" s="362"/>
      <c r="FJ104" s="362"/>
      <c r="FK104" s="362"/>
      <c r="FL104" s="362"/>
      <c r="FM104" s="362"/>
      <c r="FN104" s="362"/>
      <c r="FO104" s="362"/>
      <c r="FP104" s="362"/>
      <c r="FQ104" s="362"/>
      <c r="FR104" s="362"/>
      <c r="FS104" s="362"/>
      <c r="FT104" s="362"/>
      <c r="FU104" s="362"/>
      <c r="FV104" s="362"/>
      <c r="FW104" s="362"/>
      <c r="FX104" s="362"/>
      <c r="FY104" s="362"/>
      <c r="FZ104" s="362"/>
      <c r="GA104" s="362"/>
      <c r="GB104" s="362"/>
      <c r="GC104" s="362"/>
      <c r="GD104" s="362"/>
      <c r="GE104" s="362"/>
      <c r="GF104" s="362"/>
      <c r="GG104" s="362"/>
      <c r="GH104" s="362"/>
      <c r="GI104" s="42"/>
    </row>
    <row r="105" spans="1:193" ht="9" customHeight="1" thickTop="1" x14ac:dyDescent="0.3">
      <c r="A105" s="570" t="s">
        <v>241</v>
      </c>
      <c r="B105" s="571"/>
      <c r="C105" s="571"/>
      <c r="D105" s="571"/>
      <c r="E105" s="571"/>
      <c r="F105" s="571"/>
      <c r="G105" s="571"/>
      <c r="H105" s="571"/>
      <c r="I105" s="571"/>
      <c r="J105" s="571"/>
      <c r="K105" s="571"/>
      <c r="L105" s="571"/>
      <c r="M105" s="571"/>
      <c r="N105" s="571"/>
      <c r="O105" s="571"/>
      <c r="P105" s="571"/>
      <c r="Q105" s="572"/>
      <c r="R105" s="574" t="s">
        <v>242</v>
      </c>
      <c r="S105" s="574"/>
      <c r="T105" s="574"/>
      <c r="U105" s="574"/>
      <c r="V105" s="574"/>
      <c r="W105" s="574"/>
      <c r="X105" s="574"/>
      <c r="Y105" s="574"/>
      <c r="Z105" s="574" t="s">
        <v>243</v>
      </c>
      <c r="AA105" s="574"/>
      <c r="AB105" s="574"/>
      <c r="AC105" s="574"/>
      <c r="AD105" s="574"/>
      <c r="AE105" s="574"/>
      <c r="AF105" s="574"/>
      <c r="AG105" s="574"/>
      <c r="AH105" s="574"/>
      <c r="AI105" s="574" t="s">
        <v>244</v>
      </c>
      <c r="AJ105" s="574"/>
      <c r="AK105" s="574"/>
      <c r="AL105" s="574"/>
      <c r="AM105" s="574"/>
      <c r="AN105" s="574"/>
      <c r="AO105" s="574"/>
      <c r="AP105" s="574"/>
      <c r="AQ105" s="574"/>
      <c r="AR105" s="574"/>
      <c r="AS105" s="574"/>
      <c r="AT105" s="574"/>
      <c r="AU105" s="574"/>
      <c r="AV105" s="574"/>
      <c r="AW105" s="574" t="s">
        <v>245</v>
      </c>
      <c r="AX105" s="574"/>
      <c r="AY105" s="574"/>
      <c r="AZ105" s="574"/>
      <c r="BA105" s="574"/>
      <c r="BB105" s="574"/>
      <c r="BC105" s="574"/>
      <c r="BD105" s="574"/>
      <c r="BE105" s="574"/>
      <c r="BF105" s="574"/>
      <c r="BG105" s="574"/>
      <c r="BH105" s="574"/>
      <c r="BI105" s="574"/>
      <c r="BJ105" s="574"/>
      <c r="BK105" s="574" t="s">
        <v>246</v>
      </c>
      <c r="BL105" s="574"/>
      <c r="BM105" s="574"/>
      <c r="BN105" s="574"/>
      <c r="BO105" s="574"/>
      <c r="BP105" s="574"/>
      <c r="BQ105" s="574"/>
      <c r="BR105" s="574"/>
      <c r="BS105" s="574"/>
      <c r="BT105" s="574"/>
      <c r="BU105" s="574"/>
      <c r="BV105" s="577" t="s">
        <v>247</v>
      </c>
      <c r="BW105" s="578"/>
      <c r="BX105" s="578"/>
      <c r="BY105" s="578"/>
      <c r="BZ105" s="578"/>
      <c r="CA105" s="578"/>
      <c r="CB105" s="578"/>
      <c r="CC105" s="578"/>
      <c r="CD105" s="578"/>
      <c r="CE105" s="578"/>
      <c r="CF105" s="578"/>
      <c r="CG105" s="578"/>
      <c r="CH105" s="578"/>
      <c r="CI105" s="578"/>
      <c r="CJ105" s="578"/>
      <c r="CK105" s="578"/>
      <c r="CL105" s="578"/>
      <c r="CM105" s="578"/>
      <c r="CN105" s="578"/>
      <c r="CO105" s="578"/>
      <c r="CP105" s="579"/>
      <c r="CQ105" s="574" t="s">
        <v>248</v>
      </c>
      <c r="CR105" s="574"/>
      <c r="CS105" s="574"/>
      <c r="CT105" s="574"/>
      <c r="CU105" s="574"/>
      <c r="CV105" s="574"/>
      <c r="CW105" s="574"/>
      <c r="CX105" s="574"/>
      <c r="CY105" s="574"/>
      <c r="CZ105" s="574" t="s">
        <v>249</v>
      </c>
      <c r="DA105" s="574"/>
      <c r="DB105" s="574"/>
      <c r="DC105" s="574"/>
      <c r="DD105" s="574"/>
      <c r="DE105" s="574"/>
      <c r="DF105" s="574"/>
      <c r="DG105" s="574"/>
      <c r="DH105" s="574"/>
      <c r="DI105" s="574"/>
      <c r="DJ105" s="574"/>
      <c r="DK105" s="574" t="s">
        <v>250</v>
      </c>
      <c r="DL105" s="574"/>
      <c r="DM105" s="574"/>
      <c r="DN105" s="574"/>
      <c r="DO105" s="574"/>
      <c r="DP105" s="574"/>
      <c r="DQ105" s="574"/>
      <c r="DR105" s="574"/>
      <c r="DS105" s="574"/>
      <c r="DT105" s="574" t="s">
        <v>251</v>
      </c>
      <c r="DU105" s="574"/>
      <c r="DV105" s="574"/>
      <c r="DW105" s="574"/>
      <c r="DX105" s="574"/>
      <c r="DY105" s="574"/>
      <c r="DZ105" s="574"/>
      <c r="EA105" s="574"/>
      <c r="EB105" s="574"/>
      <c r="EC105" s="78"/>
      <c r="ED105" s="78"/>
      <c r="EE105" s="457"/>
      <c r="EF105" s="457"/>
      <c r="EG105" s="457"/>
      <c r="EH105" s="457"/>
      <c r="EI105" s="457"/>
      <c r="EJ105" s="457"/>
      <c r="EK105" s="457"/>
      <c r="EL105" s="457"/>
      <c r="EM105" s="457"/>
      <c r="EN105" s="457"/>
      <c r="EO105" s="457"/>
      <c r="EP105" s="457"/>
      <c r="EQ105" s="457"/>
      <c r="ER105" s="457"/>
      <c r="ES105" s="457"/>
      <c r="ET105" s="457"/>
      <c r="EU105" s="457"/>
      <c r="EV105" s="457"/>
      <c r="EW105" s="457"/>
      <c r="EX105" s="457"/>
      <c r="EY105" s="457"/>
      <c r="EZ105" s="457"/>
      <c r="FA105" s="457"/>
      <c r="FB105" s="457"/>
      <c r="FC105" s="457"/>
      <c r="FD105" s="457"/>
      <c r="FE105" s="457"/>
      <c r="FF105" s="457"/>
      <c r="FG105" s="457"/>
      <c r="FH105" s="457"/>
      <c r="FI105" s="457"/>
      <c r="FJ105" s="457"/>
      <c r="FK105" s="457"/>
      <c r="FL105" s="457"/>
      <c r="FM105" s="457"/>
      <c r="FN105" s="457"/>
      <c r="FO105" s="457"/>
      <c r="FP105" s="457"/>
      <c r="FQ105" s="457"/>
      <c r="FR105" s="457"/>
      <c r="FS105" s="457"/>
      <c r="FT105" s="457"/>
      <c r="FU105" s="457"/>
      <c r="FV105" s="457"/>
      <c r="FW105" s="457"/>
      <c r="FX105" s="457"/>
      <c r="FY105" s="457"/>
      <c r="FZ105" s="457"/>
      <c r="GA105" s="457"/>
      <c r="GB105" s="457"/>
      <c r="GC105" s="457"/>
      <c r="GD105" s="457"/>
      <c r="GE105" s="457"/>
      <c r="GF105" s="457"/>
      <c r="GG105" s="457"/>
      <c r="GH105" s="457"/>
      <c r="GI105" s="42"/>
    </row>
    <row r="106" spans="1:193" ht="9" customHeight="1" x14ac:dyDescent="0.3">
      <c r="A106" s="307"/>
      <c r="B106" s="308"/>
      <c r="C106" s="308"/>
      <c r="D106" s="308"/>
      <c r="E106" s="308"/>
      <c r="F106" s="308"/>
      <c r="G106" s="308"/>
      <c r="H106" s="308"/>
      <c r="I106" s="308"/>
      <c r="J106" s="308"/>
      <c r="K106" s="308"/>
      <c r="L106" s="308"/>
      <c r="M106" s="308"/>
      <c r="N106" s="308"/>
      <c r="O106" s="308"/>
      <c r="P106" s="308"/>
      <c r="Q106" s="573"/>
      <c r="R106" s="575"/>
      <c r="S106" s="575"/>
      <c r="T106" s="575"/>
      <c r="U106" s="575"/>
      <c r="V106" s="575"/>
      <c r="W106" s="575"/>
      <c r="X106" s="575"/>
      <c r="Y106" s="575"/>
      <c r="Z106" s="575"/>
      <c r="AA106" s="575"/>
      <c r="AB106" s="575"/>
      <c r="AC106" s="575"/>
      <c r="AD106" s="575"/>
      <c r="AE106" s="575"/>
      <c r="AF106" s="575"/>
      <c r="AG106" s="575"/>
      <c r="AH106" s="575"/>
      <c r="AI106" s="575"/>
      <c r="AJ106" s="575"/>
      <c r="AK106" s="575"/>
      <c r="AL106" s="575"/>
      <c r="AM106" s="575"/>
      <c r="AN106" s="575"/>
      <c r="AO106" s="575"/>
      <c r="AP106" s="575"/>
      <c r="AQ106" s="575"/>
      <c r="AR106" s="575"/>
      <c r="AS106" s="575"/>
      <c r="AT106" s="575"/>
      <c r="AU106" s="575"/>
      <c r="AV106" s="575"/>
      <c r="AW106" s="575"/>
      <c r="AX106" s="575"/>
      <c r="AY106" s="575"/>
      <c r="AZ106" s="575"/>
      <c r="BA106" s="575"/>
      <c r="BB106" s="575"/>
      <c r="BC106" s="575"/>
      <c r="BD106" s="575"/>
      <c r="BE106" s="575"/>
      <c r="BF106" s="575"/>
      <c r="BG106" s="575"/>
      <c r="BH106" s="575"/>
      <c r="BI106" s="575"/>
      <c r="BJ106" s="575"/>
      <c r="BK106" s="575"/>
      <c r="BL106" s="575"/>
      <c r="BM106" s="575"/>
      <c r="BN106" s="575"/>
      <c r="BO106" s="575"/>
      <c r="BP106" s="575"/>
      <c r="BQ106" s="575"/>
      <c r="BR106" s="575"/>
      <c r="BS106" s="575"/>
      <c r="BT106" s="575"/>
      <c r="BU106" s="575"/>
      <c r="BV106" s="580"/>
      <c r="BW106" s="553"/>
      <c r="BX106" s="553"/>
      <c r="BY106" s="553"/>
      <c r="BZ106" s="553"/>
      <c r="CA106" s="553"/>
      <c r="CB106" s="553"/>
      <c r="CC106" s="553"/>
      <c r="CD106" s="553"/>
      <c r="CE106" s="553"/>
      <c r="CF106" s="553"/>
      <c r="CG106" s="553"/>
      <c r="CH106" s="553"/>
      <c r="CI106" s="553"/>
      <c r="CJ106" s="553"/>
      <c r="CK106" s="553"/>
      <c r="CL106" s="553"/>
      <c r="CM106" s="553"/>
      <c r="CN106" s="553"/>
      <c r="CO106" s="553"/>
      <c r="CP106" s="557"/>
      <c r="CQ106" s="575"/>
      <c r="CR106" s="575"/>
      <c r="CS106" s="575"/>
      <c r="CT106" s="575"/>
      <c r="CU106" s="575"/>
      <c r="CV106" s="575"/>
      <c r="CW106" s="575"/>
      <c r="CX106" s="575"/>
      <c r="CY106" s="575"/>
      <c r="CZ106" s="575"/>
      <c r="DA106" s="575"/>
      <c r="DB106" s="575"/>
      <c r="DC106" s="575"/>
      <c r="DD106" s="575"/>
      <c r="DE106" s="575"/>
      <c r="DF106" s="575"/>
      <c r="DG106" s="575"/>
      <c r="DH106" s="575"/>
      <c r="DI106" s="575"/>
      <c r="DJ106" s="575"/>
      <c r="DK106" s="575"/>
      <c r="DL106" s="575"/>
      <c r="DM106" s="575"/>
      <c r="DN106" s="575"/>
      <c r="DO106" s="575"/>
      <c r="DP106" s="575"/>
      <c r="DQ106" s="575"/>
      <c r="DR106" s="575"/>
      <c r="DS106" s="575"/>
      <c r="DT106" s="575"/>
      <c r="DU106" s="575"/>
      <c r="DV106" s="575"/>
      <c r="DW106" s="575"/>
      <c r="DX106" s="575"/>
      <c r="DY106" s="575"/>
      <c r="DZ106" s="575"/>
      <c r="EA106" s="575"/>
      <c r="EB106" s="575"/>
      <c r="EC106" s="78"/>
      <c r="ED106" s="78"/>
      <c r="EE106" s="457"/>
      <c r="EF106" s="457"/>
      <c r="EG106" s="457"/>
      <c r="EH106" s="457"/>
      <c r="EI106" s="457"/>
      <c r="EJ106" s="457"/>
      <c r="EK106" s="457"/>
      <c r="EL106" s="457"/>
      <c r="EM106" s="457"/>
      <c r="EN106" s="457"/>
      <c r="EO106" s="457"/>
      <c r="EP106" s="457"/>
      <c r="EQ106" s="457"/>
      <c r="ER106" s="457"/>
      <c r="ES106" s="457"/>
      <c r="ET106" s="457"/>
      <c r="EU106" s="457"/>
      <c r="EV106" s="457"/>
      <c r="EW106" s="457"/>
      <c r="EX106" s="457"/>
      <c r="EY106" s="457"/>
      <c r="EZ106" s="457"/>
      <c r="FA106" s="457"/>
      <c r="FB106" s="457"/>
      <c r="FC106" s="457"/>
      <c r="FD106" s="457"/>
      <c r="FE106" s="457"/>
      <c r="FF106" s="457"/>
      <c r="FG106" s="457"/>
      <c r="FH106" s="457"/>
      <c r="FI106" s="457"/>
      <c r="FJ106" s="457"/>
      <c r="FK106" s="457"/>
      <c r="FL106" s="457"/>
      <c r="FM106" s="457"/>
      <c r="FN106" s="457"/>
      <c r="FO106" s="457"/>
      <c r="FP106" s="457"/>
      <c r="FQ106" s="457"/>
      <c r="FR106" s="457"/>
      <c r="FS106" s="457"/>
      <c r="FT106" s="457"/>
      <c r="FU106" s="457"/>
      <c r="FV106" s="457"/>
      <c r="FW106" s="457"/>
      <c r="FX106" s="457"/>
      <c r="FY106" s="457"/>
      <c r="FZ106" s="457"/>
      <c r="GA106" s="457"/>
      <c r="GB106" s="457"/>
      <c r="GC106" s="457"/>
      <c r="GD106" s="457"/>
      <c r="GE106" s="457"/>
      <c r="GF106" s="457"/>
      <c r="GG106" s="457"/>
      <c r="GH106" s="457"/>
      <c r="GI106" s="42"/>
    </row>
    <row r="107" spans="1:193" ht="9" customHeight="1" x14ac:dyDescent="0.3">
      <c r="A107" s="307"/>
      <c r="B107" s="308"/>
      <c r="C107" s="308"/>
      <c r="D107" s="308"/>
      <c r="E107" s="308"/>
      <c r="F107" s="308"/>
      <c r="G107" s="308"/>
      <c r="H107" s="308"/>
      <c r="I107" s="308"/>
      <c r="J107" s="308"/>
      <c r="K107" s="308"/>
      <c r="L107" s="308"/>
      <c r="M107" s="308"/>
      <c r="N107" s="308"/>
      <c r="O107" s="308"/>
      <c r="P107" s="308"/>
      <c r="Q107" s="573"/>
      <c r="R107" s="576"/>
      <c r="S107" s="576"/>
      <c r="T107" s="576"/>
      <c r="U107" s="576"/>
      <c r="V107" s="576"/>
      <c r="W107" s="576"/>
      <c r="X107" s="576"/>
      <c r="Y107" s="576"/>
      <c r="Z107" s="576"/>
      <c r="AA107" s="576"/>
      <c r="AB107" s="576"/>
      <c r="AC107" s="576"/>
      <c r="AD107" s="576"/>
      <c r="AE107" s="576"/>
      <c r="AF107" s="576"/>
      <c r="AG107" s="576"/>
      <c r="AH107" s="576"/>
      <c r="AI107" s="576"/>
      <c r="AJ107" s="576"/>
      <c r="AK107" s="576"/>
      <c r="AL107" s="576"/>
      <c r="AM107" s="576"/>
      <c r="AN107" s="576"/>
      <c r="AO107" s="576"/>
      <c r="AP107" s="576"/>
      <c r="AQ107" s="576"/>
      <c r="AR107" s="576"/>
      <c r="AS107" s="576"/>
      <c r="AT107" s="576"/>
      <c r="AU107" s="576"/>
      <c r="AV107" s="576"/>
      <c r="AW107" s="576"/>
      <c r="AX107" s="576"/>
      <c r="AY107" s="576"/>
      <c r="AZ107" s="576"/>
      <c r="BA107" s="576"/>
      <c r="BB107" s="576"/>
      <c r="BC107" s="576"/>
      <c r="BD107" s="576"/>
      <c r="BE107" s="576"/>
      <c r="BF107" s="576"/>
      <c r="BG107" s="576"/>
      <c r="BH107" s="576"/>
      <c r="BI107" s="576"/>
      <c r="BJ107" s="576"/>
      <c r="BK107" s="576"/>
      <c r="BL107" s="576"/>
      <c r="BM107" s="576"/>
      <c r="BN107" s="576"/>
      <c r="BO107" s="576"/>
      <c r="BP107" s="576"/>
      <c r="BQ107" s="576"/>
      <c r="BR107" s="576"/>
      <c r="BS107" s="576"/>
      <c r="BT107" s="576"/>
      <c r="BU107" s="576"/>
      <c r="BV107" s="586" t="s">
        <v>252</v>
      </c>
      <c r="BW107" s="587"/>
      <c r="BX107" s="587"/>
      <c r="BY107" s="587"/>
      <c r="BZ107" s="587"/>
      <c r="CA107" s="587"/>
      <c r="CB107" s="587"/>
      <c r="CC107" s="587"/>
      <c r="CD107" s="587"/>
      <c r="CE107" s="587"/>
      <c r="CF107" s="588"/>
      <c r="CG107" s="587" t="s">
        <v>253</v>
      </c>
      <c r="CH107" s="587"/>
      <c r="CI107" s="587"/>
      <c r="CJ107" s="587"/>
      <c r="CK107" s="587"/>
      <c r="CL107" s="587"/>
      <c r="CM107" s="587"/>
      <c r="CN107" s="587"/>
      <c r="CO107" s="587"/>
      <c r="CP107" s="587"/>
      <c r="CQ107" s="576"/>
      <c r="CR107" s="576"/>
      <c r="CS107" s="576"/>
      <c r="CT107" s="576"/>
      <c r="CU107" s="576"/>
      <c r="CV107" s="576"/>
      <c r="CW107" s="576"/>
      <c r="CX107" s="576"/>
      <c r="CY107" s="576"/>
      <c r="CZ107" s="576"/>
      <c r="DA107" s="576"/>
      <c r="DB107" s="576"/>
      <c r="DC107" s="576"/>
      <c r="DD107" s="576"/>
      <c r="DE107" s="576"/>
      <c r="DF107" s="576"/>
      <c r="DG107" s="576"/>
      <c r="DH107" s="576"/>
      <c r="DI107" s="576"/>
      <c r="DJ107" s="576"/>
      <c r="DK107" s="576"/>
      <c r="DL107" s="576"/>
      <c r="DM107" s="576"/>
      <c r="DN107" s="576"/>
      <c r="DO107" s="576"/>
      <c r="DP107" s="576"/>
      <c r="DQ107" s="576"/>
      <c r="DR107" s="576"/>
      <c r="DS107" s="576"/>
      <c r="DT107" s="576"/>
      <c r="DU107" s="576"/>
      <c r="DV107" s="576"/>
      <c r="DW107" s="576"/>
      <c r="DX107" s="576"/>
      <c r="DY107" s="576"/>
      <c r="DZ107" s="576"/>
      <c r="EA107" s="576"/>
      <c r="EB107" s="576"/>
      <c r="EC107" s="78"/>
      <c r="ED107" s="78"/>
      <c r="EE107" s="581"/>
      <c r="EF107" s="581"/>
      <c r="EG107" s="581"/>
      <c r="EH107" s="581"/>
      <c r="EI107" s="581"/>
      <c r="EJ107" s="581"/>
      <c r="EK107" s="581"/>
      <c r="EL107" s="581"/>
      <c r="EM107" s="581"/>
      <c r="EN107" s="581"/>
      <c r="EO107" s="581"/>
      <c r="EP107" s="581"/>
      <c r="EQ107" s="581"/>
      <c r="ER107" s="581"/>
      <c r="ES107" s="581"/>
      <c r="ET107" s="581"/>
      <c r="EU107" s="581"/>
      <c r="EV107" s="581"/>
      <c r="EW107" s="581"/>
      <c r="EX107" s="581"/>
      <c r="EY107" s="581"/>
      <c r="EZ107" s="581"/>
      <c r="FA107" s="581"/>
      <c r="FB107" s="581"/>
      <c r="FC107" s="581"/>
      <c r="FD107" s="581"/>
      <c r="FE107" s="581"/>
      <c r="FF107" s="581"/>
      <c r="FG107" s="581"/>
      <c r="FH107" s="581"/>
      <c r="FI107" s="581"/>
      <c r="FJ107" s="581"/>
      <c r="FK107" s="581"/>
      <c r="FL107" s="581"/>
      <c r="FM107" s="581"/>
      <c r="FN107" s="581"/>
      <c r="FO107" s="581"/>
      <c r="FP107" s="581"/>
      <c r="FQ107" s="581"/>
      <c r="FR107" s="581"/>
      <c r="FS107" s="581"/>
      <c r="FT107" s="581"/>
      <c r="FU107" s="581"/>
      <c r="FV107" s="581"/>
      <c r="FW107" s="581"/>
      <c r="FX107" s="581"/>
      <c r="FY107" s="581"/>
      <c r="FZ107" s="581"/>
      <c r="GA107" s="581"/>
      <c r="GB107" s="581"/>
      <c r="GC107" s="581"/>
      <c r="GD107" s="581"/>
      <c r="GE107" s="581"/>
      <c r="GF107" s="581"/>
      <c r="GG107" s="581"/>
      <c r="GH107" s="581"/>
      <c r="GI107" s="42"/>
    </row>
    <row r="108" spans="1:193" ht="9" customHeight="1" thickBot="1" x14ac:dyDescent="0.35">
      <c r="A108" s="310"/>
      <c r="B108" s="311"/>
      <c r="C108" s="311"/>
      <c r="D108" s="311"/>
      <c r="E108" s="311"/>
      <c r="F108" s="311"/>
      <c r="G108" s="311"/>
      <c r="H108" s="311"/>
      <c r="I108" s="311"/>
      <c r="J108" s="311"/>
      <c r="K108" s="311"/>
      <c r="L108" s="311"/>
      <c r="M108" s="311"/>
      <c r="N108" s="311"/>
      <c r="O108" s="311"/>
      <c r="P108" s="311"/>
      <c r="Q108" s="482"/>
      <c r="R108" s="582">
        <v>33</v>
      </c>
      <c r="S108" s="582"/>
      <c r="T108" s="582"/>
      <c r="U108" s="582"/>
      <c r="V108" s="582"/>
      <c r="W108" s="582"/>
      <c r="X108" s="582"/>
      <c r="Y108" s="582"/>
      <c r="Z108" s="582">
        <v>34</v>
      </c>
      <c r="AA108" s="582"/>
      <c r="AB108" s="582"/>
      <c r="AC108" s="582"/>
      <c r="AD108" s="582"/>
      <c r="AE108" s="582"/>
      <c r="AF108" s="582"/>
      <c r="AG108" s="582"/>
      <c r="AH108" s="582"/>
      <c r="AI108" s="582">
        <v>35</v>
      </c>
      <c r="AJ108" s="582"/>
      <c r="AK108" s="582"/>
      <c r="AL108" s="582"/>
      <c r="AM108" s="582"/>
      <c r="AN108" s="582"/>
      <c r="AO108" s="582"/>
      <c r="AP108" s="582"/>
      <c r="AQ108" s="582"/>
      <c r="AR108" s="582"/>
      <c r="AS108" s="582"/>
      <c r="AT108" s="582"/>
      <c r="AU108" s="582"/>
      <c r="AV108" s="582"/>
      <c r="AW108" s="582">
        <v>36</v>
      </c>
      <c r="AX108" s="582"/>
      <c r="AY108" s="582"/>
      <c r="AZ108" s="582"/>
      <c r="BA108" s="582"/>
      <c r="BB108" s="582"/>
      <c r="BC108" s="582"/>
      <c r="BD108" s="582"/>
      <c r="BE108" s="582"/>
      <c r="BF108" s="582"/>
      <c r="BG108" s="582"/>
      <c r="BH108" s="582"/>
      <c r="BI108" s="582"/>
      <c r="BJ108" s="582"/>
      <c r="BK108" s="582">
        <v>37</v>
      </c>
      <c r="BL108" s="582"/>
      <c r="BM108" s="582"/>
      <c r="BN108" s="582"/>
      <c r="BO108" s="582"/>
      <c r="BP108" s="582"/>
      <c r="BQ108" s="582"/>
      <c r="BR108" s="582"/>
      <c r="BS108" s="582"/>
      <c r="BT108" s="582"/>
      <c r="BU108" s="582"/>
      <c r="BV108" s="583">
        <v>38</v>
      </c>
      <c r="BW108" s="584"/>
      <c r="BX108" s="584"/>
      <c r="BY108" s="584"/>
      <c r="BZ108" s="584"/>
      <c r="CA108" s="584"/>
      <c r="CB108" s="584"/>
      <c r="CC108" s="584"/>
      <c r="CD108" s="584"/>
      <c r="CE108" s="584"/>
      <c r="CF108" s="585"/>
      <c r="CG108" s="584">
        <v>39</v>
      </c>
      <c r="CH108" s="584"/>
      <c r="CI108" s="584"/>
      <c r="CJ108" s="584"/>
      <c r="CK108" s="584"/>
      <c r="CL108" s="584"/>
      <c r="CM108" s="584"/>
      <c r="CN108" s="584"/>
      <c r="CO108" s="584"/>
      <c r="CP108" s="584"/>
      <c r="CQ108" s="582">
        <v>40</v>
      </c>
      <c r="CR108" s="582"/>
      <c r="CS108" s="582"/>
      <c r="CT108" s="582"/>
      <c r="CU108" s="582"/>
      <c r="CV108" s="582"/>
      <c r="CW108" s="582"/>
      <c r="CX108" s="582"/>
      <c r="CY108" s="582"/>
      <c r="CZ108" s="582">
        <v>41</v>
      </c>
      <c r="DA108" s="582"/>
      <c r="DB108" s="582"/>
      <c r="DC108" s="582"/>
      <c r="DD108" s="582"/>
      <c r="DE108" s="582"/>
      <c r="DF108" s="582"/>
      <c r="DG108" s="582"/>
      <c r="DH108" s="582"/>
      <c r="DI108" s="582"/>
      <c r="DJ108" s="582"/>
      <c r="DK108" s="582">
        <v>42</v>
      </c>
      <c r="DL108" s="582"/>
      <c r="DM108" s="582"/>
      <c r="DN108" s="582"/>
      <c r="DO108" s="582"/>
      <c r="DP108" s="582"/>
      <c r="DQ108" s="582"/>
      <c r="DR108" s="582"/>
      <c r="DS108" s="582"/>
      <c r="DT108" s="582">
        <v>43</v>
      </c>
      <c r="DU108" s="582"/>
      <c r="DV108" s="582"/>
      <c r="DW108" s="582"/>
      <c r="DX108" s="582"/>
      <c r="DY108" s="582"/>
      <c r="DZ108" s="582"/>
      <c r="EA108" s="582"/>
      <c r="EB108" s="582"/>
      <c r="EC108" s="78"/>
      <c r="ED108" s="78"/>
      <c r="EE108" s="581"/>
      <c r="EF108" s="581"/>
      <c r="EG108" s="581"/>
      <c r="EH108" s="581"/>
      <c r="EI108" s="581"/>
      <c r="EJ108" s="581"/>
      <c r="EK108" s="581"/>
      <c r="EL108" s="581"/>
      <c r="EM108" s="581"/>
      <c r="EN108" s="581"/>
      <c r="EO108" s="581"/>
      <c r="EP108" s="581"/>
      <c r="EQ108" s="581"/>
      <c r="ER108" s="581"/>
      <c r="ES108" s="581"/>
      <c r="ET108" s="581"/>
      <c r="EU108" s="581"/>
      <c r="EV108" s="581"/>
      <c r="EW108" s="581"/>
      <c r="EX108" s="581"/>
      <c r="EY108" s="581"/>
      <c r="EZ108" s="581"/>
      <c r="FA108" s="581"/>
      <c r="FB108" s="581"/>
      <c r="FC108" s="581"/>
      <c r="FD108" s="581"/>
      <c r="FE108" s="581"/>
      <c r="FF108" s="581"/>
      <c r="FG108" s="581"/>
      <c r="FH108" s="581"/>
      <c r="FI108" s="581"/>
      <c r="FJ108" s="581"/>
      <c r="FK108" s="581"/>
      <c r="FL108" s="581"/>
      <c r="FM108" s="581"/>
      <c r="FN108" s="581"/>
      <c r="FO108" s="581"/>
      <c r="FP108" s="581"/>
      <c r="FQ108" s="581"/>
      <c r="FR108" s="581"/>
      <c r="FS108" s="581"/>
      <c r="FT108" s="581"/>
      <c r="FU108" s="581"/>
      <c r="FV108" s="581"/>
      <c r="FW108" s="581"/>
      <c r="FX108" s="581"/>
      <c r="FY108" s="581"/>
      <c r="FZ108" s="581"/>
      <c r="GA108" s="581"/>
      <c r="GB108" s="581"/>
      <c r="GC108" s="581"/>
      <c r="GD108" s="581"/>
      <c r="GE108" s="581"/>
      <c r="GF108" s="581"/>
      <c r="GG108" s="581"/>
      <c r="GH108" s="581"/>
      <c r="GI108" s="42"/>
    </row>
    <row r="109" spans="1:193" ht="12.6" customHeight="1" x14ac:dyDescent="0.3">
      <c r="A109" s="525" t="s">
        <v>254</v>
      </c>
      <c r="B109" s="476"/>
      <c r="C109" s="476"/>
      <c r="D109" s="476"/>
      <c r="E109" s="476"/>
      <c r="F109" s="476"/>
      <c r="G109" s="476"/>
      <c r="H109" s="476"/>
      <c r="I109" s="476"/>
      <c r="J109" s="476"/>
      <c r="K109" s="476"/>
      <c r="L109" s="476"/>
      <c r="M109" s="476"/>
      <c r="N109" s="476"/>
      <c r="O109" s="476"/>
      <c r="P109" s="476"/>
      <c r="Q109" s="600"/>
      <c r="R109" s="601"/>
      <c r="S109" s="589"/>
      <c r="T109" s="589"/>
      <c r="U109" s="589"/>
      <c r="V109" s="589"/>
      <c r="W109" s="589"/>
      <c r="X109" s="589"/>
      <c r="Y109" s="589"/>
      <c r="Z109" s="589"/>
      <c r="AA109" s="589"/>
      <c r="AB109" s="589"/>
      <c r="AC109" s="589"/>
      <c r="AD109" s="589"/>
      <c r="AE109" s="589"/>
      <c r="AF109" s="589"/>
      <c r="AG109" s="589"/>
      <c r="AH109" s="589"/>
      <c r="AI109" s="589"/>
      <c r="AJ109" s="589"/>
      <c r="AK109" s="589"/>
      <c r="AL109" s="589"/>
      <c r="AM109" s="589"/>
      <c r="AN109" s="589"/>
      <c r="AO109" s="589"/>
      <c r="AP109" s="589"/>
      <c r="AQ109" s="589"/>
      <c r="AR109" s="589"/>
      <c r="AS109" s="589"/>
      <c r="AT109" s="589"/>
      <c r="AU109" s="589"/>
      <c r="AV109" s="589"/>
      <c r="AW109" s="589"/>
      <c r="AX109" s="589"/>
      <c r="AY109" s="589"/>
      <c r="AZ109" s="589"/>
      <c r="BA109" s="589"/>
      <c r="BB109" s="589"/>
      <c r="BC109" s="589"/>
      <c r="BD109" s="589"/>
      <c r="BE109" s="589"/>
      <c r="BF109" s="589"/>
      <c r="BG109" s="589"/>
      <c r="BH109" s="589"/>
      <c r="BI109" s="589"/>
      <c r="BJ109" s="589"/>
      <c r="BK109" s="589"/>
      <c r="BL109" s="589"/>
      <c r="BM109" s="589"/>
      <c r="BN109" s="589"/>
      <c r="BO109" s="589"/>
      <c r="BP109" s="589"/>
      <c r="BQ109" s="589"/>
      <c r="BR109" s="589"/>
      <c r="BS109" s="589"/>
      <c r="BT109" s="589"/>
      <c r="BU109" s="589"/>
      <c r="BV109" s="597"/>
      <c r="BW109" s="496"/>
      <c r="BX109" s="496"/>
      <c r="BY109" s="496"/>
      <c r="BZ109" s="496"/>
      <c r="CA109" s="496"/>
      <c r="CB109" s="496"/>
      <c r="CC109" s="496"/>
      <c r="CD109" s="496"/>
      <c r="CE109" s="496"/>
      <c r="CF109" s="598"/>
      <c r="CG109" s="496"/>
      <c r="CH109" s="496"/>
      <c r="CI109" s="496"/>
      <c r="CJ109" s="496"/>
      <c r="CK109" s="496"/>
      <c r="CL109" s="496"/>
      <c r="CM109" s="496"/>
      <c r="CN109" s="496"/>
      <c r="CO109" s="496"/>
      <c r="CP109" s="496"/>
      <c r="CQ109" s="589"/>
      <c r="CR109" s="589"/>
      <c r="CS109" s="589"/>
      <c r="CT109" s="589"/>
      <c r="CU109" s="589"/>
      <c r="CV109" s="589"/>
      <c r="CW109" s="589"/>
      <c r="CX109" s="589"/>
      <c r="CY109" s="589"/>
      <c r="CZ109" s="589"/>
      <c r="DA109" s="589"/>
      <c r="DB109" s="589"/>
      <c r="DC109" s="589"/>
      <c r="DD109" s="589"/>
      <c r="DE109" s="589"/>
      <c r="DF109" s="589"/>
      <c r="DG109" s="589"/>
      <c r="DH109" s="589"/>
      <c r="DI109" s="589"/>
      <c r="DJ109" s="589"/>
      <c r="DK109" s="589"/>
      <c r="DL109" s="589"/>
      <c r="DM109" s="589"/>
      <c r="DN109" s="589"/>
      <c r="DO109" s="589"/>
      <c r="DP109" s="589"/>
      <c r="DQ109" s="589"/>
      <c r="DR109" s="589"/>
      <c r="DS109" s="589"/>
      <c r="DT109" s="589"/>
      <c r="DU109" s="589"/>
      <c r="DV109" s="589"/>
      <c r="DW109" s="589"/>
      <c r="DX109" s="589"/>
      <c r="DY109" s="589"/>
      <c r="DZ109" s="589"/>
      <c r="EA109" s="589"/>
      <c r="EB109" s="599"/>
      <c r="EC109" s="78"/>
      <c r="ED109" s="78"/>
      <c r="EE109" s="115" t="s">
        <v>255</v>
      </c>
      <c r="EF109" s="78"/>
      <c r="EG109" s="116"/>
      <c r="EH109" s="116"/>
      <c r="EI109" s="116"/>
      <c r="EJ109" s="116"/>
      <c r="EK109" s="116"/>
      <c r="EL109" s="116"/>
      <c r="EM109" s="116"/>
      <c r="EN109" s="116"/>
      <c r="EO109" s="116"/>
      <c r="EP109" s="116"/>
      <c r="EQ109" s="116"/>
      <c r="ER109" s="116"/>
      <c r="ES109" s="116"/>
      <c r="ET109" s="592"/>
      <c r="EU109" s="592"/>
      <c r="EV109" s="592"/>
      <c r="EW109" s="592"/>
      <c r="EX109" s="592"/>
      <c r="EY109" s="592"/>
      <c r="EZ109" s="592"/>
      <c r="FA109" s="592"/>
      <c r="FB109" s="592"/>
      <c r="FC109" s="592"/>
      <c r="FD109" s="592"/>
      <c r="FE109" s="592"/>
      <c r="FF109" s="96"/>
      <c r="FG109" s="96"/>
      <c r="FH109" s="592"/>
      <c r="FI109" s="592"/>
      <c r="FJ109" s="592"/>
      <c r="FK109" s="592"/>
      <c r="FL109" s="592"/>
      <c r="FM109" s="592"/>
      <c r="FN109" s="592"/>
      <c r="FO109" s="592"/>
      <c r="FP109" s="592"/>
      <c r="FQ109" s="592"/>
      <c r="FR109" s="592"/>
      <c r="FS109" s="592"/>
      <c r="FT109" s="592"/>
      <c r="FU109" s="592"/>
      <c r="FV109" s="592"/>
      <c r="FW109" s="592"/>
      <c r="FX109" s="592"/>
      <c r="FY109" s="592"/>
      <c r="FZ109" s="592"/>
      <c r="GA109" s="592"/>
      <c r="GB109" s="592"/>
      <c r="GC109" s="592"/>
      <c r="GD109" s="592"/>
      <c r="GE109" s="592"/>
      <c r="GF109" s="592"/>
      <c r="GG109" s="592"/>
      <c r="GH109" s="592"/>
      <c r="GI109" s="42"/>
    </row>
    <row r="110" spans="1:193" ht="12.6" customHeight="1" x14ac:dyDescent="0.3">
      <c r="A110" s="593" t="s">
        <v>256</v>
      </c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5"/>
      <c r="S110" s="590"/>
      <c r="T110" s="590"/>
      <c r="U110" s="590"/>
      <c r="V110" s="590"/>
      <c r="W110" s="590"/>
      <c r="X110" s="590"/>
      <c r="Y110" s="590"/>
      <c r="Z110" s="590"/>
      <c r="AA110" s="590"/>
      <c r="AB110" s="590"/>
      <c r="AC110" s="590"/>
      <c r="AD110" s="590"/>
      <c r="AE110" s="590"/>
      <c r="AF110" s="590"/>
      <c r="AG110" s="590"/>
      <c r="AH110" s="590"/>
      <c r="AI110" s="590"/>
      <c r="AJ110" s="590"/>
      <c r="AK110" s="590"/>
      <c r="AL110" s="590"/>
      <c r="AM110" s="590"/>
      <c r="AN110" s="590"/>
      <c r="AO110" s="590"/>
      <c r="AP110" s="590"/>
      <c r="AQ110" s="590"/>
      <c r="AR110" s="590"/>
      <c r="AS110" s="590"/>
      <c r="AT110" s="590"/>
      <c r="AU110" s="590"/>
      <c r="AV110" s="590"/>
      <c r="AW110" s="590"/>
      <c r="AX110" s="590"/>
      <c r="AY110" s="590"/>
      <c r="AZ110" s="590"/>
      <c r="BA110" s="590"/>
      <c r="BB110" s="590"/>
      <c r="BC110" s="590"/>
      <c r="BD110" s="590"/>
      <c r="BE110" s="590"/>
      <c r="BF110" s="590"/>
      <c r="BG110" s="590"/>
      <c r="BH110" s="590"/>
      <c r="BI110" s="590"/>
      <c r="BJ110" s="590"/>
      <c r="BK110" s="590"/>
      <c r="BL110" s="590"/>
      <c r="BM110" s="590"/>
      <c r="BN110" s="590"/>
      <c r="BO110" s="590"/>
      <c r="BP110" s="590"/>
      <c r="BQ110" s="590"/>
      <c r="BR110" s="590"/>
      <c r="BS110" s="590"/>
      <c r="BT110" s="590"/>
      <c r="BU110" s="590"/>
      <c r="BV110" s="593"/>
      <c r="BW110" s="594"/>
      <c r="BX110" s="594"/>
      <c r="BY110" s="594"/>
      <c r="BZ110" s="594"/>
      <c r="CA110" s="594"/>
      <c r="CB110" s="594"/>
      <c r="CC110" s="594"/>
      <c r="CD110" s="594"/>
      <c r="CE110" s="594"/>
      <c r="CF110" s="596"/>
      <c r="CG110" s="594"/>
      <c r="CH110" s="594"/>
      <c r="CI110" s="594"/>
      <c r="CJ110" s="594"/>
      <c r="CK110" s="594"/>
      <c r="CL110" s="594"/>
      <c r="CM110" s="594"/>
      <c r="CN110" s="594"/>
      <c r="CO110" s="594"/>
      <c r="CP110" s="594"/>
      <c r="CQ110" s="590"/>
      <c r="CR110" s="590"/>
      <c r="CS110" s="590"/>
      <c r="CT110" s="590"/>
      <c r="CU110" s="590"/>
      <c r="CV110" s="590"/>
      <c r="CW110" s="590"/>
      <c r="CX110" s="590"/>
      <c r="CY110" s="590"/>
      <c r="CZ110" s="590"/>
      <c r="DA110" s="590"/>
      <c r="DB110" s="590"/>
      <c r="DC110" s="590"/>
      <c r="DD110" s="590"/>
      <c r="DE110" s="590"/>
      <c r="DF110" s="590"/>
      <c r="DG110" s="590"/>
      <c r="DH110" s="590"/>
      <c r="DI110" s="590"/>
      <c r="DJ110" s="590"/>
      <c r="DK110" s="590"/>
      <c r="DL110" s="590"/>
      <c r="DM110" s="590"/>
      <c r="DN110" s="590"/>
      <c r="DO110" s="590"/>
      <c r="DP110" s="590"/>
      <c r="DQ110" s="590"/>
      <c r="DR110" s="590"/>
      <c r="DS110" s="590"/>
      <c r="DT110" s="590"/>
      <c r="DU110" s="590"/>
      <c r="DV110" s="590"/>
      <c r="DW110" s="590"/>
      <c r="DX110" s="590"/>
      <c r="DY110" s="590"/>
      <c r="DZ110" s="590"/>
      <c r="EA110" s="590"/>
      <c r="EB110" s="591"/>
      <c r="EC110" s="78"/>
      <c r="ED110" s="78"/>
      <c r="EE110" s="78"/>
      <c r="EF110" s="78"/>
      <c r="EG110" s="78"/>
      <c r="EH110" s="78"/>
      <c r="EI110" s="78"/>
      <c r="EJ110" s="78"/>
      <c r="EK110" s="78"/>
      <c r="EL110" s="78"/>
      <c r="EM110" s="78"/>
      <c r="EN110" s="78"/>
      <c r="EO110" s="78"/>
      <c r="EP110" s="78"/>
      <c r="EQ110" s="78"/>
      <c r="ER110" s="78"/>
      <c r="ES110" s="78"/>
      <c r="ET110" s="461" t="s">
        <v>122</v>
      </c>
      <c r="EU110" s="461"/>
      <c r="EV110" s="461"/>
      <c r="EW110" s="461"/>
      <c r="EX110" s="461"/>
      <c r="EY110" s="461"/>
      <c r="EZ110" s="461"/>
      <c r="FA110" s="461"/>
      <c r="FB110" s="461"/>
      <c r="FC110" s="461"/>
      <c r="FD110" s="461"/>
      <c r="FE110" s="461"/>
      <c r="FF110" s="107"/>
      <c r="FG110" s="107"/>
      <c r="FH110" s="461" t="s">
        <v>126</v>
      </c>
      <c r="FI110" s="461"/>
      <c r="FJ110" s="461"/>
      <c r="FK110" s="461"/>
      <c r="FL110" s="461"/>
      <c r="FM110" s="461"/>
      <c r="FN110" s="461"/>
      <c r="FO110" s="461"/>
      <c r="FP110" s="461"/>
      <c r="FQ110" s="461"/>
      <c r="FR110" s="461"/>
      <c r="FS110" s="461"/>
      <c r="FT110" s="461"/>
      <c r="FU110" s="461"/>
      <c r="FV110" s="461"/>
      <c r="FW110" s="461"/>
      <c r="FX110" s="461"/>
      <c r="FY110" s="461"/>
      <c r="FZ110" s="461"/>
      <c r="GA110" s="461"/>
      <c r="GB110" s="461"/>
      <c r="GC110" s="461"/>
      <c r="GD110" s="461"/>
      <c r="GE110" s="461"/>
      <c r="GF110" s="461"/>
      <c r="GG110" s="461"/>
      <c r="GH110" s="461"/>
      <c r="GI110" s="42"/>
    </row>
    <row r="111" spans="1:193" ht="12.6" customHeight="1" thickBot="1" x14ac:dyDescent="0.35">
      <c r="A111" s="525" t="s">
        <v>257</v>
      </c>
      <c r="B111" s="476"/>
      <c r="C111" s="476"/>
      <c r="D111" s="476"/>
      <c r="E111" s="476"/>
      <c r="F111" s="476"/>
      <c r="G111" s="476"/>
      <c r="H111" s="476"/>
      <c r="I111" s="476"/>
      <c r="J111" s="476"/>
      <c r="K111" s="476"/>
      <c r="L111" s="476"/>
      <c r="M111" s="476"/>
      <c r="N111" s="476"/>
      <c r="O111" s="476"/>
      <c r="P111" s="476"/>
      <c r="Q111" s="600"/>
      <c r="R111" s="606"/>
      <c r="S111" s="604"/>
      <c r="T111" s="604"/>
      <c r="U111" s="604"/>
      <c r="V111" s="604"/>
      <c r="W111" s="604"/>
      <c r="X111" s="604"/>
      <c r="Y111" s="604"/>
      <c r="Z111" s="604"/>
      <c r="AA111" s="604"/>
      <c r="AB111" s="604"/>
      <c r="AC111" s="604"/>
      <c r="AD111" s="604"/>
      <c r="AE111" s="604"/>
      <c r="AF111" s="604"/>
      <c r="AG111" s="604"/>
      <c r="AH111" s="604"/>
      <c r="AI111" s="604"/>
      <c r="AJ111" s="604"/>
      <c r="AK111" s="604"/>
      <c r="AL111" s="604"/>
      <c r="AM111" s="604"/>
      <c r="AN111" s="604"/>
      <c r="AO111" s="604"/>
      <c r="AP111" s="604"/>
      <c r="AQ111" s="604"/>
      <c r="AR111" s="604"/>
      <c r="AS111" s="604"/>
      <c r="AT111" s="604"/>
      <c r="AU111" s="604"/>
      <c r="AV111" s="604"/>
      <c r="AW111" s="604"/>
      <c r="AX111" s="604"/>
      <c r="AY111" s="604"/>
      <c r="AZ111" s="604"/>
      <c r="BA111" s="604"/>
      <c r="BB111" s="604"/>
      <c r="BC111" s="604"/>
      <c r="BD111" s="604"/>
      <c r="BE111" s="604"/>
      <c r="BF111" s="604"/>
      <c r="BG111" s="604"/>
      <c r="BH111" s="604"/>
      <c r="BI111" s="604"/>
      <c r="BJ111" s="604"/>
      <c r="BK111" s="604"/>
      <c r="BL111" s="604"/>
      <c r="BM111" s="604"/>
      <c r="BN111" s="604"/>
      <c r="BO111" s="604"/>
      <c r="BP111" s="604"/>
      <c r="BQ111" s="604"/>
      <c r="BR111" s="604"/>
      <c r="BS111" s="604"/>
      <c r="BT111" s="604"/>
      <c r="BU111" s="604"/>
      <c r="BV111" s="602"/>
      <c r="BW111" s="517"/>
      <c r="BX111" s="517"/>
      <c r="BY111" s="517"/>
      <c r="BZ111" s="517"/>
      <c r="CA111" s="517"/>
      <c r="CB111" s="517"/>
      <c r="CC111" s="517"/>
      <c r="CD111" s="517"/>
      <c r="CE111" s="517"/>
      <c r="CF111" s="603"/>
      <c r="CG111" s="517"/>
      <c r="CH111" s="517"/>
      <c r="CI111" s="517"/>
      <c r="CJ111" s="517"/>
      <c r="CK111" s="517"/>
      <c r="CL111" s="517"/>
      <c r="CM111" s="517"/>
      <c r="CN111" s="517"/>
      <c r="CO111" s="517"/>
      <c r="CP111" s="517"/>
      <c r="CQ111" s="604"/>
      <c r="CR111" s="604"/>
      <c r="CS111" s="604"/>
      <c r="CT111" s="604"/>
      <c r="CU111" s="604"/>
      <c r="CV111" s="604"/>
      <c r="CW111" s="604"/>
      <c r="CX111" s="604"/>
      <c r="CY111" s="604"/>
      <c r="CZ111" s="604"/>
      <c r="DA111" s="604"/>
      <c r="DB111" s="604"/>
      <c r="DC111" s="604"/>
      <c r="DD111" s="604"/>
      <c r="DE111" s="604"/>
      <c r="DF111" s="604"/>
      <c r="DG111" s="604"/>
      <c r="DH111" s="604"/>
      <c r="DI111" s="604"/>
      <c r="DJ111" s="604"/>
      <c r="DK111" s="604"/>
      <c r="DL111" s="604"/>
      <c r="DM111" s="604"/>
      <c r="DN111" s="604"/>
      <c r="DO111" s="604"/>
      <c r="DP111" s="604"/>
      <c r="DQ111" s="604"/>
      <c r="DR111" s="604"/>
      <c r="DS111" s="604"/>
      <c r="DT111" s="604"/>
      <c r="DU111" s="604"/>
      <c r="DV111" s="604"/>
      <c r="DW111" s="604"/>
      <c r="DX111" s="604"/>
      <c r="DY111" s="604"/>
      <c r="DZ111" s="604"/>
      <c r="EA111" s="604"/>
      <c r="EB111" s="605"/>
      <c r="EC111" s="78"/>
      <c r="ED111" s="78"/>
      <c r="EE111" s="78"/>
      <c r="EF111" s="78"/>
      <c r="EG111" s="78"/>
      <c r="EH111" s="78"/>
      <c r="EI111" s="78"/>
      <c r="EJ111" s="78"/>
      <c r="EK111" s="78"/>
      <c r="EL111" s="78"/>
      <c r="EM111" s="78"/>
      <c r="EN111" s="78"/>
      <c r="EO111" s="78"/>
      <c r="EP111" s="78"/>
      <c r="EQ111" s="78"/>
      <c r="ER111" s="78"/>
      <c r="ES111" s="78"/>
      <c r="ET111" s="78"/>
      <c r="EU111" s="78"/>
      <c r="EV111" s="78"/>
      <c r="EW111" s="78"/>
      <c r="EX111" s="78"/>
      <c r="EY111" s="78"/>
      <c r="EZ111" s="78"/>
      <c r="FA111" s="78"/>
      <c r="FB111" s="78"/>
      <c r="FC111" s="78"/>
      <c r="FD111" s="78"/>
      <c r="FE111" s="78"/>
      <c r="FF111" s="78"/>
      <c r="FG111" s="78"/>
      <c r="FH111" s="78"/>
      <c r="FI111" s="78"/>
      <c r="FJ111" s="78"/>
      <c r="FK111" s="78"/>
      <c r="FL111" s="78"/>
      <c r="FM111" s="78"/>
      <c r="FN111" s="78"/>
      <c r="FO111" s="78"/>
      <c r="FP111" s="78"/>
      <c r="FQ111" s="78"/>
      <c r="FR111" s="78"/>
      <c r="FS111" s="78"/>
      <c r="FT111" s="78"/>
      <c r="FU111" s="78"/>
      <c r="FV111" s="78"/>
      <c r="FW111" s="78"/>
      <c r="FX111" s="78"/>
      <c r="FY111" s="78"/>
      <c r="FZ111" s="78"/>
      <c r="GA111" s="78"/>
      <c r="GB111" s="78"/>
      <c r="GC111" s="78"/>
      <c r="GD111" s="78"/>
      <c r="GE111" s="78"/>
      <c r="GF111" s="78"/>
      <c r="GG111" s="78"/>
      <c r="GH111" s="78"/>
      <c r="GI111" s="42"/>
    </row>
    <row r="112" spans="1:193" x14ac:dyDescent="0.3">
      <c r="GJ112" s="117" t="s">
        <v>258</v>
      </c>
      <c r="GK112" s="118" t="s">
        <v>259</v>
      </c>
    </row>
    <row r="113" spans="192:193" x14ac:dyDescent="0.3">
      <c r="GJ113" s="117" t="s">
        <v>260</v>
      </c>
      <c r="GK113" s="118" t="s">
        <v>261</v>
      </c>
    </row>
    <row r="114" spans="192:193" x14ac:dyDescent="0.3">
      <c r="GJ114" s="117" t="s">
        <v>262</v>
      </c>
      <c r="GK114" s="118" t="s">
        <v>263</v>
      </c>
    </row>
    <row r="115" spans="192:193" x14ac:dyDescent="0.3">
      <c r="GJ115" s="117" t="s">
        <v>264</v>
      </c>
      <c r="GK115" s="118" t="s">
        <v>265</v>
      </c>
    </row>
    <row r="116" spans="192:193" x14ac:dyDescent="0.3">
      <c r="GJ116" s="117" t="s">
        <v>266</v>
      </c>
      <c r="GK116" s="118" t="s">
        <v>267</v>
      </c>
    </row>
    <row r="117" spans="192:193" x14ac:dyDescent="0.3">
      <c r="GJ117" s="117" t="s">
        <v>268</v>
      </c>
      <c r="GK117" s="118" t="s">
        <v>269</v>
      </c>
    </row>
    <row r="118" spans="192:193" x14ac:dyDescent="0.3">
      <c r="GJ118" s="117" t="s">
        <v>58</v>
      </c>
      <c r="GK118" s="118" t="s">
        <v>270</v>
      </c>
    </row>
    <row r="119" spans="192:193" x14ac:dyDescent="0.3">
      <c r="GJ119" s="117" t="s">
        <v>271</v>
      </c>
      <c r="GK119" s="118" t="s">
        <v>272</v>
      </c>
    </row>
    <row r="120" spans="192:193" x14ac:dyDescent="0.3">
      <c r="GJ120" s="117" t="s">
        <v>273</v>
      </c>
      <c r="GK120" s="118" t="s">
        <v>274</v>
      </c>
    </row>
    <row r="121" spans="192:193" x14ac:dyDescent="0.3">
      <c r="GJ121" s="117">
        <v>10</v>
      </c>
      <c r="GK121" s="118" t="s">
        <v>275</v>
      </c>
    </row>
    <row r="122" spans="192:193" x14ac:dyDescent="0.3">
      <c r="GJ122" s="117">
        <v>11</v>
      </c>
      <c r="GK122" s="118" t="s">
        <v>276</v>
      </c>
    </row>
    <row r="123" spans="192:193" x14ac:dyDescent="0.3">
      <c r="GJ123" s="117">
        <v>12</v>
      </c>
      <c r="GK123" s="118" t="s">
        <v>277</v>
      </c>
    </row>
  </sheetData>
  <mergeCells count="582">
    <mergeCell ref="BV111:CF111"/>
    <mergeCell ref="CG111:CP111"/>
    <mergeCell ref="CQ111:CY111"/>
    <mergeCell ref="CZ111:DJ111"/>
    <mergeCell ref="DK111:DS111"/>
    <mergeCell ref="DT111:EB111"/>
    <mergeCell ref="A111:Q111"/>
    <mergeCell ref="R111:Y111"/>
    <mergeCell ref="Z111:AH111"/>
    <mergeCell ref="AI111:AV111"/>
    <mergeCell ref="AW111:BJ111"/>
    <mergeCell ref="BK111:BU111"/>
    <mergeCell ref="CQ110:CY110"/>
    <mergeCell ref="CZ110:DJ110"/>
    <mergeCell ref="DK110:DS110"/>
    <mergeCell ref="DT110:EB110"/>
    <mergeCell ref="ET110:FE110"/>
    <mergeCell ref="FH110:GH110"/>
    <mergeCell ref="ET109:FE109"/>
    <mergeCell ref="FH109:GH109"/>
    <mergeCell ref="A110:Q110"/>
    <mergeCell ref="R110:Y110"/>
    <mergeCell ref="Z110:AH110"/>
    <mergeCell ref="AI110:AV110"/>
    <mergeCell ref="AW110:BJ110"/>
    <mergeCell ref="BK110:BU110"/>
    <mergeCell ref="BV110:CF110"/>
    <mergeCell ref="CG110:CP110"/>
    <mergeCell ref="BV109:CF109"/>
    <mergeCell ref="CG109:CP109"/>
    <mergeCell ref="CQ109:CY109"/>
    <mergeCell ref="CZ109:DJ109"/>
    <mergeCell ref="DK109:DS109"/>
    <mergeCell ref="DT109:EB109"/>
    <mergeCell ref="A109:Q109"/>
    <mergeCell ref="R109:Y109"/>
    <mergeCell ref="Z109:AH109"/>
    <mergeCell ref="AI109:AV109"/>
    <mergeCell ref="AW109:BJ109"/>
    <mergeCell ref="BK109:BU109"/>
    <mergeCell ref="CG108:CP108"/>
    <mergeCell ref="CQ108:CY108"/>
    <mergeCell ref="CZ108:DJ108"/>
    <mergeCell ref="DK108:DS108"/>
    <mergeCell ref="DT108:EB108"/>
    <mergeCell ref="EE108:GH108"/>
    <mergeCell ref="R108:Y108"/>
    <mergeCell ref="Z108:AH108"/>
    <mergeCell ref="AI108:AV108"/>
    <mergeCell ref="AW108:BJ108"/>
    <mergeCell ref="BK108:BU108"/>
    <mergeCell ref="BV108:CF108"/>
    <mergeCell ref="CZ105:DJ107"/>
    <mergeCell ref="DK105:DS107"/>
    <mergeCell ref="DT105:EB107"/>
    <mergeCell ref="EE105:GH105"/>
    <mergeCell ref="EE106:GH106"/>
    <mergeCell ref="BV107:CF107"/>
    <mergeCell ref="CG107:CP107"/>
    <mergeCell ref="EE107:GH107"/>
    <mergeCell ref="A105:Q108"/>
    <mergeCell ref="R105:Y107"/>
    <mergeCell ref="Z105:AH107"/>
    <mergeCell ref="AI105:AV107"/>
    <mergeCell ref="AW105:BJ107"/>
    <mergeCell ref="BK105:BU107"/>
    <mergeCell ref="BV105:CP106"/>
    <mergeCell ref="CQ105:CY107"/>
    <mergeCell ref="AX103:BH103"/>
    <mergeCell ref="BI103:BV103"/>
    <mergeCell ref="BW103:CP103"/>
    <mergeCell ref="CQ103:DC103"/>
    <mergeCell ref="ER101:GH102"/>
    <mergeCell ref="AX102:BH102"/>
    <mergeCell ref="BI102:BV102"/>
    <mergeCell ref="BW102:CP102"/>
    <mergeCell ref="CQ102:DC102"/>
    <mergeCell ref="DD102:DQ102"/>
    <mergeCell ref="DR102:EE102"/>
    <mergeCell ref="EF102:EO102"/>
    <mergeCell ref="A103:H103"/>
    <mergeCell ref="I103:P103"/>
    <mergeCell ref="Q103:X103"/>
    <mergeCell ref="Y103:AF103"/>
    <mergeCell ref="AG103:AN103"/>
    <mergeCell ref="AO103:AW103"/>
    <mergeCell ref="A102:H102"/>
    <mergeCell ref="I102:P102"/>
    <mergeCell ref="Q102:X102"/>
    <mergeCell ref="Y102:AF102"/>
    <mergeCell ref="AG102:AN102"/>
    <mergeCell ref="AO102:AW102"/>
    <mergeCell ref="EF103:EO103"/>
    <mergeCell ref="ER103:GH104"/>
    <mergeCell ref="DD103:DQ103"/>
    <mergeCell ref="DR103:EE103"/>
    <mergeCell ref="FT95:GH95"/>
    <mergeCell ref="A97:EO97"/>
    <mergeCell ref="A98:AN98"/>
    <mergeCell ref="AO98:AW98"/>
    <mergeCell ref="AX98:BV98"/>
    <mergeCell ref="BW98:CP101"/>
    <mergeCell ref="CQ98:DQ98"/>
    <mergeCell ref="DR98:EO98"/>
    <mergeCell ref="FF98:GH98"/>
    <mergeCell ref="A99:H101"/>
    <mergeCell ref="I99:P101"/>
    <mergeCell ref="Q99:X101"/>
    <mergeCell ref="Y99:AF101"/>
    <mergeCell ref="AG99:AN101"/>
    <mergeCell ref="AO99:AW99"/>
    <mergeCell ref="AX99:BH101"/>
    <mergeCell ref="BI99:BV101"/>
    <mergeCell ref="CQ99:DC101"/>
    <mergeCell ref="DD99:DQ101"/>
    <mergeCell ref="DR99:EE101"/>
    <mergeCell ref="EF99:EO101"/>
    <mergeCell ref="ER99:GH100"/>
    <mergeCell ref="AO100:AW100"/>
    <mergeCell ref="AO101:AW101"/>
    <mergeCell ref="A95:J95"/>
    <mergeCell ref="K95:AJ95"/>
    <mergeCell ref="AK95:BJ95"/>
    <mergeCell ref="BK95:CL95"/>
    <mergeCell ref="CM95:DT95"/>
    <mergeCell ref="DU95:EA95"/>
    <mergeCell ref="EB95:EP95"/>
    <mergeCell ref="EQ95:FD95"/>
    <mergeCell ref="FE95:FS95"/>
    <mergeCell ref="FT93:GH93"/>
    <mergeCell ref="A94:J94"/>
    <mergeCell ref="K94:AJ94"/>
    <mergeCell ref="AK94:BJ94"/>
    <mergeCell ref="BK94:CL94"/>
    <mergeCell ref="CM94:DT94"/>
    <mergeCell ref="DU94:EA94"/>
    <mergeCell ref="EB94:EP94"/>
    <mergeCell ref="EQ94:FD94"/>
    <mergeCell ref="FE94:FS94"/>
    <mergeCell ref="FT94:GH94"/>
    <mergeCell ref="A93:J93"/>
    <mergeCell ref="K93:AJ93"/>
    <mergeCell ref="AK93:BJ93"/>
    <mergeCell ref="BK93:CL93"/>
    <mergeCell ref="CM93:DT93"/>
    <mergeCell ref="DU93:EA93"/>
    <mergeCell ref="EB93:EP93"/>
    <mergeCell ref="EQ93:FD93"/>
    <mergeCell ref="FE93:FS93"/>
    <mergeCell ref="A91:J92"/>
    <mergeCell ref="K91:AJ92"/>
    <mergeCell ref="AK91:BJ92"/>
    <mergeCell ref="BK91:CL92"/>
    <mergeCell ref="CM91:EA91"/>
    <mergeCell ref="EB91:FD91"/>
    <mergeCell ref="FE91:FS92"/>
    <mergeCell ref="FT91:GH92"/>
    <mergeCell ref="CM92:DT92"/>
    <mergeCell ref="DU92:EA92"/>
    <mergeCell ref="EB92:EP92"/>
    <mergeCell ref="EQ92:FD92"/>
    <mergeCell ref="CM87:CX89"/>
    <mergeCell ref="CZ87:DP89"/>
    <mergeCell ref="DR85:DZ88"/>
    <mergeCell ref="N86:X86"/>
    <mergeCell ref="AA86:AV86"/>
    <mergeCell ref="BY86:CK86"/>
    <mergeCell ref="CM86:CX86"/>
    <mergeCell ref="CZ86:DP86"/>
    <mergeCell ref="A90:GH90"/>
    <mergeCell ref="FE79:GH79"/>
    <mergeCell ref="A80:G81"/>
    <mergeCell ref="Q80:AS80"/>
    <mergeCell ref="CF80:DB80"/>
    <mergeCell ref="H81:S81"/>
    <mergeCell ref="U81:AE81"/>
    <mergeCell ref="AH81:AX81"/>
    <mergeCell ref="BP81:CO82"/>
    <mergeCell ref="CP81:CZ82"/>
    <mergeCell ref="DC81:DX82"/>
    <mergeCell ref="EB81:EV83"/>
    <mergeCell ref="EX81:GH83"/>
    <mergeCell ref="I82:R83"/>
    <mergeCell ref="U82:AE83"/>
    <mergeCell ref="AH82:AX83"/>
    <mergeCell ref="CP83:CZ84"/>
    <mergeCell ref="DC83:DX84"/>
    <mergeCell ref="A84:S85"/>
    <mergeCell ref="EC84:GH85"/>
    <mergeCell ref="BE85:BM88"/>
    <mergeCell ref="EC86:GH88"/>
    <mergeCell ref="N87:X89"/>
    <mergeCell ref="AA87:AV89"/>
    <mergeCell ref="BY87:CK89"/>
    <mergeCell ref="AA78:AR78"/>
    <mergeCell ref="AY78:BM78"/>
    <mergeCell ref="CS78:DA78"/>
    <mergeCell ref="DK78:DT78"/>
    <mergeCell ref="Q79:AS79"/>
    <mergeCell ref="CF79:DB79"/>
    <mergeCell ref="AA77:AR77"/>
    <mergeCell ref="AS77:AX77"/>
    <mergeCell ref="AY77:BM77"/>
    <mergeCell ref="CS77:DA77"/>
    <mergeCell ref="DB77:DJ77"/>
    <mergeCell ref="DK77:DT77"/>
    <mergeCell ref="FH75:FT75"/>
    <mergeCell ref="FU75:GH75"/>
    <mergeCell ref="AS76:AX76"/>
    <mergeCell ref="DB76:DJ76"/>
    <mergeCell ref="EJ76:ET77"/>
    <mergeCell ref="EU76:FT76"/>
    <mergeCell ref="FU76:GH77"/>
    <mergeCell ref="EJ74:ET74"/>
    <mergeCell ref="EU74:FG74"/>
    <mergeCell ref="FH74:FT74"/>
    <mergeCell ref="FU74:GH74"/>
    <mergeCell ref="A75:AH75"/>
    <mergeCell ref="AI75:BT75"/>
    <mergeCell ref="BU75:CL75"/>
    <mergeCell ref="CM75:DB75"/>
    <mergeCell ref="DC75:EI75"/>
    <mergeCell ref="EJ75:ET75"/>
    <mergeCell ref="DC73:EI73"/>
    <mergeCell ref="EJ73:ET73"/>
    <mergeCell ref="EU73:FG73"/>
    <mergeCell ref="EU75:FG75"/>
    <mergeCell ref="FH73:FT73"/>
    <mergeCell ref="FU73:GH73"/>
    <mergeCell ref="A74:AH74"/>
    <mergeCell ref="AI74:BT74"/>
    <mergeCell ref="BU74:CL74"/>
    <mergeCell ref="CM74:DB74"/>
    <mergeCell ref="DC74:EI74"/>
    <mergeCell ref="A71:AF71"/>
    <mergeCell ref="AO71:BT72"/>
    <mergeCell ref="CH71:CY71"/>
    <mergeCell ref="A73:AH73"/>
    <mergeCell ref="AI73:BT73"/>
    <mergeCell ref="BU73:CL73"/>
    <mergeCell ref="CM73:DB73"/>
    <mergeCell ref="Q69:BU69"/>
    <mergeCell ref="CH69:CY69"/>
    <mergeCell ref="FP69:GH70"/>
    <mergeCell ref="A70:AF70"/>
    <mergeCell ref="CH70:CY70"/>
    <mergeCell ref="DV70:EW70"/>
    <mergeCell ref="Q67:CB67"/>
    <mergeCell ref="CT67:FC67"/>
    <mergeCell ref="FP67:GH68"/>
    <mergeCell ref="Q68:BU68"/>
    <mergeCell ref="CH68:CY68"/>
    <mergeCell ref="DV68:EW68"/>
    <mergeCell ref="O59:FM59"/>
    <mergeCell ref="A65:S65"/>
    <mergeCell ref="T65:AG65"/>
    <mergeCell ref="AP65:BC65"/>
    <mergeCell ref="BI65:BV65"/>
    <mergeCell ref="Q66:CB66"/>
    <mergeCell ref="CT66:FC66"/>
    <mergeCell ref="X60:FM60"/>
    <mergeCell ref="FP60:GH63"/>
    <mergeCell ref="L61:BZ61"/>
    <mergeCell ref="CU61:FA61"/>
    <mergeCell ref="L62:BZ62"/>
    <mergeCell ref="A63:W64"/>
    <mergeCell ref="Y63:BZ63"/>
    <mergeCell ref="DF63:FH63"/>
    <mergeCell ref="Y64:BZ64"/>
    <mergeCell ref="FP64:GH66"/>
    <mergeCell ref="AD55:AT55"/>
    <mergeCell ref="AW55:BC55"/>
    <mergeCell ref="A56:M57"/>
    <mergeCell ref="N56:CA57"/>
    <mergeCell ref="CC56:CN57"/>
    <mergeCell ref="CO56:DK57"/>
    <mergeCell ref="ED51:ES51"/>
    <mergeCell ref="EV51:FF51"/>
    <mergeCell ref="FI51:GE51"/>
    <mergeCell ref="BX53:DD54"/>
    <mergeCell ref="A54:S54"/>
    <mergeCell ref="T54:AG54"/>
    <mergeCell ref="AP54:BC54"/>
    <mergeCell ref="BI54:BV54"/>
    <mergeCell ref="FP54:GH55"/>
    <mergeCell ref="X55:AA55"/>
    <mergeCell ref="DL56:EJ57"/>
    <mergeCell ref="EN56:FA57"/>
    <mergeCell ref="FB56:FN56"/>
    <mergeCell ref="FP56:GH57"/>
    <mergeCell ref="FB57:FN58"/>
    <mergeCell ref="N58:CA58"/>
    <mergeCell ref="CO58:DF58"/>
    <mergeCell ref="FP58:GH59"/>
    <mergeCell ref="BE50:BI50"/>
    <mergeCell ref="BM50:CD50"/>
    <mergeCell ref="CG50:CM50"/>
    <mergeCell ref="ED50:ES50"/>
    <mergeCell ref="EV50:FF50"/>
    <mergeCell ref="FI50:GE50"/>
    <mergeCell ref="AB48:AY48"/>
    <mergeCell ref="BB48:BO48"/>
    <mergeCell ref="BR48:CQ48"/>
    <mergeCell ref="CY48:GE48"/>
    <mergeCell ref="AB49:AY49"/>
    <mergeCell ref="BB49:BO49"/>
    <mergeCell ref="BR49:CQ49"/>
    <mergeCell ref="A46:W46"/>
    <mergeCell ref="Y46:AE46"/>
    <mergeCell ref="AG46:AX46"/>
    <mergeCell ref="BQ46:BZ46"/>
    <mergeCell ref="CC46:CU46"/>
    <mergeCell ref="CY46:FH47"/>
    <mergeCell ref="A43:U44"/>
    <mergeCell ref="EB44:ER44"/>
    <mergeCell ref="EU44:FF44"/>
    <mergeCell ref="FI44:GE44"/>
    <mergeCell ref="A45:W45"/>
    <mergeCell ref="Y45:AE45"/>
    <mergeCell ref="AG45:AX45"/>
    <mergeCell ref="BQ45:BZ45"/>
    <mergeCell ref="CC45:CU45"/>
    <mergeCell ref="AR42:AZ43"/>
    <mergeCell ref="BA42:BW44"/>
    <mergeCell ref="CY42:EA43"/>
    <mergeCell ref="EB42:ER43"/>
    <mergeCell ref="EU42:FF43"/>
    <mergeCell ref="FI42:GE43"/>
    <mergeCell ref="EU39:EW40"/>
    <mergeCell ref="EX39:FP40"/>
    <mergeCell ref="FS39:FZ40"/>
    <mergeCell ref="GA39:GD40"/>
    <mergeCell ref="AV40:BU40"/>
    <mergeCell ref="AB41:BV41"/>
    <mergeCell ref="BW41:CB41"/>
    <mergeCell ref="CC41:CK41"/>
    <mergeCell ref="DJ41:GE41"/>
    <mergeCell ref="AV39:BU39"/>
    <mergeCell ref="CE39:CU39"/>
    <mergeCell ref="CY39:DS40"/>
    <mergeCell ref="DT39:EI40"/>
    <mergeCell ref="EK39:EO40"/>
    <mergeCell ref="EP39:ET40"/>
    <mergeCell ref="FC36:FM37"/>
    <mergeCell ref="J37:BU37"/>
    <mergeCell ref="CM37:DP37"/>
    <mergeCell ref="EI37:EK37"/>
    <mergeCell ref="M38:BU38"/>
    <mergeCell ref="CR38:DP38"/>
    <mergeCell ref="EO38:FB38"/>
    <mergeCell ref="FC38:FM38"/>
    <mergeCell ref="CL35:DP35"/>
    <mergeCell ref="EI35:EK35"/>
    <mergeCell ref="W36:BU36"/>
    <mergeCell ref="CR36:DP36"/>
    <mergeCell ref="DS36:EH37"/>
    <mergeCell ref="EO36:FB37"/>
    <mergeCell ref="AS32:BU32"/>
    <mergeCell ref="CV32:EL32"/>
    <mergeCell ref="EO32:FB32"/>
    <mergeCell ref="FC32:FM32"/>
    <mergeCell ref="N33:BU33"/>
    <mergeCell ref="EO33:FB35"/>
    <mergeCell ref="FC33:FM35"/>
    <mergeCell ref="N34:BU34"/>
    <mergeCell ref="DS34:EH35"/>
    <mergeCell ref="Q35:BU35"/>
    <mergeCell ref="DH31:DR31"/>
    <mergeCell ref="DS31:EC31"/>
    <mergeCell ref="ED31:EN31"/>
    <mergeCell ref="EO31:FB31"/>
    <mergeCell ref="FC31:FM31"/>
    <mergeCell ref="FN31:GE31"/>
    <mergeCell ref="A31:K31"/>
    <mergeCell ref="L31:AE31"/>
    <mergeCell ref="AF31:AR31"/>
    <mergeCell ref="AS31:BD31"/>
    <mergeCell ref="BE31:BT31"/>
    <mergeCell ref="BU31:DG31"/>
    <mergeCell ref="DH30:DR30"/>
    <mergeCell ref="DS30:EC30"/>
    <mergeCell ref="ED30:EN30"/>
    <mergeCell ref="EO30:FB30"/>
    <mergeCell ref="FC30:FM30"/>
    <mergeCell ref="FN30:GE30"/>
    <mergeCell ref="A30:K30"/>
    <mergeCell ref="L30:AE30"/>
    <mergeCell ref="AF30:AR30"/>
    <mergeCell ref="AS30:BD30"/>
    <mergeCell ref="BE30:BT30"/>
    <mergeCell ref="BU30:DG30"/>
    <mergeCell ref="DH29:DR29"/>
    <mergeCell ref="DS29:EC29"/>
    <mergeCell ref="ED29:EN29"/>
    <mergeCell ref="EO29:FB29"/>
    <mergeCell ref="FC29:FM29"/>
    <mergeCell ref="FN29:GE29"/>
    <mergeCell ref="A29:K29"/>
    <mergeCell ref="L29:AE29"/>
    <mergeCell ref="AF29:AR29"/>
    <mergeCell ref="AS29:BD29"/>
    <mergeCell ref="BE29:BT29"/>
    <mergeCell ref="BU29:DG29"/>
    <mergeCell ref="DH28:DR28"/>
    <mergeCell ref="DS28:EC28"/>
    <mergeCell ref="ED28:EN28"/>
    <mergeCell ref="EO28:FB28"/>
    <mergeCell ref="FC28:FM28"/>
    <mergeCell ref="FN28:GE28"/>
    <mergeCell ref="A28:K28"/>
    <mergeCell ref="L28:AE28"/>
    <mergeCell ref="AF28:AR28"/>
    <mergeCell ref="AS28:BD28"/>
    <mergeCell ref="BE28:BT28"/>
    <mergeCell ref="BU28:DG28"/>
    <mergeCell ref="DH27:DR27"/>
    <mergeCell ref="DS27:EC27"/>
    <mergeCell ref="ED27:EN27"/>
    <mergeCell ref="EO27:FB27"/>
    <mergeCell ref="FC27:FM27"/>
    <mergeCell ref="FN27:GE27"/>
    <mergeCell ref="A27:K27"/>
    <mergeCell ref="L27:AE27"/>
    <mergeCell ref="AF27:AR27"/>
    <mergeCell ref="AS27:BD27"/>
    <mergeCell ref="BE27:BT27"/>
    <mergeCell ref="BU27:DG27"/>
    <mergeCell ref="DH26:DR26"/>
    <mergeCell ref="DS26:EC26"/>
    <mergeCell ref="ED26:EN26"/>
    <mergeCell ref="EO26:FB26"/>
    <mergeCell ref="FC26:FM26"/>
    <mergeCell ref="FN26:GE26"/>
    <mergeCell ref="A26:K26"/>
    <mergeCell ref="L26:AE26"/>
    <mergeCell ref="AF26:AR26"/>
    <mergeCell ref="AS26:BD26"/>
    <mergeCell ref="BE26:BT26"/>
    <mergeCell ref="BU26:DG26"/>
    <mergeCell ref="DH25:DR25"/>
    <mergeCell ref="DS25:EC25"/>
    <mergeCell ref="ED25:EN25"/>
    <mergeCell ref="EO25:FB25"/>
    <mergeCell ref="FC25:FM25"/>
    <mergeCell ref="FN25:GE25"/>
    <mergeCell ref="A25:K25"/>
    <mergeCell ref="L25:AE25"/>
    <mergeCell ref="AF25:AR25"/>
    <mergeCell ref="AS25:BD25"/>
    <mergeCell ref="BE25:BT25"/>
    <mergeCell ref="BU25:DG25"/>
    <mergeCell ref="DH24:DR24"/>
    <mergeCell ref="DS24:EC24"/>
    <mergeCell ref="ED24:EN24"/>
    <mergeCell ref="EO24:FB24"/>
    <mergeCell ref="FC24:FM24"/>
    <mergeCell ref="FN24:GE24"/>
    <mergeCell ref="A24:K24"/>
    <mergeCell ref="L24:AE24"/>
    <mergeCell ref="AF24:AR24"/>
    <mergeCell ref="AS24:BD24"/>
    <mergeCell ref="BE24:BT24"/>
    <mergeCell ref="BU24:DG24"/>
    <mergeCell ref="DH23:DR23"/>
    <mergeCell ref="DS23:EC23"/>
    <mergeCell ref="ED23:EN23"/>
    <mergeCell ref="EO23:FB23"/>
    <mergeCell ref="FC23:FM23"/>
    <mergeCell ref="FN23:GE23"/>
    <mergeCell ref="A23:K23"/>
    <mergeCell ref="L23:AE23"/>
    <mergeCell ref="AF23:AR23"/>
    <mergeCell ref="AS23:BD23"/>
    <mergeCell ref="BE23:BT23"/>
    <mergeCell ref="BU23:DG23"/>
    <mergeCell ref="DH22:DR22"/>
    <mergeCell ref="DS22:EC22"/>
    <mergeCell ref="ED22:EN22"/>
    <mergeCell ref="EO22:FB22"/>
    <mergeCell ref="FC22:FM22"/>
    <mergeCell ref="FN22:GE22"/>
    <mergeCell ref="A22:K22"/>
    <mergeCell ref="L22:AE22"/>
    <mergeCell ref="AF22:AR22"/>
    <mergeCell ref="AS22:BD22"/>
    <mergeCell ref="BE22:BT22"/>
    <mergeCell ref="BU22:DG22"/>
    <mergeCell ref="DH21:DR21"/>
    <mergeCell ref="DS21:EC21"/>
    <mergeCell ref="ED21:EN21"/>
    <mergeCell ref="EO21:FB21"/>
    <mergeCell ref="FC21:FM21"/>
    <mergeCell ref="FN21:GE21"/>
    <mergeCell ref="A21:K21"/>
    <mergeCell ref="L21:AE21"/>
    <mergeCell ref="AF21:AR21"/>
    <mergeCell ref="AS21:BD21"/>
    <mergeCell ref="BE21:BT21"/>
    <mergeCell ref="BU21:DG21"/>
    <mergeCell ref="DH20:DR20"/>
    <mergeCell ref="DS20:EC20"/>
    <mergeCell ref="ED20:EN20"/>
    <mergeCell ref="EO20:FB20"/>
    <mergeCell ref="FC20:FM20"/>
    <mergeCell ref="FN20:GE20"/>
    <mergeCell ref="A20:K20"/>
    <mergeCell ref="L20:AE20"/>
    <mergeCell ref="AF20:AR20"/>
    <mergeCell ref="AS20:BD20"/>
    <mergeCell ref="BE20:BT20"/>
    <mergeCell ref="BU20:DG20"/>
    <mergeCell ref="DH18:DR18"/>
    <mergeCell ref="DS18:EC18"/>
    <mergeCell ref="ED18:EN18"/>
    <mergeCell ref="EO18:FB18"/>
    <mergeCell ref="FC19:FM19"/>
    <mergeCell ref="FC18:FM18"/>
    <mergeCell ref="FN18:GE18"/>
    <mergeCell ref="A18:K18"/>
    <mergeCell ref="L18:AE18"/>
    <mergeCell ref="AF18:AR18"/>
    <mergeCell ref="AS18:BD18"/>
    <mergeCell ref="BE18:BT18"/>
    <mergeCell ref="BU18:DG18"/>
    <mergeCell ref="FN19:GE19"/>
    <mergeCell ref="A19:K19"/>
    <mergeCell ref="L19:AE19"/>
    <mergeCell ref="AF19:AR19"/>
    <mergeCell ref="AS19:BD19"/>
    <mergeCell ref="BE19:BT19"/>
    <mergeCell ref="BU19:DG19"/>
    <mergeCell ref="DH19:DR19"/>
    <mergeCell ref="DS19:EC19"/>
    <mergeCell ref="ED19:EN19"/>
    <mergeCell ref="EO19:FB19"/>
    <mergeCell ref="FC17:FM17"/>
    <mergeCell ref="FN17:GE17"/>
    <mergeCell ref="A17:K17"/>
    <mergeCell ref="L17:AE17"/>
    <mergeCell ref="AF17:AR17"/>
    <mergeCell ref="AS17:BD17"/>
    <mergeCell ref="BE17:BT17"/>
    <mergeCell ref="BU17:DG17"/>
    <mergeCell ref="DH17:DR17"/>
    <mergeCell ref="DS17:EC17"/>
    <mergeCell ref="ED17:EN17"/>
    <mergeCell ref="EO17:FB17"/>
    <mergeCell ref="ED16:EN16"/>
    <mergeCell ref="EO16:FB16"/>
    <mergeCell ref="A12:O13"/>
    <mergeCell ref="V12:EZ12"/>
    <mergeCell ref="FA12:FL13"/>
    <mergeCell ref="FM12:GE13"/>
    <mergeCell ref="P13:EZ13"/>
    <mergeCell ref="V14:EZ14"/>
    <mergeCell ref="A15:GE15"/>
    <mergeCell ref="A16:K16"/>
    <mergeCell ref="L16:AE16"/>
    <mergeCell ref="AF16:AR16"/>
    <mergeCell ref="AS16:BD16"/>
    <mergeCell ref="BE16:BT16"/>
    <mergeCell ref="BU16:DG16"/>
    <mergeCell ref="DH16:DR16"/>
    <mergeCell ref="DS16:EC16"/>
    <mergeCell ref="FC16:FM16"/>
    <mergeCell ref="FN16:GE16"/>
    <mergeCell ref="A11:O11"/>
    <mergeCell ref="P11:EZ11"/>
    <mergeCell ref="P9:EZ9"/>
    <mergeCell ref="FA9:FL9"/>
    <mergeCell ref="FM9:GE9"/>
    <mergeCell ref="V10:EZ10"/>
    <mergeCell ref="FA10:FL11"/>
    <mergeCell ref="FM10:GE11"/>
    <mergeCell ref="FM4:GE4"/>
    <mergeCell ref="FM5:GE5"/>
    <mergeCell ref="DR6:FG6"/>
    <mergeCell ref="FM6:GE6"/>
    <mergeCell ref="DR7:FG7"/>
    <mergeCell ref="FM7:FR8"/>
    <mergeCell ref="FS7:FY8"/>
    <mergeCell ref="FZ7:GE8"/>
  </mergeCells>
  <hyperlinks>
    <hyperlink ref="BD6" r:id="rId1" xr:uid="{00000000-0004-0000-0600-000000000000}"/>
  </hyperlinks>
  <pageMargins left="0.39370078740157483" right="0.19685039370078741" top="0.55118110236220474" bottom="0.15748031496062992" header="0" footer="0"/>
  <pageSetup paperSize="9" scale="73" fitToHeight="2" orientation="landscape" blackAndWhite="1" r:id="rId2"/>
  <rowBreaks count="1" manualBreakCount="1">
    <brk id="51" max="190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K123"/>
  <sheetViews>
    <sheetView view="pageBreakPreview" topLeftCell="AI7" zoomScale="130" zoomScaleNormal="115" zoomScaleSheetLayoutView="130" workbookViewId="0">
      <selection activeCell="BU21" sqref="BU21:DG21"/>
    </sheetView>
  </sheetViews>
  <sheetFormatPr defaultRowHeight="14.4" x14ac:dyDescent="0.3"/>
  <cols>
    <col min="1" max="127" width="1" customWidth="1"/>
    <col min="128" max="128" width="1.109375" customWidth="1"/>
    <col min="129" max="186" width="0.6640625" customWidth="1"/>
    <col min="187" max="187" width="2" customWidth="1"/>
    <col min="188" max="190" width="0.33203125" customWidth="1"/>
    <col min="191" max="191" width="1.33203125" customWidth="1"/>
  </cols>
  <sheetData>
    <row r="1" spans="1:191" ht="12" customHeight="1" x14ac:dyDescent="0.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1" t="s">
        <v>48</v>
      </c>
      <c r="ED1" s="40"/>
      <c r="EE1" s="40"/>
      <c r="EF1" s="40"/>
      <c r="EG1" s="40"/>
      <c r="EH1" s="42"/>
      <c r="EI1" s="42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2"/>
    </row>
    <row r="2" spans="1:191" ht="12" customHeight="1" x14ac:dyDescent="0.3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1" t="s">
        <v>49</v>
      </c>
      <c r="ED2" s="40"/>
      <c r="EE2" s="40"/>
      <c r="EF2" s="40"/>
      <c r="EG2" s="40"/>
      <c r="EH2" s="42"/>
      <c r="EI2" s="42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2"/>
    </row>
    <row r="3" spans="1:191" ht="12" customHeigh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1" t="s">
        <v>50</v>
      </c>
      <c r="ED3" s="40"/>
      <c r="EE3" s="40"/>
      <c r="EF3" s="40"/>
      <c r="EG3" s="40"/>
      <c r="EH3" s="42"/>
      <c r="EI3" s="42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2"/>
    </row>
    <row r="4" spans="1:191" ht="15" thickBot="1" x14ac:dyDescent="0.35">
      <c r="A4" s="40"/>
      <c r="B4" s="40"/>
      <c r="C4" s="40"/>
      <c r="D4" s="43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224" t="s">
        <v>51</v>
      </c>
      <c r="FN4" s="225"/>
      <c r="FO4" s="225"/>
      <c r="FP4" s="225"/>
      <c r="FQ4" s="225"/>
      <c r="FR4" s="225"/>
      <c r="FS4" s="225"/>
      <c r="FT4" s="225"/>
      <c r="FU4" s="225"/>
      <c r="FV4" s="225"/>
      <c r="FW4" s="225"/>
      <c r="FX4" s="225"/>
      <c r="FY4" s="225"/>
      <c r="FZ4" s="225"/>
      <c r="GA4" s="225"/>
      <c r="GB4" s="225"/>
      <c r="GC4" s="225"/>
      <c r="GD4" s="225"/>
      <c r="GE4" s="226"/>
      <c r="GF4" s="40"/>
      <c r="GG4" s="40"/>
      <c r="GH4" s="40"/>
      <c r="GI4" s="42"/>
    </row>
    <row r="5" spans="1:191" x14ac:dyDescent="0.3">
      <c r="A5" s="40"/>
      <c r="B5" s="40"/>
      <c r="C5" s="40"/>
      <c r="D5" s="44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5" t="s">
        <v>52</v>
      </c>
      <c r="EQ5" s="40"/>
      <c r="ER5" s="40"/>
      <c r="ES5" s="42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227" t="s">
        <v>53</v>
      </c>
      <c r="FN5" s="228"/>
      <c r="FO5" s="228"/>
      <c r="FP5" s="228"/>
      <c r="FQ5" s="228"/>
      <c r="FR5" s="228"/>
      <c r="FS5" s="228"/>
      <c r="FT5" s="228"/>
      <c r="FU5" s="228"/>
      <c r="FV5" s="228"/>
      <c r="FW5" s="228"/>
      <c r="FX5" s="228"/>
      <c r="FY5" s="228"/>
      <c r="FZ5" s="228"/>
      <c r="GA5" s="228"/>
      <c r="GB5" s="228"/>
      <c r="GC5" s="228"/>
      <c r="GD5" s="228"/>
      <c r="GE5" s="229"/>
      <c r="GF5" s="40"/>
      <c r="GG5" s="40"/>
      <c r="GH5" s="40"/>
      <c r="GI5" s="42"/>
    </row>
    <row r="6" spans="1:191" ht="17.399999999999999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6" t="s">
        <v>54</v>
      </c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230" t="s">
        <v>55</v>
      </c>
      <c r="DS6" s="230"/>
      <c r="DT6" s="230"/>
      <c r="DU6" s="230"/>
      <c r="DV6" s="230"/>
      <c r="DW6" s="230"/>
      <c r="DX6" s="230"/>
      <c r="DY6" s="230"/>
      <c r="DZ6" s="230"/>
      <c r="EA6" s="230"/>
      <c r="EB6" s="230"/>
      <c r="EC6" s="230"/>
      <c r="ED6" s="230"/>
      <c r="EE6" s="230"/>
      <c r="EF6" s="230"/>
      <c r="EG6" s="230"/>
      <c r="EH6" s="230"/>
      <c r="EI6" s="230"/>
      <c r="EJ6" s="230"/>
      <c r="EK6" s="230"/>
      <c r="EL6" s="230"/>
      <c r="EM6" s="230"/>
      <c r="EN6" s="230"/>
      <c r="EO6" s="230"/>
      <c r="EP6" s="230"/>
      <c r="EQ6" s="230"/>
      <c r="ER6" s="230"/>
      <c r="ES6" s="230"/>
      <c r="ET6" s="230"/>
      <c r="EU6" s="230"/>
      <c r="EV6" s="230"/>
      <c r="EW6" s="230"/>
      <c r="EX6" s="230"/>
      <c r="EY6" s="230"/>
      <c r="EZ6" s="230"/>
      <c r="FA6" s="230"/>
      <c r="FB6" s="230"/>
      <c r="FC6" s="230"/>
      <c r="FD6" s="230"/>
      <c r="FE6" s="230"/>
      <c r="FF6" s="230"/>
      <c r="FG6" s="230"/>
      <c r="FH6" s="40"/>
      <c r="FI6" s="40" t="s">
        <v>56</v>
      </c>
      <c r="FJ6" s="40"/>
      <c r="FK6" s="40"/>
      <c r="FL6" s="40"/>
      <c r="FM6" s="231" t="s">
        <v>304</v>
      </c>
      <c r="FN6" s="232"/>
      <c r="FO6" s="232"/>
      <c r="FP6" s="232"/>
      <c r="FQ6" s="232"/>
      <c r="FR6" s="232"/>
      <c r="FS6" s="232"/>
      <c r="FT6" s="232"/>
      <c r="FU6" s="232"/>
      <c r="FV6" s="232"/>
      <c r="FW6" s="232"/>
      <c r="FX6" s="232"/>
      <c r="FY6" s="232"/>
      <c r="FZ6" s="232"/>
      <c r="GA6" s="232"/>
      <c r="GB6" s="232"/>
      <c r="GC6" s="232"/>
      <c r="GD6" s="232"/>
      <c r="GE6" s="233"/>
      <c r="GF6" s="40"/>
      <c r="GG6" s="40"/>
      <c r="GH6" s="40"/>
      <c r="GI6" s="42"/>
    </row>
    <row r="7" spans="1:191" ht="10.199999999999999" customHeight="1" x14ac:dyDescent="0.3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234" t="s">
        <v>57</v>
      </c>
      <c r="DS7" s="234"/>
      <c r="DT7" s="234"/>
      <c r="DU7" s="234"/>
      <c r="DV7" s="234"/>
      <c r="DW7" s="234"/>
      <c r="DX7" s="234"/>
      <c r="DY7" s="234"/>
      <c r="DZ7" s="234"/>
      <c r="EA7" s="234"/>
      <c r="EB7" s="234"/>
      <c r="EC7" s="234"/>
      <c r="ED7" s="234"/>
      <c r="EE7" s="234"/>
      <c r="EF7" s="234"/>
      <c r="EG7" s="234"/>
      <c r="EH7" s="234"/>
      <c r="EI7" s="234"/>
      <c r="EJ7" s="234"/>
      <c r="EK7" s="234"/>
      <c r="EL7" s="234"/>
      <c r="EM7" s="234"/>
      <c r="EN7" s="234"/>
      <c r="EO7" s="234"/>
      <c r="EP7" s="234"/>
      <c r="EQ7" s="234"/>
      <c r="ER7" s="234"/>
      <c r="ES7" s="234"/>
      <c r="ET7" s="234"/>
      <c r="EU7" s="234"/>
      <c r="EV7" s="234"/>
      <c r="EW7" s="234"/>
      <c r="EX7" s="234"/>
      <c r="EY7" s="234"/>
      <c r="EZ7" s="234"/>
      <c r="FA7" s="234"/>
      <c r="FB7" s="234"/>
      <c r="FC7" s="234"/>
      <c r="FD7" s="234"/>
      <c r="FE7" s="234"/>
      <c r="FF7" s="234"/>
      <c r="FG7" s="234"/>
      <c r="FH7" s="40"/>
      <c r="FI7" s="40"/>
      <c r="FJ7" s="40"/>
      <c r="FK7" s="40"/>
      <c r="FL7" s="40"/>
      <c r="FM7" s="235" t="s">
        <v>305</v>
      </c>
      <c r="FN7" s="236"/>
      <c r="FO7" s="236"/>
      <c r="FP7" s="236"/>
      <c r="FQ7" s="236"/>
      <c r="FR7" s="236"/>
      <c r="FS7" s="239" t="s">
        <v>266</v>
      </c>
      <c r="FT7" s="240"/>
      <c r="FU7" s="240"/>
      <c r="FV7" s="240"/>
      <c r="FW7" s="240"/>
      <c r="FX7" s="240"/>
      <c r="FY7" s="241"/>
      <c r="FZ7" s="236" t="s">
        <v>59</v>
      </c>
      <c r="GA7" s="236"/>
      <c r="GB7" s="236"/>
      <c r="GC7" s="236"/>
      <c r="GD7" s="236"/>
      <c r="GE7" s="245"/>
      <c r="GF7" s="40"/>
      <c r="GG7" s="40"/>
      <c r="GH7" s="40"/>
      <c r="GI7" s="42"/>
    </row>
    <row r="8" spans="1:191" ht="10.199999999999999" customHeigh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7"/>
      <c r="DS8" s="47"/>
      <c r="DT8" s="47"/>
      <c r="DU8" s="47"/>
      <c r="DV8" s="47"/>
      <c r="DW8" s="47"/>
      <c r="DX8" s="47"/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47"/>
      <c r="FC8" s="47"/>
      <c r="FD8" s="47"/>
      <c r="FE8" s="47"/>
      <c r="FF8" s="47"/>
      <c r="FG8" s="47"/>
      <c r="FH8" s="40"/>
      <c r="FI8" s="40"/>
      <c r="FJ8" s="40"/>
      <c r="FK8" s="48" t="s">
        <v>60</v>
      </c>
      <c r="FL8" s="40"/>
      <c r="FM8" s="237"/>
      <c r="FN8" s="238"/>
      <c r="FO8" s="238"/>
      <c r="FP8" s="238"/>
      <c r="FQ8" s="238"/>
      <c r="FR8" s="238"/>
      <c r="FS8" s="242"/>
      <c r="FT8" s="243"/>
      <c r="FU8" s="243"/>
      <c r="FV8" s="243"/>
      <c r="FW8" s="243"/>
      <c r="FX8" s="243"/>
      <c r="FY8" s="244"/>
      <c r="FZ8" s="238"/>
      <c r="GA8" s="238"/>
      <c r="GB8" s="238"/>
      <c r="GC8" s="238"/>
      <c r="GD8" s="238"/>
      <c r="GE8" s="246"/>
      <c r="GF8" s="40"/>
      <c r="GG8" s="40"/>
      <c r="GH8" s="40"/>
      <c r="GI8" s="42"/>
    </row>
    <row r="9" spans="1:191" ht="13.2" customHeight="1" x14ac:dyDescent="0.3">
      <c r="A9" s="40" t="s">
        <v>61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214" t="s">
        <v>62</v>
      </c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  <c r="BX9" s="214"/>
      <c r="BY9" s="214"/>
      <c r="BZ9" s="214"/>
      <c r="CA9" s="214"/>
      <c r="CB9" s="214"/>
      <c r="CC9" s="214"/>
      <c r="CD9" s="214"/>
      <c r="CE9" s="214"/>
      <c r="CF9" s="214"/>
      <c r="CG9" s="214"/>
      <c r="CH9" s="214"/>
      <c r="CI9" s="214"/>
      <c r="CJ9" s="214"/>
      <c r="CK9" s="214"/>
      <c r="CL9" s="214"/>
      <c r="CM9" s="214"/>
      <c r="CN9" s="214"/>
      <c r="CO9" s="214"/>
      <c r="CP9" s="214"/>
      <c r="CQ9" s="214"/>
      <c r="CR9" s="214"/>
      <c r="CS9" s="214"/>
      <c r="CT9" s="214"/>
      <c r="CU9" s="214"/>
      <c r="CV9" s="214"/>
      <c r="CW9" s="214"/>
      <c r="CX9" s="214"/>
      <c r="CY9" s="214"/>
      <c r="CZ9" s="214"/>
      <c r="DA9" s="214"/>
      <c r="DB9" s="214"/>
      <c r="DC9" s="214"/>
      <c r="DD9" s="214"/>
      <c r="DE9" s="214"/>
      <c r="DF9" s="214"/>
      <c r="DG9" s="214"/>
      <c r="DH9" s="214"/>
      <c r="DI9" s="214"/>
      <c r="DJ9" s="214"/>
      <c r="DK9" s="214"/>
      <c r="DL9" s="214"/>
      <c r="DM9" s="214"/>
      <c r="DN9" s="214"/>
      <c r="DO9" s="214"/>
      <c r="DP9" s="214"/>
      <c r="DQ9" s="214"/>
      <c r="DR9" s="214"/>
      <c r="DS9" s="214"/>
      <c r="DT9" s="214"/>
      <c r="DU9" s="214"/>
      <c r="DV9" s="214"/>
      <c r="DW9" s="214"/>
      <c r="DX9" s="214"/>
      <c r="DY9" s="214"/>
      <c r="DZ9" s="214"/>
      <c r="EA9" s="214"/>
      <c r="EB9" s="214"/>
      <c r="EC9" s="214"/>
      <c r="ED9" s="214"/>
      <c r="EE9" s="214"/>
      <c r="EF9" s="214"/>
      <c r="EG9" s="214"/>
      <c r="EH9" s="214"/>
      <c r="EI9" s="214"/>
      <c r="EJ9" s="214"/>
      <c r="EK9" s="214"/>
      <c r="EL9" s="214"/>
      <c r="EM9" s="214"/>
      <c r="EN9" s="214"/>
      <c r="EO9" s="214"/>
      <c r="EP9" s="214"/>
      <c r="EQ9" s="214"/>
      <c r="ER9" s="214"/>
      <c r="ES9" s="214"/>
      <c r="ET9" s="214"/>
      <c r="EU9" s="214"/>
      <c r="EV9" s="214"/>
      <c r="EW9" s="214"/>
      <c r="EX9" s="214"/>
      <c r="EY9" s="214"/>
      <c r="EZ9" s="214"/>
      <c r="FA9" s="215" t="s">
        <v>63</v>
      </c>
      <c r="FB9" s="215"/>
      <c r="FC9" s="215"/>
      <c r="FD9" s="215"/>
      <c r="FE9" s="215"/>
      <c r="FF9" s="215"/>
      <c r="FG9" s="215"/>
      <c r="FH9" s="215"/>
      <c r="FI9" s="215"/>
      <c r="FJ9" s="215"/>
      <c r="FK9" s="215"/>
      <c r="FL9" s="216"/>
      <c r="FM9" s="217"/>
      <c r="FN9" s="218"/>
      <c r="FO9" s="218"/>
      <c r="FP9" s="218"/>
      <c r="FQ9" s="218"/>
      <c r="FR9" s="218"/>
      <c r="FS9" s="218"/>
      <c r="FT9" s="218"/>
      <c r="FU9" s="218"/>
      <c r="FV9" s="218"/>
      <c r="FW9" s="218"/>
      <c r="FX9" s="218"/>
      <c r="FY9" s="218"/>
      <c r="FZ9" s="218"/>
      <c r="GA9" s="218"/>
      <c r="GB9" s="218"/>
      <c r="GC9" s="218"/>
      <c r="GD9" s="218"/>
      <c r="GE9" s="219"/>
      <c r="GF9" s="40"/>
      <c r="GG9" s="40"/>
      <c r="GH9" s="40"/>
      <c r="GI9" s="42"/>
    </row>
    <row r="10" spans="1:191" ht="6.6" customHeight="1" x14ac:dyDescent="0.3">
      <c r="A10" s="42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0"/>
      <c r="V10" s="220" t="s">
        <v>64</v>
      </c>
      <c r="W10" s="220"/>
      <c r="X10" s="220"/>
      <c r="Y10" s="220"/>
      <c r="Z10" s="220"/>
      <c r="AA10" s="220"/>
      <c r="AB10" s="220"/>
      <c r="AC10" s="220"/>
      <c r="AD10" s="220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220"/>
      <c r="CK10" s="220"/>
      <c r="CL10" s="220"/>
      <c r="CM10" s="220"/>
      <c r="CN10" s="220"/>
      <c r="CO10" s="220"/>
      <c r="CP10" s="220"/>
      <c r="CQ10" s="220"/>
      <c r="CR10" s="220"/>
      <c r="CS10" s="220"/>
      <c r="CT10" s="220"/>
      <c r="CU10" s="220"/>
      <c r="CV10" s="220"/>
      <c r="CW10" s="220"/>
      <c r="CX10" s="220"/>
      <c r="CY10" s="220"/>
      <c r="CZ10" s="220"/>
      <c r="DA10" s="220"/>
      <c r="DB10" s="220"/>
      <c r="DC10" s="220"/>
      <c r="DD10" s="220"/>
      <c r="DE10" s="220"/>
      <c r="DF10" s="220"/>
      <c r="DG10" s="220"/>
      <c r="DH10" s="220"/>
      <c r="DI10" s="220"/>
      <c r="DJ10" s="220"/>
      <c r="DK10" s="220"/>
      <c r="DL10" s="220"/>
      <c r="DM10" s="220"/>
      <c r="DN10" s="220"/>
      <c r="DO10" s="220"/>
      <c r="DP10" s="220"/>
      <c r="DQ10" s="220"/>
      <c r="DR10" s="220"/>
      <c r="DS10" s="220"/>
      <c r="DT10" s="220"/>
      <c r="DU10" s="220"/>
      <c r="DV10" s="220"/>
      <c r="DW10" s="220"/>
      <c r="DX10" s="220"/>
      <c r="DY10" s="220"/>
      <c r="DZ10" s="220"/>
      <c r="EA10" s="220"/>
      <c r="EB10" s="220"/>
      <c r="EC10" s="220"/>
      <c r="ED10" s="220"/>
      <c r="EE10" s="220"/>
      <c r="EF10" s="220"/>
      <c r="EG10" s="220"/>
      <c r="EH10" s="220"/>
      <c r="EI10" s="220"/>
      <c r="EJ10" s="220"/>
      <c r="EK10" s="220"/>
      <c r="EL10" s="220"/>
      <c r="EM10" s="220"/>
      <c r="EN10" s="220"/>
      <c r="EO10" s="220"/>
      <c r="EP10" s="220"/>
      <c r="EQ10" s="220"/>
      <c r="ER10" s="220"/>
      <c r="ES10" s="220"/>
      <c r="ET10" s="220"/>
      <c r="EU10" s="220"/>
      <c r="EV10" s="220"/>
      <c r="EW10" s="220"/>
      <c r="EX10" s="220"/>
      <c r="EY10" s="220"/>
      <c r="EZ10" s="220"/>
      <c r="FA10" s="215" t="s">
        <v>63</v>
      </c>
      <c r="FB10" s="215"/>
      <c r="FC10" s="215"/>
      <c r="FD10" s="215"/>
      <c r="FE10" s="215"/>
      <c r="FF10" s="215"/>
      <c r="FG10" s="215"/>
      <c r="FH10" s="215"/>
      <c r="FI10" s="215"/>
      <c r="FJ10" s="215"/>
      <c r="FK10" s="215"/>
      <c r="FL10" s="216"/>
      <c r="FM10" s="221"/>
      <c r="FN10" s="222"/>
      <c r="FO10" s="222"/>
      <c r="FP10" s="222"/>
      <c r="FQ10" s="222"/>
      <c r="FR10" s="222"/>
      <c r="FS10" s="222"/>
      <c r="FT10" s="222"/>
      <c r="FU10" s="222"/>
      <c r="FV10" s="222"/>
      <c r="FW10" s="222"/>
      <c r="FX10" s="222"/>
      <c r="FY10" s="222"/>
      <c r="FZ10" s="222"/>
      <c r="GA10" s="222"/>
      <c r="GB10" s="222"/>
      <c r="GC10" s="222"/>
      <c r="GD10" s="222"/>
      <c r="GE10" s="223"/>
      <c r="GF10" s="40"/>
      <c r="GG10" s="40"/>
      <c r="GH10" s="40"/>
      <c r="GI10" s="42"/>
    </row>
    <row r="11" spans="1:191" ht="12.6" customHeight="1" x14ac:dyDescent="0.3">
      <c r="A11" s="213" t="s">
        <v>65</v>
      </c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4" t="s">
        <v>62</v>
      </c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/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5"/>
      <c r="FB11" s="215"/>
      <c r="FC11" s="215"/>
      <c r="FD11" s="215"/>
      <c r="FE11" s="215"/>
      <c r="FF11" s="215"/>
      <c r="FG11" s="215"/>
      <c r="FH11" s="215"/>
      <c r="FI11" s="215"/>
      <c r="FJ11" s="215"/>
      <c r="FK11" s="215"/>
      <c r="FL11" s="216"/>
      <c r="FM11" s="217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/>
      <c r="GE11" s="219"/>
      <c r="GF11" s="40"/>
      <c r="GG11" s="40"/>
      <c r="GH11" s="40"/>
      <c r="GI11" s="42"/>
    </row>
    <row r="12" spans="1:191" ht="6.6" customHeight="1" x14ac:dyDescent="0.3">
      <c r="A12" s="251" t="s">
        <v>66</v>
      </c>
      <c r="B12" s="251"/>
      <c r="C12" s="251"/>
      <c r="D12" s="251"/>
      <c r="E12" s="251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40"/>
      <c r="Q12" s="40"/>
      <c r="R12" s="40"/>
      <c r="S12" s="40"/>
      <c r="T12" s="40"/>
      <c r="U12" s="40"/>
      <c r="V12" s="252" t="s">
        <v>64</v>
      </c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0"/>
      <c r="DQ12" s="220"/>
      <c r="DR12" s="220"/>
      <c r="DS12" s="220"/>
      <c r="DT12" s="220"/>
      <c r="DU12" s="220"/>
      <c r="DV12" s="220"/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15" t="s">
        <v>63</v>
      </c>
      <c r="FB12" s="215"/>
      <c r="FC12" s="215"/>
      <c r="FD12" s="215"/>
      <c r="FE12" s="215"/>
      <c r="FF12" s="215"/>
      <c r="FG12" s="215"/>
      <c r="FH12" s="215"/>
      <c r="FI12" s="215"/>
      <c r="FJ12" s="215"/>
      <c r="FK12" s="215"/>
      <c r="FL12" s="216"/>
      <c r="FM12" s="221"/>
      <c r="FN12" s="222"/>
      <c r="FO12" s="222"/>
      <c r="FP12" s="222"/>
      <c r="FQ12" s="222"/>
      <c r="FR12" s="222"/>
      <c r="FS12" s="222"/>
      <c r="FT12" s="222"/>
      <c r="FU12" s="222"/>
      <c r="FV12" s="222"/>
      <c r="FW12" s="222"/>
      <c r="FX12" s="222"/>
      <c r="FY12" s="222"/>
      <c r="FZ12" s="222"/>
      <c r="GA12" s="222"/>
      <c r="GB12" s="222"/>
      <c r="GC12" s="222"/>
      <c r="GD12" s="222"/>
      <c r="GE12" s="223"/>
      <c r="GF12" s="40"/>
      <c r="GG12" s="40"/>
      <c r="GH12" s="40"/>
      <c r="GI12" s="42"/>
    </row>
    <row r="13" spans="1:191" ht="12.6" customHeight="1" thickBot="1" x14ac:dyDescent="0.35">
      <c r="A13" s="251"/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6" t="s">
        <v>62</v>
      </c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6"/>
      <c r="FM13" s="253"/>
      <c r="FN13" s="254"/>
      <c r="FO13" s="254"/>
      <c r="FP13" s="254"/>
      <c r="FQ13" s="254"/>
      <c r="FR13" s="254"/>
      <c r="FS13" s="254"/>
      <c r="FT13" s="254"/>
      <c r="FU13" s="254"/>
      <c r="FV13" s="254"/>
      <c r="FW13" s="254"/>
      <c r="FX13" s="254"/>
      <c r="FY13" s="254"/>
      <c r="FZ13" s="254"/>
      <c r="GA13" s="254"/>
      <c r="GB13" s="254"/>
      <c r="GC13" s="254"/>
      <c r="GD13" s="254"/>
      <c r="GE13" s="255"/>
      <c r="GF13" s="40"/>
      <c r="GG13" s="40"/>
      <c r="GH13" s="40"/>
      <c r="GI13" s="42"/>
    </row>
    <row r="14" spans="1:191" ht="7.95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257" t="s">
        <v>67</v>
      </c>
      <c r="W14" s="257"/>
      <c r="X14" s="257"/>
      <c r="Y14" s="257"/>
      <c r="Z14" s="257"/>
      <c r="AA14" s="257"/>
      <c r="AB14" s="257"/>
      <c r="AC14" s="257"/>
      <c r="AD14" s="257"/>
      <c r="AE14" s="257"/>
      <c r="AF14" s="257"/>
      <c r="AG14" s="257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7"/>
      <c r="BI14" s="257"/>
      <c r="BJ14" s="257"/>
      <c r="BK14" s="257"/>
      <c r="BL14" s="257"/>
      <c r="BM14" s="257"/>
      <c r="BN14" s="257"/>
      <c r="BO14" s="257"/>
      <c r="BP14" s="257"/>
      <c r="BQ14" s="257"/>
      <c r="BR14" s="257"/>
      <c r="BS14" s="257"/>
      <c r="BT14" s="257"/>
      <c r="BU14" s="257"/>
      <c r="BV14" s="257"/>
      <c r="BW14" s="257"/>
      <c r="BX14" s="257"/>
      <c r="BY14" s="257"/>
      <c r="BZ14" s="257"/>
      <c r="CA14" s="257"/>
      <c r="CB14" s="257"/>
      <c r="CC14" s="257"/>
      <c r="CD14" s="257"/>
      <c r="CE14" s="257"/>
      <c r="CF14" s="257"/>
      <c r="CG14" s="257"/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  <c r="DI14" s="257"/>
      <c r="DJ14" s="257"/>
      <c r="DK14" s="257"/>
      <c r="DL14" s="257"/>
      <c r="DM14" s="257"/>
      <c r="DN14" s="257"/>
      <c r="DO14" s="257"/>
      <c r="DP14" s="257"/>
      <c r="DQ14" s="257"/>
      <c r="DR14" s="257"/>
      <c r="DS14" s="257"/>
      <c r="DT14" s="257"/>
      <c r="DU14" s="257"/>
      <c r="DV14" s="257"/>
      <c r="DW14" s="257"/>
      <c r="DX14" s="257"/>
      <c r="DY14" s="257"/>
      <c r="DZ14" s="257"/>
      <c r="EA14" s="257"/>
      <c r="EB14" s="257"/>
      <c r="EC14" s="257"/>
      <c r="ED14" s="257"/>
      <c r="EE14" s="257"/>
      <c r="EF14" s="257"/>
      <c r="EG14" s="257"/>
      <c r="EH14" s="257"/>
      <c r="EI14" s="257"/>
      <c r="EJ14" s="257"/>
      <c r="EK14" s="257"/>
      <c r="EL14" s="257"/>
      <c r="EM14" s="257"/>
      <c r="EN14" s="257"/>
      <c r="EO14" s="257"/>
      <c r="EP14" s="257"/>
      <c r="EQ14" s="257"/>
      <c r="ER14" s="257"/>
      <c r="ES14" s="257"/>
      <c r="ET14" s="257"/>
      <c r="EU14" s="257"/>
      <c r="EV14" s="257"/>
      <c r="EW14" s="257"/>
      <c r="EX14" s="257"/>
      <c r="EY14" s="257"/>
      <c r="EZ14" s="257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2"/>
    </row>
    <row r="15" spans="1:191" ht="15" thickBot="1" x14ac:dyDescent="0.35">
      <c r="A15" s="258" t="s">
        <v>68</v>
      </c>
      <c r="B15" s="258"/>
      <c r="C15" s="258"/>
      <c r="D15" s="258"/>
      <c r="E15" s="258"/>
      <c r="F15" s="258"/>
      <c r="G15" s="258"/>
      <c r="H15" s="258"/>
      <c r="I15" s="258"/>
      <c r="J15" s="258"/>
      <c r="K15" s="258"/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  <c r="AB15" s="258"/>
      <c r="AC15" s="258"/>
      <c r="AD15" s="258"/>
      <c r="AE15" s="258"/>
      <c r="AF15" s="258"/>
      <c r="AG15" s="258"/>
      <c r="AH15" s="258"/>
      <c r="AI15" s="258"/>
      <c r="AJ15" s="258"/>
      <c r="AK15" s="258"/>
      <c r="AL15" s="258"/>
      <c r="AM15" s="258"/>
      <c r="AN15" s="258"/>
      <c r="AO15" s="258"/>
      <c r="AP15" s="258"/>
      <c r="AQ15" s="258"/>
      <c r="AR15" s="258"/>
      <c r="AS15" s="258"/>
      <c r="AT15" s="258"/>
      <c r="AU15" s="258"/>
      <c r="AV15" s="258"/>
      <c r="AW15" s="258"/>
      <c r="AX15" s="258"/>
      <c r="AY15" s="258"/>
      <c r="AZ15" s="258"/>
      <c r="BA15" s="258"/>
      <c r="BB15" s="258"/>
      <c r="BC15" s="258"/>
      <c r="BD15" s="258"/>
      <c r="BE15" s="258"/>
      <c r="BF15" s="258"/>
      <c r="BG15" s="258"/>
      <c r="BH15" s="258"/>
      <c r="BI15" s="258"/>
      <c r="BJ15" s="258"/>
      <c r="BK15" s="258"/>
      <c r="BL15" s="258"/>
      <c r="BM15" s="258"/>
      <c r="BN15" s="258"/>
      <c r="BO15" s="258"/>
      <c r="BP15" s="258"/>
      <c r="BQ15" s="258"/>
      <c r="BR15" s="258"/>
      <c r="BS15" s="258"/>
      <c r="BT15" s="258"/>
      <c r="BU15" s="258"/>
      <c r="BV15" s="258"/>
      <c r="BW15" s="258"/>
      <c r="BX15" s="258"/>
      <c r="BY15" s="258"/>
      <c r="BZ15" s="258"/>
      <c r="CA15" s="258"/>
      <c r="CB15" s="258"/>
      <c r="CC15" s="258"/>
      <c r="CD15" s="258"/>
      <c r="CE15" s="258"/>
      <c r="CF15" s="258"/>
      <c r="CG15" s="258"/>
      <c r="CH15" s="258"/>
      <c r="CI15" s="258"/>
      <c r="CJ15" s="258"/>
      <c r="CK15" s="258"/>
      <c r="CL15" s="258"/>
      <c r="CM15" s="258"/>
      <c r="CN15" s="258"/>
      <c r="CO15" s="258"/>
      <c r="CP15" s="258"/>
      <c r="CQ15" s="258"/>
      <c r="CR15" s="258"/>
      <c r="CS15" s="258"/>
      <c r="CT15" s="258"/>
      <c r="CU15" s="258"/>
      <c r="CV15" s="258"/>
      <c r="CW15" s="258"/>
      <c r="CX15" s="258"/>
      <c r="CY15" s="258"/>
      <c r="CZ15" s="258"/>
      <c r="DA15" s="258"/>
      <c r="DB15" s="258"/>
      <c r="DC15" s="258"/>
      <c r="DD15" s="258"/>
      <c r="DE15" s="258"/>
      <c r="DF15" s="258"/>
      <c r="DG15" s="258"/>
      <c r="DH15" s="258"/>
      <c r="DI15" s="258"/>
      <c r="DJ15" s="258"/>
      <c r="DK15" s="258"/>
      <c r="DL15" s="258"/>
      <c r="DM15" s="258"/>
      <c r="DN15" s="258"/>
      <c r="DO15" s="258"/>
      <c r="DP15" s="258"/>
      <c r="DQ15" s="258"/>
      <c r="DR15" s="258"/>
      <c r="DS15" s="258"/>
      <c r="DT15" s="258"/>
      <c r="DU15" s="258"/>
      <c r="DV15" s="258"/>
      <c r="DW15" s="258"/>
      <c r="DX15" s="258"/>
      <c r="DY15" s="258"/>
      <c r="DZ15" s="258"/>
      <c r="EA15" s="258"/>
      <c r="EB15" s="258"/>
      <c r="EC15" s="258"/>
      <c r="ED15" s="258"/>
      <c r="EE15" s="258"/>
      <c r="EF15" s="258"/>
      <c r="EG15" s="258"/>
      <c r="EH15" s="258"/>
      <c r="EI15" s="258"/>
      <c r="EJ15" s="258"/>
      <c r="EK15" s="258"/>
      <c r="EL15" s="258"/>
      <c r="EM15" s="258"/>
      <c r="EN15" s="258"/>
      <c r="EO15" s="258"/>
      <c r="EP15" s="258"/>
      <c r="EQ15" s="258"/>
      <c r="ER15" s="258"/>
      <c r="ES15" s="258"/>
      <c r="ET15" s="258"/>
      <c r="EU15" s="258"/>
      <c r="EV15" s="258"/>
      <c r="EW15" s="258"/>
      <c r="EX15" s="258"/>
      <c r="EY15" s="258"/>
      <c r="EZ15" s="258"/>
      <c r="FA15" s="258"/>
      <c r="FB15" s="258"/>
      <c r="FC15" s="258"/>
      <c r="FD15" s="258"/>
      <c r="FE15" s="258"/>
      <c r="FF15" s="258"/>
      <c r="FG15" s="258"/>
      <c r="FH15" s="258"/>
      <c r="FI15" s="258"/>
      <c r="FJ15" s="258"/>
      <c r="FK15" s="258"/>
      <c r="FL15" s="258"/>
      <c r="FM15" s="258"/>
      <c r="FN15" s="258"/>
      <c r="FO15" s="258"/>
      <c r="FP15" s="258"/>
      <c r="FQ15" s="258"/>
      <c r="FR15" s="258"/>
      <c r="FS15" s="258"/>
      <c r="FT15" s="258"/>
      <c r="FU15" s="258"/>
      <c r="FV15" s="258"/>
      <c r="FW15" s="258"/>
      <c r="FX15" s="258"/>
      <c r="FY15" s="258"/>
      <c r="FZ15" s="258"/>
      <c r="GA15" s="258"/>
      <c r="GB15" s="258"/>
      <c r="GC15" s="258"/>
      <c r="GD15" s="258"/>
      <c r="GE15" s="258"/>
      <c r="GF15" s="40"/>
      <c r="GG15" s="40"/>
      <c r="GH15" s="40"/>
      <c r="GI15" s="42"/>
    </row>
    <row r="16" spans="1:191" ht="28.95" customHeight="1" thickTop="1" x14ac:dyDescent="0.3">
      <c r="A16" s="259" t="s">
        <v>69</v>
      </c>
      <c r="B16" s="248"/>
      <c r="C16" s="248"/>
      <c r="D16" s="248"/>
      <c r="E16" s="248"/>
      <c r="F16" s="248"/>
      <c r="G16" s="248"/>
      <c r="H16" s="248"/>
      <c r="I16" s="248"/>
      <c r="J16" s="248"/>
      <c r="K16" s="248"/>
      <c r="L16" s="259" t="s">
        <v>70</v>
      </c>
      <c r="M16" s="248"/>
      <c r="N16" s="248"/>
      <c r="O16" s="248"/>
      <c r="P16" s="248"/>
      <c r="Q16" s="248"/>
      <c r="R16" s="248"/>
      <c r="S16" s="248"/>
      <c r="T16" s="248"/>
      <c r="U16" s="248"/>
      <c r="V16" s="248"/>
      <c r="W16" s="248"/>
      <c r="X16" s="248"/>
      <c r="Y16" s="248"/>
      <c r="Z16" s="248"/>
      <c r="AA16" s="248"/>
      <c r="AB16" s="248"/>
      <c r="AC16" s="248"/>
      <c r="AD16" s="248"/>
      <c r="AE16" s="249"/>
      <c r="AF16" s="248" t="s">
        <v>71</v>
      </c>
      <c r="AG16" s="248"/>
      <c r="AH16" s="248"/>
      <c r="AI16" s="248"/>
      <c r="AJ16" s="248"/>
      <c r="AK16" s="248"/>
      <c r="AL16" s="248"/>
      <c r="AM16" s="248"/>
      <c r="AN16" s="248"/>
      <c r="AO16" s="248"/>
      <c r="AP16" s="248"/>
      <c r="AQ16" s="248"/>
      <c r="AR16" s="249"/>
      <c r="AS16" s="259" t="s">
        <v>72</v>
      </c>
      <c r="AT16" s="248"/>
      <c r="AU16" s="248"/>
      <c r="AV16" s="248"/>
      <c r="AW16" s="248"/>
      <c r="AX16" s="248"/>
      <c r="AY16" s="248"/>
      <c r="AZ16" s="248"/>
      <c r="BA16" s="248"/>
      <c r="BB16" s="248"/>
      <c r="BC16" s="248"/>
      <c r="BD16" s="249"/>
      <c r="BE16" s="248" t="s">
        <v>73</v>
      </c>
      <c r="BF16" s="248"/>
      <c r="BG16" s="248"/>
      <c r="BH16" s="248"/>
      <c r="BI16" s="248"/>
      <c r="BJ16" s="248"/>
      <c r="BK16" s="248"/>
      <c r="BL16" s="248"/>
      <c r="BM16" s="248"/>
      <c r="BN16" s="248"/>
      <c r="BO16" s="248"/>
      <c r="BP16" s="248"/>
      <c r="BQ16" s="248"/>
      <c r="BR16" s="248"/>
      <c r="BS16" s="248"/>
      <c r="BT16" s="250"/>
      <c r="BU16" s="247" t="s">
        <v>74</v>
      </c>
      <c r="BV16" s="248"/>
      <c r="BW16" s="248"/>
      <c r="BX16" s="248"/>
      <c r="BY16" s="248"/>
      <c r="BZ16" s="248"/>
      <c r="CA16" s="248"/>
      <c r="CB16" s="248"/>
      <c r="CC16" s="248"/>
      <c r="CD16" s="248"/>
      <c r="CE16" s="248"/>
      <c r="CF16" s="248"/>
      <c r="CG16" s="248"/>
      <c r="CH16" s="248"/>
      <c r="CI16" s="248"/>
      <c r="CJ16" s="248"/>
      <c r="CK16" s="248"/>
      <c r="CL16" s="248"/>
      <c r="CM16" s="248"/>
      <c r="CN16" s="248"/>
      <c r="CO16" s="248"/>
      <c r="CP16" s="248"/>
      <c r="CQ16" s="248"/>
      <c r="CR16" s="248"/>
      <c r="CS16" s="248"/>
      <c r="CT16" s="248"/>
      <c r="CU16" s="248"/>
      <c r="CV16" s="248"/>
      <c r="CW16" s="248"/>
      <c r="CX16" s="248"/>
      <c r="CY16" s="248"/>
      <c r="CZ16" s="248"/>
      <c r="DA16" s="248"/>
      <c r="DB16" s="248"/>
      <c r="DC16" s="248"/>
      <c r="DD16" s="248"/>
      <c r="DE16" s="248"/>
      <c r="DF16" s="248"/>
      <c r="DG16" s="250"/>
      <c r="DH16" s="247" t="s">
        <v>75</v>
      </c>
      <c r="DI16" s="248"/>
      <c r="DJ16" s="248"/>
      <c r="DK16" s="248"/>
      <c r="DL16" s="248"/>
      <c r="DM16" s="248"/>
      <c r="DN16" s="248"/>
      <c r="DO16" s="248"/>
      <c r="DP16" s="248"/>
      <c r="DQ16" s="248"/>
      <c r="DR16" s="250"/>
      <c r="DS16" s="247" t="s">
        <v>43</v>
      </c>
      <c r="DT16" s="248"/>
      <c r="DU16" s="248"/>
      <c r="DV16" s="248"/>
      <c r="DW16" s="248"/>
      <c r="DX16" s="248"/>
      <c r="DY16" s="248"/>
      <c r="DZ16" s="248"/>
      <c r="EA16" s="248"/>
      <c r="EB16" s="248"/>
      <c r="EC16" s="250"/>
      <c r="ED16" s="247">
        <v>2</v>
      </c>
      <c r="EE16" s="248"/>
      <c r="EF16" s="248"/>
      <c r="EG16" s="248"/>
      <c r="EH16" s="248"/>
      <c r="EI16" s="248"/>
      <c r="EJ16" s="248"/>
      <c r="EK16" s="248"/>
      <c r="EL16" s="248"/>
      <c r="EM16" s="248"/>
      <c r="EN16" s="249"/>
      <c r="EO16" s="248" t="s">
        <v>288</v>
      </c>
      <c r="EP16" s="248"/>
      <c r="EQ16" s="248"/>
      <c r="ER16" s="248"/>
      <c r="ES16" s="248"/>
      <c r="ET16" s="248"/>
      <c r="EU16" s="248"/>
      <c r="EV16" s="248"/>
      <c r="EW16" s="248"/>
      <c r="EX16" s="248"/>
      <c r="EY16" s="248"/>
      <c r="EZ16" s="248"/>
      <c r="FA16" s="248"/>
      <c r="FB16" s="250"/>
      <c r="FC16" s="247" t="s">
        <v>76</v>
      </c>
      <c r="FD16" s="248"/>
      <c r="FE16" s="248"/>
      <c r="FF16" s="248"/>
      <c r="FG16" s="248"/>
      <c r="FH16" s="248"/>
      <c r="FI16" s="248"/>
      <c r="FJ16" s="248"/>
      <c r="FK16" s="248"/>
      <c r="FL16" s="248"/>
      <c r="FM16" s="250"/>
      <c r="FN16" s="247" t="s">
        <v>77</v>
      </c>
      <c r="FO16" s="248"/>
      <c r="FP16" s="248"/>
      <c r="FQ16" s="248"/>
      <c r="FR16" s="248"/>
      <c r="FS16" s="248"/>
      <c r="FT16" s="248"/>
      <c r="FU16" s="248"/>
      <c r="FV16" s="248"/>
      <c r="FW16" s="248"/>
      <c r="FX16" s="248"/>
      <c r="FY16" s="248"/>
      <c r="FZ16" s="248"/>
      <c r="GA16" s="248"/>
      <c r="GB16" s="248"/>
      <c r="GC16" s="248"/>
      <c r="GD16" s="248"/>
      <c r="GE16" s="249"/>
      <c r="GF16" s="40"/>
      <c r="GG16" s="40"/>
      <c r="GH16" s="40"/>
      <c r="GI16" s="42"/>
    </row>
    <row r="17" spans="1:192" ht="9" customHeight="1" thickBot="1" x14ac:dyDescent="0.35">
      <c r="A17" s="264">
        <v>1</v>
      </c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4">
        <v>2</v>
      </c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261"/>
      <c r="Z17" s="261"/>
      <c r="AA17" s="261"/>
      <c r="AB17" s="261"/>
      <c r="AC17" s="261"/>
      <c r="AD17" s="261"/>
      <c r="AE17" s="263"/>
      <c r="AF17" s="261">
        <v>3</v>
      </c>
      <c r="AG17" s="261"/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3"/>
      <c r="AS17" s="264">
        <v>4</v>
      </c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3"/>
      <c r="BE17" s="261">
        <v>5</v>
      </c>
      <c r="BF17" s="261"/>
      <c r="BG17" s="261"/>
      <c r="BH17" s="261"/>
      <c r="BI17" s="261"/>
      <c r="BJ17" s="261"/>
      <c r="BK17" s="261"/>
      <c r="BL17" s="261"/>
      <c r="BM17" s="261"/>
      <c r="BN17" s="261"/>
      <c r="BO17" s="261"/>
      <c r="BP17" s="261"/>
      <c r="BQ17" s="261"/>
      <c r="BR17" s="261"/>
      <c r="BS17" s="261"/>
      <c r="BT17" s="262"/>
      <c r="BU17" s="260">
        <v>6</v>
      </c>
      <c r="BV17" s="261"/>
      <c r="BW17" s="261"/>
      <c r="BX17" s="261"/>
      <c r="BY17" s="261"/>
      <c r="BZ17" s="261"/>
      <c r="CA17" s="261"/>
      <c r="CB17" s="261"/>
      <c r="CC17" s="261"/>
      <c r="CD17" s="261"/>
      <c r="CE17" s="261"/>
      <c r="CF17" s="261"/>
      <c r="CG17" s="261"/>
      <c r="CH17" s="261"/>
      <c r="CI17" s="261"/>
      <c r="CJ17" s="261"/>
      <c r="CK17" s="261"/>
      <c r="CL17" s="261"/>
      <c r="CM17" s="261"/>
      <c r="CN17" s="261"/>
      <c r="CO17" s="261"/>
      <c r="CP17" s="261"/>
      <c r="CQ17" s="261"/>
      <c r="CR17" s="261"/>
      <c r="CS17" s="261"/>
      <c r="CT17" s="261"/>
      <c r="CU17" s="261"/>
      <c r="CV17" s="261"/>
      <c r="CW17" s="261"/>
      <c r="CX17" s="261"/>
      <c r="CY17" s="261"/>
      <c r="CZ17" s="261"/>
      <c r="DA17" s="261"/>
      <c r="DB17" s="261"/>
      <c r="DC17" s="261"/>
      <c r="DD17" s="261"/>
      <c r="DE17" s="261"/>
      <c r="DF17" s="261"/>
      <c r="DG17" s="262"/>
      <c r="DH17" s="260">
        <v>7</v>
      </c>
      <c r="DI17" s="261"/>
      <c r="DJ17" s="261"/>
      <c r="DK17" s="261"/>
      <c r="DL17" s="261"/>
      <c r="DM17" s="261"/>
      <c r="DN17" s="261"/>
      <c r="DO17" s="261"/>
      <c r="DP17" s="261"/>
      <c r="DQ17" s="261"/>
      <c r="DR17" s="262"/>
      <c r="DS17" s="260">
        <v>8</v>
      </c>
      <c r="DT17" s="261"/>
      <c r="DU17" s="261"/>
      <c r="DV17" s="261"/>
      <c r="DW17" s="261"/>
      <c r="DX17" s="261"/>
      <c r="DY17" s="261"/>
      <c r="DZ17" s="261"/>
      <c r="EA17" s="261"/>
      <c r="EB17" s="261"/>
      <c r="EC17" s="262"/>
      <c r="ED17" s="260">
        <v>9</v>
      </c>
      <c r="EE17" s="261"/>
      <c r="EF17" s="261"/>
      <c r="EG17" s="261"/>
      <c r="EH17" s="261"/>
      <c r="EI17" s="261"/>
      <c r="EJ17" s="261"/>
      <c r="EK17" s="261"/>
      <c r="EL17" s="261"/>
      <c r="EM17" s="261"/>
      <c r="EN17" s="263"/>
      <c r="EO17" s="261">
        <v>10</v>
      </c>
      <c r="EP17" s="261"/>
      <c r="EQ17" s="261"/>
      <c r="ER17" s="261"/>
      <c r="ES17" s="261"/>
      <c r="ET17" s="261"/>
      <c r="EU17" s="261"/>
      <c r="EV17" s="261"/>
      <c r="EW17" s="261"/>
      <c r="EX17" s="261"/>
      <c r="EY17" s="261"/>
      <c r="EZ17" s="261"/>
      <c r="FA17" s="261"/>
      <c r="FB17" s="262"/>
      <c r="FC17" s="260">
        <v>11</v>
      </c>
      <c r="FD17" s="261"/>
      <c r="FE17" s="261"/>
      <c r="FF17" s="261"/>
      <c r="FG17" s="261"/>
      <c r="FH17" s="261"/>
      <c r="FI17" s="261"/>
      <c r="FJ17" s="261"/>
      <c r="FK17" s="261"/>
      <c r="FL17" s="261"/>
      <c r="FM17" s="262"/>
      <c r="FN17" s="260">
        <v>12</v>
      </c>
      <c r="FO17" s="261"/>
      <c r="FP17" s="261"/>
      <c r="FQ17" s="261"/>
      <c r="FR17" s="261"/>
      <c r="FS17" s="261"/>
      <c r="FT17" s="261"/>
      <c r="FU17" s="261"/>
      <c r="FV17" s="261"/>
      <c r="FW17" s="261"/>
      <c r="FX17" s="261"/>
      <c r="FY17" s="261"/>
      <c r="FZ17" s="261"/>
      <c r="GA17" s="261"/>
      <c r="GB17" s="261"/>
      <c r="GC17" s="261"/>
      <c r="GD17" s="261"/>
      <c r="GE17" s="263"/>
      <c r="GF17" s="40"/>
      <c r="GG17" s="40"/>
      <c r="GH17" s="40"/>
      <c r="GI17" s="42"/>
    </row>
    <row r="18" spans="1:192" ht="24.6" customHeight="1" thickBot="1" x14ac:dyDescent="0.35">
      <c r="A18" s="272" t="s">
        <v>78</v>
      </c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  <c r="AR18" s="270"/>
      <c r="AS18" s="273">
        <v>1</v>
      </c>
      <c r="AT18" s="273"/>
      <c r="AU18" s="273"/>
      <c r="AV18" s="273"/>
      <c r="AW18" s="273"/>
      <c r="AX18" s="273"/>
      <c r="AY18" s="273"/>
      <c r="AZ18" s="273"/>
      <c r="BA18" s="273"/>
      <c r="BB18" s="273"/>
      <c r="BC18" s="273"/>
      <c r="BD18" s="273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607" t="s">
        <v>298</v>
      </c>
      <c r="BV18" s="608" t="s">
        <v>79</v>
      </c>
      <c r="BW18" s="608" t="s">
        <v>79</v>
      </c>
      <c r="BX18" s="608" t="s">
        <v>79</v>
      </c>
      <c r="BY18" s="608" t="s">
        <v>79</v>
      </c>
      <c r="BZ18" s="608" t="s">
        <v>79</v>
      </c>
      <c r="CA18" s="608" t="s">
        <v>79</v>
      </c>
      <c r="CB18" s="608" t="s">
        <v>79</v>
      </c>
      <c r="CC18" s="608" t="s">
        <v>79</v>
      </c>
      <c r="CD18" s="608" t="s">
        <v>79</v>
      </c>
      <c r="CE18" s="608" t="s">
        <v>79</v>
      </c>
      <c r="CF18" s="608" t="s">
        <v>79</v>
      </c>
      <c r="CG18" s="608" t="s">
        <v>79</v>
      </c>
      <c r="CH18" s="608" t="s">
        <v>79</v>
      </c>
      <c r="CI18" s="608" t="s">
        <v>79</v>
      </c>
      <c r="CJ18" s="608" t="s">
        <v>79</v>
      </c>
      <c r="CK18" s="608" t="s">
        <v>79</v>
      </c>
      <c r="CL18" s="608" t="s">
        <v>79</v>
      </c>
      <c r="CM18" s="608" t="s">
        <v>79</v>
      </c>
      <c r="CN18" s="608" t="s">
        <v>79</v>
      </c>
      <c r="CO18" s="608" t="s">
        <v>79</v>
      </c>
      <c r="CP18" s="608" t="s">
        <v>79</v>
      </c>
      <c r="CQ18" s="608" t="s">
        <v>79</v>
      </c>
      <c r="CR18" s="608" t="s">
        <v>79</v>
      </c>
      <c r="CS18" s="608" t="s">
        <v>79</v>
      </c>
      <c r="CT18" s="608" t="s">
        <v>79</v>
      </c>
      <c r="CU18" s="608" t="s">
        <v>79</v>
      </c>
      <c r="CV18" s="608" t="s">
        <v>79</v>
      </c>
      <c r="CW18" s="608" t="s">
        <v>79</v>
      </c>
      <c r="CX18" s="608" t="s">
        <v>79</v>
      </c>
      <c r="CY18" s="608" t="s">
        <v>79</v>
      </c>
      <c r="CZ18" s="608" t="s">
        <v>79</v>
      </c>
      <c r="DA18" s="608" t="s">
        <v>79</v>
      </c>
      <c r="DB18" s="608" t="s">
        <v>79</v>
      </c>
      <c r="DC18" s="608" t="s">
        <v>79</v>
      </c>
      <c r="DD18" s="608" t="s">
        <v>79</v>
      </c>
      <c r="DE18" s="608" t="s">
        <v>79</v>
      </c>
      <c r="DF18" s="608" t="s">
        <v>79</v>
      </c>
      <c r="DG18" s="609" t="s">
        <v>79</v>
      </c>
      <c r="DH18" s="265" t="s">
        <v>80</v>
      </c>
      <c r="DI18" s="265"/>
      <c r="DJ18" s="265"/>
      <c r="DK18" s="265"/>
      <c r="DL18" s="265"/>
      <c r="DM18" s="265"/>
      <c r="DN18" s="265"/>
      <c r="DO18" s="265"/>
      <c r="DP18" s="265"/>
      <c r="DQ18" s="265"/>
      <c r="DR18" s="265"/>
      <c r="DS18" s="266" t="s">
        <v>294</v>
      </c>
      <c r="DT18" s="266"/>
      <c r="DU18" s="266"/>
      <c r="DV18" s="266"/>
      <c r="DW18" s="266"/>
      <c r="DX18" s="266"/>
      <c r="DY18" s="266"/>
      <c r="DZ18" s="266"/>
      <c r="EA18" s="266"/>
      <c r="EB18" s="266"/>
      <c r="EC18" s="266"/>
      <c r="ED18" s="266">
        <v>1</v>
      </c>
      <c r="EE18" s="266"/>
      <c r="EF18" s="266"/>
      <c r="EG18" s="266"/>
      <c r="EH18" s="266"/>
      <c r="EI18" s="266"/>
      <c r="EJ18" s="266"/>
      <c r="EK18" s="266"/>
      <c r="EL18" s="266"/>
      <c r="EM18" s="266"/>
      <c r="EN18" s="266"/>
      <c r="EO18" s="267">
        <v>250</v>
      </c>
      <c r="EP18" s="267"/>
      <c r="EQ18" s="267"/>
      <c r="ER18" s="267"/>
      <c r="ES18" s="267"/>
      <c r="ET18" s="267"/>
      <c r="EU18" s="267"/>
      <c r="EV18" s="267"/>
      <c r="EW18" s="267"/>
      <c r="EX18" s="267"/>
      <c r="EY18" s="267"/>
      <c r="EZ18" s="267"/>
      <c r="FA18" s="267"/>
      <c r="FB18" s="267"/>
      <c r="FC18" s="269"/>
      <c r="FD18" s="269"/>
      <c r="FE18" s="269"/>
      <c r="FF18" s="269"/>
      <c r="FG18" s="269"/>
      <c r="FH18" s="269"/>
      <c r="FI18" s="269"/>
      <c r="FJ18" s="269"/>
      <c r="FK18" s="269"/>
      <c r="FL18" s="269"/>
      <c r="FM18" s="269"/>
      <c r="FN18" s="270"/>
      <c r="FO18" s="270"/>
      <c r="FP18" s="270"/>
      <c r="FQ18" s="270"/>
      <c r="FR18" s="270"/>
      <c r="FS18" s="270"/>
      <c r="FT18" s="270"/>
      <c r="FU18" s="270"/>
      <c r="FV18" s="270"/>
      <c r="FW18" s="270"/>
      <c r="FX18" s="270"/>
      <c r="FY18" s="270"/>
      <c r="FZ18" s="270"/>
      <c r="GA18" s="270"/>
      <c r="GB18" s="270"/>
      <c r="GC18" s="270"/>
      <c r="GD18" s="270"/>
      <c r="GE18" s="271"/>
      <c r="GF18" s="40"/>
      <c r="GG18" s="40"/>
      <c r="GH18" s="40"/>
      <c r="GI18" s="42"/>
      <c r="GJ18">
        <f>AS18*0.6</f>
        <v>0.6</v>
      </c>
    </row>
    <row r="19" spans="1:192" ht="18.600000000000001" customHeight="1" thickBot="1" x14ac:dyDescent="0.35">
      <c r="A19" s="279" t="s">
        <v>81</v>
      </c>
      <c r="B19" s="277"/>
      <c r="C19" s="277"/>
      <c r="D19" s="277"/>
      <c r="E19" s="277"/>
      <c r="F19" s="277"/>
      <c r="G19" s="277"/>
      <c r="H19" s="277"/>
      <c r="I19" s="277"/>
      <c r="J19" s="277"/>
      <c r="K19" s="277"/>
      <c r="L19" s="277"/>
      <c r="M19" s="277"/>
      <c r="N19" s="277"/>
      <c r="O19" s="277"/>
      <c r="P19" s="277"/>
      <c r="Q19" s="277"/>
      <c r="R19" s="277"/>
      <c r="S19" s="277"/>
      <c r="T19" s="277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80">
        <v>1</v>
      </c>
      <c r="AT19" s="280"/>
      <c r="AU19" s="280"/>
      <c r="AV19" s="280"/>
      <c r="AW19" s="280"/>
      <c r="AX19" s="280"/>
      <c r="AY19" s="280"/>
      <c r="AZ19" s="280"/>
      <c r="BA19" s="280"/>
      <c r="BB19" s="280"/>
      <c r="BC19" s="280"/>
      <c r="BD19" s="280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613" t="s">
        <v>291</v>
      </c>
      <c r="BV19" s="614"/>
      <c r="BW19" s="614"/>
      <c r="BX19" s="614"/>
      <c r="BY19" s="614"/>
      <c r="BZ19" s="614"/>
      <c r="CA19" s="614"/>
      <c r="CB19" s="614"/>
      <c r="CC19" s="614"/>
      <c r="CD19" s="614"/>
      <c r="CE19" s="614"/>
      <c r="CF19" s="614"/>
      <c r="CG19" s="614"/>
      <c r="CH19" s="614"/>
      <c r="CI19" s="614"/>
      <c r="CJ19" s="614"/>
      <c r="CK19" s="614"/>
      <c r="CL19" s="614"/>
      <c r="CM19" s="614"/>
      <c r="CN19" s="614"/>
      <c r="CO19" s="614"/>
      <c r="CP19" s="614"/>
      <c r="CQ19" s="614"/>
      <c r="CR19" s="614"/>
      <c r="CS19" s="614"/>
      <c r="CT19" s="614"/>
      <c r="CU19" s="614"/>
      <c r="CV19" s="614"/>
      <c r="CW19" s="614"/>
      <c r="CX19" s="614"/>
      <c r="CY19" s="614"/>
      <c r="CZ19" s="614"/>
      <c r="DA19" s="614"/>
      <c r="DB19" s="614"/>
      <c r="DC19" s="614"/>
      <c r="DD19" s="614"/>
      <c r="DE19" s="614"/>
      <c r="DF19" s="614"/>
      <c r="DG19" s="615"/>
      <c r="DH19" s="285" t="s">
        <v>80</v>
      </c>
      <c r="DI19" s="286"/>
      <c r="DJ19" s="286"/>
      <c r="DK19" s="286"/>
      <c r="DL19" s="286"/>
      <c r="DM19" s="286"/>
      <c r="DN19" s="286"/>
      <c r="DO19" s="286"/>
      <c r="DP19" s="286"/>
      <c r="DQ19" s="286"/>
      <c r="DR19" s="287"/>
      <c r="DS19" s="284" t="s">
        <v>293</v>
      </c>
      <c r="DT19" s="284"/>
      <c r="DU19" s="284"/>
      <c r="DV19" s="284"/>
      <c r="DW19" s="284"/>
      <c r="DX19" s="284"/>
      <c r="DY19" s="284"/>
      <c r="DZ19" s="284"/>
      <c r="EA19" s="284"/>
      <c r="EB19" s="284"/>
      <c r="EC19" s="284"/>
      <c r="ED19" s="284">
        <v>1</v>
      </c>
      <c r="EE19" s="284"/>
      <c r="EF19" s="284"/>
      <c r="EG19" s="284"/>
      <c r="EH19" s="284"/>
      <c r="EI19" s="284"/>
      <c r="EJ19" s="284"/>
      <c r="EK19" s="284"/>
      <c r="EL19" s="284"/>
      <c r="EM19" s="284"/>
      <c r="EN19" s="284"/>
      <c r="EO19" s="267">
        <v>50</v>
      </c>
      <c r="EP19" s="267"/>
      <c r="EQ19" s="267"/>
      <c r="ER19" s="267"/>
      <c r="ES19" s="267"/>
      <c r="ET19" s="267"/>
      <c r="EU19" s="267"/>
      <c r="EV19" s="267"/>
      <c r="EW19" s="267"/>
      <c r="EX19" s="267"/>
      <c r="EY19" s="267"/>
      <c r="EZ19" s="267"/>
      <c r="FA19" s="267"/>
      <c r="FB19" s="267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77"/>
      <c r="FO19" s="277"/>
      <c r="FP19" s="277"/>
      <c r="FQ19" s="277"/>
      <c r="FR19" s="277"/>
      <c r="FS19" s="277"/>
      <c r="FT19" s="277"/>
      <c r="FU19" s="277"/>
      <c r="FV19" s="277"/>
      <c r="FW19" s="277"/>
      <c r="FX19" s="277"/>
      <c r="FY19" s="277"/>
      <c r="FZ19" s="277"/>
      <c r="GA19" s="277"/>
      <c r="GB19" s="277"/>
      <c r="GC19" s="277"/>
      <c r="GD19" s="277"/>
      <c r="GE19" s="278"/>
      <c r="GF19" s="40"/>
      <c r="GG19" s="40"/>
      <c r="GH19" s="40"/>
      <c r="GI19" s="42"/>
      <c r="GJ19">
        <f>AS19*1.5</f>
        <v>1.5</v>
      </c>
    </row>
    <row r="20" spans="1:192" ht="22.2" customHeight="1" thickBot="1" x14ac:dyDescent="0.35">
      <c r="A20" s="279" t="s">
        <v>82</v>
      </c>
      <c r="B20" s="277"/>
      <c r="C20" s="277"/>
      <c r="D20" s="277"/>
      <c r="E20" s="277"/>
      <c r="F20" s="277"/>
      <c r="G20" s="277"/>
      <c r="H20" s="277"/>
      <c r="I20" s="277"/>
      <c r="J20" s="277"/>
      <c r="K20" s="277"/>
      <c r="L20" s="277"/>
      <c r="M20" s="277"/>
      <c r="N20" s="277"/>
      <c r="O20" s="277"/>
      <c r="P20" s="277"/>
      <c r="Q20" s="277"/>
      <c r="R20" s="277"/>
      <c r="S20" s="277"/>
      <c r="T20" s="277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80">
        <v>27</v>
      </c>
      <c r="AT20" s="280"/>
      <c r="AU20" s="280"/>
      <c r="AV20" s="280"/>
      <c r="AW20" s="280"/>
      <c r="AX20" s="280"/>
      <c r="AY20" s="280"/>
      <c r="AZ20" s="280"/>
      <c r="BA20" s="280"/>
      <c r="BB20" s="280"/>
      <c r="BC20" s="280"/>
      <c r="BD20" s="280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610" t="s">
        <v>292</v>
      </c>
      <c r="BV20" s="611"/>
      <c r="BW20" s="611"/>
      <c r="BX20" s="611"/>
      <c r="BY20" s="611"/>
      <c r="BZ20" s="611"/>
      <c r="CA20" s="611"/>
      <c r="CB20" s="611"/>
      <c r="CC20" s="611"/>
      <c r="CD20" s="611"/>
      <c r="CE20" s="611"/>
      <c r="CF20" s="611"/>
      <c r="CG20" s="611"/>
      <c r="CH20" s="611"/>
      <c r="CI20" s="611"/>
      <c r="CJ20" s="611"/>
      <c r="CK20" s="611"/>
      <c r="CL20" s="611"/>
      <c r="CM20" s="611"/>
      <c r="CN20" s="611"/>
      <c r="CO20" s="611"/>
      <c r="CP20" s="611"/>
      <c r="CQ20" s="611"/>
      <c r="CR20" s="611"/>
      <c r="CS20" s="611"/>
      <c r="CT20" s="611"/>
      <c r="CU20" s="611"/>
      <c r="CV20" s="611"/>
      <c r="CW20" s="611"/>
      <c r="CX20" s="611"/>
      <c r="CY20" s="611"/>
      <c r="CZ20" s="611"/>
      <c r="DA20" s="611"/>
      <c r="DB20" s="611"/>
      <c r="DC20" s="611"/>
      <c r="DD20" s="611"/>
      <c r="DE20" s="611"/>
      <c r="DF20" s="611"/>
      <c r="DG20" s="612"/>
      <c r="DH20" s="285" t="s">
        <v>80</v>
      </c>
      <c r="DI20" s="286"/>
      <c r="DJ20" s="286"/>
      <c r="DK20" s="286"/>
      <c r="DL20" s="286"/>
      <c r="DM20" s="286"/>
      <c r="DN20" s="286"/>
      <c r="DO20" s="286"/>
      <c r="DP20" s="286"/>
      <c r="DQ20" s="286"/>
      <c r="DR20" s="287"/>
      <c r="DS20" s="284" t="s">
        <v>295</v>
      </c>
      <c r="DT20" s="284"/>
      <c r="DU20" s="284"/>
      <c r="DV20" s="284"/>
      <c r="DW20" s="284"/>
      <c r="DX20" s="284"/>
      <c r="DY20" s="284"/>
      <c r="DZ20" s="284"/>
      <c r="EA20" s="284"/>
      <c r="EB20" s="284"/>
      <c r="EC20" s="284"/>
      <c r="ED20" s="284">
        <v>27</v>
      </c>
      <c r="EE20" s="284"/>
      <c r="EF20" s="284"/>
      <c r="EG20" s="284"/>
      <c r="EH20" s="284"/>
      <c r="EI20" s="284"/>
      <c r="EJ20" s="284"/>
      <c r="EK20" s="284"/>
      <c r="EL20" s="284"/>
      <c r="EM20" s="284"/>
      <c r="EN20" s="284"/>
      <c r="EO20" s="267">
        <v>1404</v>
      </c>
      <c r="EP20" s="267"/>
      <c r="EQ20" s="267"/>
      <c r="ER20" s="267"/>
      <c r="ES20" s="267"/>
      <c r="ET20" s="267"/>
      <c r="EU20" s="267"/>
      <c r="EV20" s="267"/>
      <c r="EW20" s="267"/>
      <c r="EX20" s="267"/>
      <c r="EY20" s="267"/>
      <c r="EZ20" s="267"/>
      <c r="FA20" s="267"/>
      <c r="FB20" s="267"/>
      <c r="FC20" s="268"/>
      <c r="FD20" s="268"/>
      <c r="FE20" s="268"/>
      <c r="FF20" s="268"/>
      <c r="FG20" s="268"/>
      <c r="FH20" s="268"/>
      <c r="FI20" s="268"/>
      <c r="FJ20" s="268"/>
      <c r="FK20" s="268"/>
      <c r="FL20" s="268"/>
      <c r="FM20" s="268"/>
      <c r="FN20" s="277"/>
      <c r="FO20" s="277"/>
      <c r="FP20" s="277"/>
      <c r="FQ20" s="277"/>
      <c r="FR20" s="277"/>
      <c r="FS20" s="277"/>
      <c r="FT20" s="277"/>
      <c r="FU20" s="277"/>
      <c r="FV20" s="277"/>
      <c r="FW20" s="277"/>
      <c r="FX20" s="277"/>
      <c r="FY20" s="277"/>
      <c r="FZ20" s="277"/>
      <c r="GA20" s="277"/>
      <c r="GB20" s="277"/>
      <c r="GC20" s="277"/>
      <c r="GD20" s="277"/>
      <c r="GE20" s="278"/>
      <c r="GF20" s="40"/>
      <c r="GG20" s="40"/>
      <c r="GH20" s="40"/>
      <c r="GI20" s="42"/>
      <c r="GJ20">
        <f>AS20*2</f>
        <v>54</v>
      </c>
    </row>
    <row r="21" spans="1:192" ht="24" customHeight="1" thickBot="1" x14ac:dyDescent="0.35">
      <c r="A21" s="279" t="s">
        <v>83</v>
      </c>
      <c r="B21" s="277"/>
      <c r="C21" s="277"/>
      <c r="D21" s="277"/>
      <c r="E21" s="277"/>
      <c r="F21" s="277"/>
      <c r="G21" s="277"/>
      <c r="H21" s="277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80">
        <v>10</v>
      </c>
      <c r="AT21" s="280"/>
      <c r="AU21" s="280"/>
      <c r="AV21" s="280"/>
      <c r="AW21" s="280"/>
      <c r="AX21" s="280"/>
      <c r="AY21" s="280"/>
      <c r="AZ21" s="280"/>
      <c r="BA21" s="280"/>
      <c r="BB21" s="280"/>
      <c r="BC21" s="280"/>
      <c r="BD21" s="280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610" t="s">
        <v>296</v>
      </c>
      <c r="BV21" s="611"/>
      <c r="BW21" s="611"/>
      <c r="BX21" s="611"/>
      <c r="BY21" s="611"/>
      <c r="BZ21" s="611"/>
      <c r="CA21" s="611"/>
      <c r="CB21" s="611"/>
      <c r="CC21" s="611"/>
      <c r="CD21" s="611"/>
      <c r="CE21" s="611"/>
      <c r="CF21" s="611"/>
      <c r="CG21" s="611"/>
      <c r="CH21" s="611"/>
      <c r="CI21" s="611"/>
      <c r="CJ21" s="611"/>
      <c r="CK21" s="611"/>
      <c r="CL21" s="611"/>
      <c r="CM21" s="611"/>
      <c r="CN21" s="611"/>
      <c r="CO21" s="611"/>
      <c r="CP21" s="611"/>
      <c r="CQ21" s="611"/>
      <c r="CR21" s="611"/>
      <c r="CS21" s="611"/>
      <c r="CT21" s="611"/>
      <c r="CU21" s="611"/>
      <c r="CV21" s="611"/>
      <c r="CW21" s="611"/>
      <c r="CX21" s="611"/>
      <c r="CY21" s="611"/>
      <c r="CZ21" s="611"/>
      <c r="DA21" s="611"/>
      <c r="DB21" s="611"/>
      <c r="DC21" s="611"/>
      <c r="DD21" s="611"/>
      <c r="DE21" s="611"/>
      <c r="DF21" s="611"/>
      <c r="DG21" s="612"/>
      <c r="DH21" s="285" t="s">
        <v>80</v>
      </c>
      <c r="DI21" s="286"/>
      <c r="DJ21" s="286"/>
      <c r="DK21" s="286"/>
      <c r="DL21" s="286"/>
      <c r="DM21" s="286"/>
      <c r="DN21" s="286"/>
      <c r="DO21" s="286"/>
      <c r="DP21" s="286"/>
      <c r="DQ21" s="286"/>
      <c r="DR21" s="287"/>
      <c r="DS21" s="284" t="s">
        <v>297</v>
      </c>
      <c r="DT21" s="284"/>
      <c r="DU21" s="284"/>
      <c r="DV21" s="284"/>
      <c r="DW21" s="284"/>
      <c r="DX21" s="284"/>
      <c r="DY21" s="284"/>
      <c r="DZ21" s="284"/>
      <c r="EA21" s="284"/>
      <c r="EB21" s="284"/>
      <c r="EC21" s="284"/>
      <c r="ED21" s="284">
        <v>10</v>
      </c>
      <c r="EE21" s="284"/>
      <c r="EF21" s="284"/>
      <c r="EG21" s="284"/>
      <c r="EH21" s="284"/>
      <c r="EI21" s="284"/>
      <c r="EJ21" s="284"/>
      <c r="EK21" s="284"/>
      <c r="EL21" s="284"/>
      <c r="EM21" s="284"/>
      <c r="EN21" s="284"/>
      <c r="EO21" s="267">
        <v>6063</v>
      </c>
      <c r="EP21" s="267"/>
      <c r="EQ21" s="267"/>
      <c r="ER21" s="267"/>
      <c r="ES21" s="267"/>
      <c r="ET21" s="267"/>
      <c r="EU21" s="267"/>
      <c r="EV21" s="267"/>
      <c r="EW21" s="267"/>
      <c r="EX21" s="267"/>
      <c r="EY21" s="267"/>
      <c r="EZ21" s="267"/>
      <c r="FA21" s="267"/>
      <c r="FB21" s="267"/>
      <c r="FC21" s="268"/>
      <c r="FD21" s="268"/>
      <c r="FE21" s="268"/>
      <c r="FF21" s="268"/>
      <c r="FG21" s="268"/>
      <c r="FH21" s="268"/>
      <c r="FI21" s="268"/>
      <c r="FJ21" s="268"/>
      <c r="FK21" s="268"/>
      <c r="FL21" s="268"/>
      <c r="FM21" s="268"/>
      <c r="FN21" s="277"/>
      <c r="FO21" s="277"/>
      <c r="FP21" s="277"/>
      <c r="FQ21" s="277"/>
      <c r="FR21" s="277"/>
      <c r="FS21" s="277"/>
      <c r="FT21" s="277"/>
      <c r="FU21" s="277"/>
      <c r="FV21" s="277"/>
      <c r="FW21" s="277"/>
      <c r="FX21" s="277"/>
      <c r="FY21" s="277"/>
      <c r="FZ21" s="277"/>
      <c r="GA21" s="277"/>
      <c r="GB21" s="277"/>
      <c r="GC21" s="277"/>
      <c r="GD21" s="277"/>
      <c r="GE21" s="278"/>
      <c r="GF21" s="40"/>
      <c r="GG21" s="40"/>
      <c r="GH21" s="40"/>
      <c r="GI21" s="42"/>
      <c r="GJ21">
        <f>AS21*0.6</f>
        <v>6</v>
      </c>
    </row>
    <row r="22" spans="1:192" ht="18.600000000000001" customHeight="1" thickBot="1" x14ac:dyDescent="0.35">
      <c r="A22" s="279" t="s">
        <v>84</v>
      </c>
      <c r="B22" s="277"/>
      <c r="C22" s="277"/>
      <c r="D22" s="277"/>
      <c r="E22" s="277"/>
      <c r="F22" s="277"/>
      <c r="G22" s="277"/>
      <c r="H22" s="277"/>
      <c r="I22" s="277"/>
      <c r="J22" s="277"/>
      <c r="K22" s="277"/>
      <c r="L22" s="277"/>
      <c r="M22" s="277"/>
      <c r="N22" s="277"/>
      <c r="O22" s="277"/>
      <c r="P22" s="277"/>
      <c r="Q22" s="277"/>
      <c r="R22" s="277"/>
      <c r="S22" s="277"/>
      <c r="T22" s="277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80">
        <v>1</v>
      </c>
      <c r="AT22" s="280"/>
      <c r="AU22" s="280"/>
      <c r="AV22" s="280"/>
      <c r="AW22" s="280"/>
      <c r="AX22" s="280"/>
      <c r="AY22" s="280"/>
      <c r="AZ22" s="280"/>
      <c r="BA22" s="280"/>
      <c r="BB22" s="280"/>
      <c r="BC22" s="280"/>
      <c r="BD22" s="280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613" t="s">
        <v>299</v>
      </c>
      <c r="BV22" s="614"/>
      <c r="BW22" s="614"/>
      <c r="BX22" s="614"/>
      <c r="BY22" s="614"/>
      <c r="BZ22" s="614"/>
      <c r="CA22" s="614"/>
      <c r="CB22" s="614"/>
      <c r="CC22" s="614"/>
      <c r="CD22" s="614"/>
      <c r="CE22" s="614"/>
      <c r="CF22" s="614"/>
      <c r="CG22" s="614"/>
      <c r="CH22" s="614"/>
      <c r="CI22" s="614"/>
      <c r="CJ22" s="614"/>
      <c r="CK22" s="614"/>
      <c r="CL22" s="614"/>
      <c r="CM22" s="614"/>
      <c r="CN22" s="614"/>
      <c r="CO22" s="614"/>
      <c r="CP22" s="614"/>
      <c r="CQ22" s="614"/>
      <c r="CR22" s="614"/>
      <c r="CS22" s="614"/>
      <c r="CT22" s="614"/>
      <c r="CU22" s="614"/>
      <c r="CV22" s="614"/>
      <c r="CW22" s="614"/>
      <c r="CX22" s="614"/>
      <c r="CY22" s="614"/>
      <c r="CZ22" s="614"/>
      <c r="DA22" s="614"/>
      <c r="DB22" s="614"/>
      <c r="DC22" s="614"/>
      <c r="DD22" s="614"/>
      <c r="DE22" s="614"/>
      <c r="DF22" s="614"/>
      <c r="DG22" s="615"/>
      <c r="DH22" s="285" t="s">
        <v>80</v>
      </c>
      <c r="DI22" s="286"/>
      <c r="DJ22" s="286"/>
      <c r="DK22" s="286"/>
      <c r="DL22" s="286"/>
      <c r="DM22" s="286"/>
      <c r="DN22" s="286"/>
      <c r="DO22" s="286"/>
      <c r="DP22" s="286"/>
      <c r="DQ22" s="286"/>
      <c r="DR22" s="287"/>
      <c r="DS22" s="284" t="s">
        <v>301</v>
      </c>
      <c r="DT22" s="284"/>
      <c r="DU22" s="284"/>
      <c r="DV22" s="284"/>
      <c r="DW22" s="284"/>
      <c r="DX22" s="284"/>
      <c r="DY22" s="284"/>
      <c r="DZ22" s="284"/>
      <c r="EA22" s="284"/>
      <c r="EB22" s="284"/>
      <c r="EC22" s="284"/>
      <c r="ED22" s="284">
        <v>1</v>
      </c>
      <c r="EE22" s="284"/>
      <c r="EF22" s="284"/>
      <c r="EG22" s="284"/>
      <c r="EH22" s="284"/>
      <c r="EI22" s="284"/>
      <c r="EJ22" s="284"/>
      <c r="EK22" s="284"/>
      <c r="EL22" s="284"/>
      <c r="EM22" s="284"/>
      <c r="EN22" s="284"/>
      <c r="EO22" s="267">
        <v>424</v>
      </c>
      <c r="EP22" s="267"/>
      <c r="EQ22" s="267"/>
      <c r="ER22" s="267"/>
      <c r="ES22" s="267"/>
      <c r="ET22" s="267"/>
      <c r="EU22" s="267"/>
      <c r="EV22" s="267"/>
      <c r="EW22" s="267"/>
      <c r="EX22" s="267"/>
      <c r="EY22" s="267"/>
      <c r="EZ22" s="267"/>
      <c r="FA22" s="267"/>
      <c r="FB22" s="267"/>
      <c r="FC22" s="268"/>
      <c r="FD22" s="268"/>
      <c r="FE22" s="268"/>
      <c r="FF22" s="268"/>
      <c r="FG22" s="268"/>
      <c r="FH22" s="268"/>
      <c r="FI22" s="268"/>
      <c r="FJ22" s="268"/>
      <c r="FK22" s="268"/>
      <c r="FL22" s="268"/>
      <c r="FM22" s="268"/>
      <c r="FN22" s="277"/>
      <c r="FO22" s="277"/>
      <c r="FP22" s="277"/>
      <c r="FQ22" s="277"/>
      <c r="FR22" s="277"/>
      <c r="FS22" s="277"/>
      <c r="FT22" s="277"/>
      <c r="FU22" s="277"/>
      <c r="FV22" s="277"/>
      <c r="FW22" s="277"/>
      <c r="FX22" s="277"/>
      <c r="FY22" s="277"/>
      <c r="FZ22" s="277"/>
      <c r="GA22" s="277"/>
      <c r="GB22" s="277"/>
      <c r="GC22" s="277"/>
      <c r="GD22" s="277"/>
      <c r="GE22" s="278"/>
      <c r="GF22" s="40"/>
      <c r="GG22" s="40"/>
      <c r="GH22" s="40"/>
      <c r="GI22" s="42"/>
      <c r="GJ22">
        <f>AS22*3.1</f>
        <v>3.1</v>
      </c>
    </row>
    <row r="23" spans="1:192" ht="18.600000000000001" customHeight="1" thickBot="1" x14ac:dyDescent="0.35">
      <c r="A23" s="279" t="s">
        <v>85</v>
      </c>
      <c r="B23" s="277"/>
      <c r="C23" s="277"/>
      <c r="D23" s="277"/>
      <c r="E23" s="277"/>
      <c r="F23" s="277"/>
      <c r="G23" s="277"/>
      <c r="H23" s="277"/>
      <c r="I23" s="277"/>
      <c r="J23" s="277"/>
      <c r="K23" s="277"/>
      <c r="L23" s="277"/>
      <c r="M23" s="277"/>
      <c r="N23" s="277"/>
      <c r="O23" s="277"/>
      <c r="P23" s="277"/>
      <c r="Q23" s="277"/>
      <c r="R23" s="277"/>
      <c r="S23" s="277"/>
      <c r="T23" s="277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80"/>
      <c r="AT23" s="280"/>
      <c r="AU23" s="280"/>
      <c r="AV23" s="280"/>
      <c r="AW23" s="280"/>
      <c r="AX23" s="280"/>
      <c r="AY23" s="280"/>
      <c r="AZ23" s="280"/>
      <c r="BA23" s="280"/>
      <c r="BB23" s="280"/>
      <c r="BC23" s="280"/>
      <c r="BD23" s="280"/>
      <c r="BE23" s="268"/>
      <c r="BF23" s="268"/>
      <c r="BG23" s="268"/>
      <c r="BH23" s="268"/>
      <c r="BI23" s="268"/>
      <c r="BJ23" s="268"/>
      <c r="BK23" s="268"/>
      <c r="BL23" s="268"/>
      <c r="BM23" s="268"/>
      <c r="BN23" s="268"/>
      <c r="BO23" s="268"/>
      <c r="BP23" s="268"/>
      <c r="BQ23" s="268"/>
      <c r="BR23" s="268"/>
      <c r="BS23" s="268"/>
      <c r="BT23" s="268"/>
      <c r="BU23" s="289" t="s">
        <v>320</v>
      </c>
      <c r="BV23" s="290"/>
      <c r="BW23" s="290"/>
      <c r="BX23" s="290"/>
      <c r="BY23" s="290"/>
      <c r="BZ23" s="290"/>
      <c r="CA23" s="290"/>
      <c r="CB23" s="290"/>
      <c r="CC23" s="290"/>
      <c r="CD23" s="290"/>
      <c r="CE23" s="290"/>
      <c r="CF23" s="290"/>
      <c r="CG23" s="290"/>
      <c r="CH23" s="290"/>
      <c r="CI23" s="290"/>
      <c r="CJ23" s="290"/>
      <c r="CK23" s="290"/>
      <c r="CL23" s="290"/>
      <c r="CM23" s="290"/>
      <c r="CN23" s="290"/>
      <c r="CO23" s="290"/>
      <c r="CP23" s="290"/>
      <c r="CQ23" s="290"/>
      <c r="CR23" s="290"/>
      <c r="CS23" s="290"/>
      <c r="CT23" s="290"/>
      <c r="CU23" s="290"/>
      <c r="CV23" s="290"/>
      <c r="CW23" s="290"/>
      <c r="CX23" s="290"/>
      <c r="CY23" s="290"/>
      <c r="CZ23" s="290"/>
      <c r="DA23" s="290"/>
      <c r="DB23" s="290"/>
      <c r="DC23" s="290"/>
      <c r="DD23" s="290"/>
      <c r="DE23" s="290"/>
      <c r="DF23" s="290"/>
      <c r="DG23" s="291"/>
      <c r="DH23" s="285"/>
      <c r="DI23" s="286"/>
      <c r="DJ23" s="286"/>
      <c r="DK23" s="286"/>
      <c r="DL23" s="286"/>
      <c r="DM23" s="286"/>
      <c r="DN23" s="286"/>
      <c r="DO23" s="286"/>
      <c r="DP23" s="286"/>
      <c r="DQ23" s="286"/>
      <c r="DR23" s="287"/>
      <c r="DS23" s="284"/>
      <c r="DT23" s="284"/>
      <c r="DU23" s="284"/>
      <c r="DV23" s="284"/>
      <c r="DW23" s="284"/>
      <c r="DX23" s="284"/>
      <c r="DY23" s="284"/>
      <c r="DZ23" s="284"/>
      <c r="EA23" s="284"/>
      <c r="EB23" s="284"/>
      <c r="EC23" s="284"/>
      <c r="ED23" s="284"/>
      <c r="EE23" s="284"/>
      <c r="EF23" s="284"/>
      <c r="EG23" s="284"/>
      <c r="EH23" s="284"/>
      <c r="EI23" s="284"/>
      <c r="EJ23" s="284"/>
      <c r="EK23" s="284"/>
      <c r="EL23" s="284"/>
      <c r="EM23" s="284"/>
      <c r="EN23" s="284"/>
      <c r="EO23" s="288"/>
      <c r="EP23" s="288"/>
      <c r="EQ23" s="288"/>
      <c r="ER23" s="288"/>
      <c r="ES23" s="288"/>
      <c r="ET23" s="288"/>
      <c r="EU23" s="288"/>
      <c r="EV23" s="288"/>
      <c r="EW23" s="288"/>
      <c r="EX23" s="288"/>
      <c r="EY23" s="288"/>
      <c r="EZ23" s="288"/>
      <c r="FA23" s="288"/>
      <c r="FB23" s="288"/>
      <c r="FC23" s="268"/>
      <c r="FD23" s="268"/>
      <c r="FE23" s="268"/>
      <c r="FF23" s="268"/>
      <c r="FG23" s="268"/>
      <c r="FH23" s="268"/>
      <c r="FI23" s="268"/>
      <c r="FJ23" s="268"/>
      <c r="FK23" s="268"/>
      <c r="FL23" s="268"/>
      <c r="FM23" s="268"/>
      <c r="FN23" s="277"/>
      <c r="FO23" s="277"/>
      <c r="FP23" s="277"/>
      <c r="FQ23" s="277"/>
      <c r="FR23" s="277"/>
      <c r="FS23" s="277"/>
      <c r="FT23" s="277"/>
      <c r="FU23" s="277"/>
      <c r="FV23" s="277"/>
      <c r="FW23" s="277"/>
      <c r="FX23" s="277"/>
      <c r="FY23" s="277"/>
      <c r="FZ23" s="277"/>
      <c r="GA23" s="277"/>
      <c r="GB23" s="277"/>
      <c r="GC23" s="277"/>
      <c r="GD23" s="277"/>
      <c r="GE23" s="278"/>
      <c r="GF23" s="40"/>
      <c r="GG23" s="40"/>
      <c r="GH23" s="40"/>
      <c r="GI23" s="42"/>
      <c r="GJ23">
        <f>AS23*1.46</f>
        <v>0</v>
      </c>
    </row>
    <row r="24" spans="1:192" ht="18.600000000000001" customHeight="1" thickBot="1" x14ac:dyDescent="0.35">
      <c r="A24" s="279" t="s">
        <v>86</v>
      </c>
      <c r="B24" s="277"/>
      <c r="C24" s="277"/>
      <c r="D24" s="277"/>
      <c r="E24" s="277"/>
      <c r="F24" s="277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80"/>
      <c r="AT24" s="280"/>
      <c r="AU24" s="280"/>
      <c r="AV24" s="280"/>
      <c r="AW24" s="280"/>
      <c r="AX24" s="280"/>
      <c r="AY24" s="280"/>
      <c r="AZ24" s="280"/>
      <c r="BA24" s="280"/>
      <c r="BB24" s="280"/>
      <c r="BC24" s="280"/>
      <c r="BD24" s="280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89"/>
      <c r="BV24" s="290"/>
      <c r="BW24" s="290"/>
      <c r="BX24" s="290"/>
      <c r="BY24" s="290"/>
      <c r="BZ24" s="290"/>
      <c r="CA24" s="290"/>
      <c r="CB24" s="290"/>
      <c r="CC24" s="290"/>
      <c r="CD24" s="290"/>
      <c r="CE24" s="290"/>
      <c r="CF24" s="290"/>
      <c r="CG24" s="290"/>
      <c r="CH24" s="290"/>
      <c r="CI24" s="290"/>
      <c r="CJ24" s="290"/>
      <c r="CK24" s="290"/>
      <c r="CL24" s="290"/>
      <c r="CM24" s="290"/>
      <c r="CN24" s="290"/>
      <c r="CO24" s="290"/>
      <c r="CP24" s="290"/>
      <c r="CQ24" s="290"/>
      <c r="CR24" s="290"/>
      <c r="CS24" s="290"/>
      <c r="CT24" s="290"/>
      <c r="CU24" s="290"/>
      <c r="CV24" s="290"/>
      <c r="CW24" s="290"/>
      <c r="CX24" s="290"/>
      <c r="CY24" s="290"/>
      <c r="CZ24" s="290"/>
      <c r="DA24" s="290"/>
      <c r="DB24" s="290"/>
      <c r="DC24" s="290"/>
      <c r="DD24" s="290"/>
      <c r="DE24" s="290"/>
      <c r="DF24" s="290"/>
      <c r="DG24" s="291"/>
      <c r="DH24" s="285"/>
      <c r="DI24" s="286"/>
      <c r="DJ24" s="286"/>
      <c r="DK24" s="286"/>
      <c r="DL24" s="286"/>
      <c r="DM24" s="286"/>
      <c r="DN24" s="286"/>
      <c r="DO24" s="286"/>
      <c r="DP24" s="286"/>
      <c r="DQ24" s="286"/>
      <c r="DR24" s="287"/>
      <c r="DS24" s="284"/>
      <c r="DT24" s="284"/>
      <c r="DU24" s="284"/>
      <c r="DV24" s="284"/>
      <c r="DW24" s="284"/>
      <c r="DX24" s="284"/>
      <c r="DY24" s="284"/>
      <c r="DZ24" s="284"/>
      <c r="EA24" s="284"/>
      <c r="EB24" s="284"/>
      <c r="EC24" s="284"/>
      <c r="ED24" s="284"/>
      <c r="EE24" s="284"/>
      <c r="EF24" s="284"/>
      <c r="EG24" s="284"/>
      <c r="EH24" s="284"/>
      <c r="EI24" s="284"/>
      <c r="EJ24" s="284"/>
      <c r="EK24" s="284"/>
      <c r="EL24" s="284"/>
      <c r="EM24" s="284"/>
      <c r="EN24" s="284"/>
      <c r="EO24" s="288"/>
      <c r="EP24" s="288"/>
      <c r="EQ24" s="288"/>
      <c r="ER24" s="288"/>
      <c r="ES24" s="288"/>
      <c r="ET24" s="288"/>
      <c r="EU24" s="288"/>
      <c r="EV24" s="288"/>
      <c r="EW24" s="288"/>
      <c r="EX24" s="288"/>
      <c r="EY24" s="288"/>
      <c r="EZ24" s="288"/>
      <c r="FA24" s="288"/>
      <c r="FB24" s="288"/>
      <c r="FC24" s="268"/>
      <c r="FD24" s="268"/>
      <c r="FE24" s="268"/>
      <c r="FF24" s="268"/>
      <c r="FG24" s="268"/>
      <c r="FH24" s="268"/>
      <c r="FI24" s="268"/>
      <c r="FJ24" s="268"/>
      <c r="FK24" s="268"/>
      <c r="FL24" s="268"/>
      <c r="FM24" s="268"/>
      <c r="FN24" s="277"/>
      <c r="FO24" s="277"/>
      <c r="FP24" s="277"/>
      <c r="FQ24" s="277"/>
      <c r="FR24" s="277"/>
      <c r="FS24" s="277"/>
      <c r="FT24" s="277"/>
      <c r="FU24" s="277"/>
      <c r="FV24" s="277"/>
      <c r="FW24" s="277"/>
      <c r="FX24" s="277"/>
      <c r="FY24" s="277"/>
      <c r="FZ24" s="277"/>
      <c r="GA24" s="277"/>
      <c r="GB24" s="277"/>
      <c r="GC24" s="277"/>
      <c r="GD24" s="277"/>
      <c r="GE24" s="278"/>
      <c r="GF24" s="40"/>
      <c r="GG24" s="40"/>
      <c r="GH24" s="40"/>
      <c r="GI24" s="42"/>
      <c r="GJ24">
        <f>AS24*1.2</f>
        <v>0</v>
      </c>
    </row>
    <row r="25" spans="1:192" ht="18.600000000000001" customHeight="1" thickBot="1" x14ac:dyDescent="0.35">
      <c r="A25" s="279" t="s">
        <v>87</v>
      </c>
      <c r="B25" s="277"/>
      <c r="C25" s="277"/>
      <c r="D25" s="27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80"/>
      <c r="AT25" s="280"/>
      <c r="AU25" s="280"/>
      <c r="AV25" s="280"/>
      <c r="AW25" s="280"/>
      <c r="AX25" s="280"/>
      <c r="AY25" s="280"/>
      <c r="AZ25" s="280"/>
      <c r="BA25" s="280"/>
      <c r="BB25" s="280"/>
      <c r="BC25" s="280"/>
      <c r="BD25" s="280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89"/>
      <c r="BV25" s="290"/>
      <c r="BW25" s="290"/>
      <c r="BX25" s="290"/>
      <c r="BY25" s="290"/>
      <c r="BZ25" s="290"/>
      <c r="CA25" s="290"/>
      <c r="CB25" s="290"/>
      <c r="CC25" s="290"/>
      <c r="CD25" s="290"/>
      <c r="CE25" s="290"/>
      <c r="CF25" s="290"/>
      <c r="CG25" s="290"/>
      <c r="CH25" s="290"/>
      <c r="CI25" s="290"/>
      <c r="CJ25" s="290"/>
      <c r="CK25" s="290"/>
      <c r="CL25" s="290"/>
      <c r="CM25" s="290"/>
      <c r="CN25" s="290"/>
      <c r="CO25" s="290"/>
      <c r="CP25" s="290"/>
      <c r="CQ25" s="290"/>
      <c r="CR25" s="290"/>
      <c r="CS25" s="290"/>
      <c r="CT25" s="290"/>
      <c r="CU25" s="290"/>
      <c r="CV25" s="290"/>
      <c r="CW25" s="290"/>
      <c r="CX25" s="290"/>
      <c r="CY25" s="290"/>
      <c r="CZ25" s="290"/>
      <c r="DA25" s="290"/>
      <c r="DB25" s="290"/>
      <c r="DC25" s="290"/>
      <c r="DD25" s="290"/>
      <c r="DE25" s="290"/>
      <c r="DF25" s="290"/>
      <c r="DG25" s="291"/>
      <c r="DH25" s="285"/>
      <c r="DI25" s="286"/>
      <c r="DJ25" s="286"/>
      <c r="DK25" s="286"/>
      <c r="DL25" s="286"/>
      <c r="DM25" s="286"/>
      <c r="DN25" s="286"/>
      <c r="DO25" s="286"/>
      <c r="DP25" s="286"/>
      <c r="DQ25" s="286"/>
      <c r="DR25" s="287"/>
      <c r="DS25" s="284"/>
      <c r="DT25" s="284"/>
      <c r="DU25" s="284"/>
      <c r="DV25" s="284"/>
      <c r="DW25" s="284"/>
      <c r="DX25" s="284"/>
      <c r="DY25" s="284"/>
      <c r="DZ25" s="284"/>
      <c r="EA25" s="284"/>
      <c r="EB25" s="284"/>
      <c r="EC25" s="284"/>
      <c r="ED25" s="284"/>
      <c r="EE25" s="284"/>
      <c r="EF25" s="284"/>
      <c r="EG25" s="284"/>
      <c r="EH25" s="284"/>
      <c r="EI25" s="284"/>
      <c r="EJ25" s="284"/>
      <c r="EK25" s="284"/>
      <c r="EL25" s="284"/>
      <c r="EM25" s="284"/>
      <c r="EN25" s="284"/>
      <c r="EO25" s="288"/>
      <c r="EP25" s="288"/>
      <c r="EQ25" s="288"/>
      <c r="ER25" s="288"/>
      <c r="ES25" s="288"/>
      <c r="ET25" s="288"/>
      <c r="EU25" s="288"/>
      <c r="EV25" s="288"/>
      <c r="EW25" s="288"/>
      <c r="EX25" s="288"/>
      <c r="EY25" s="288"/>
      <c r="EZ25" s="288"/>
      <c r="FA25" s="288"/>
      <c r="FB25" s="288"/>
      <c r="FC25" s="268"/>
      <c r="FD25" s="268"/>
      <c r="FE25" s="268"/>
      <c r="FF25" s="268"/>
      <c r="FG25" s="268"/>
      <c r="FH25" s="268"/>
      <c r="FI25" s="268"/>
      <c r="FJ25" s="268"/>
      <c r="FK25" s="268"/>
      <c r="FL25" s="268"/>
      <c r="FM25" s="268"/>
      <c r="FN25" s="277"/>
      <c r="FO25" s="277"/>
      <c r="FP25" s="277"/>
      <c r="FQ25" s="277"/>
      <c r="FR25" s="277"/>
      <c r="FS25" s="277"/>
      <c r="FT25" s="277"/>
      <c r="FU25" s="277"/>
      <c r="FV25" s="277"/>
      <c r="FW25" s="277"/>
      <c r="FX25" s="277"/>
      <c r="FY25" s="277"/>
      <c r="FZ25" s="277"/>
      <c r="GA25" s="277"/>
      <c r="GB25" s="277"/>
      <c r="GC25" s="277"/>
      <c r="GD25" s="277"/>
      <c r="GE25" s="278"/>
      <c r="GF25" s="40"/>
      <c r="GG25" s="40"/>
      <c r="GH25" s="40"/>
      <c r="GI25" s="42"/>
      <c r="GJ25">
        <f>AS25*1.2</f>
        <v>0</v>
      </c>
    </row>
    <row r="26" spans="1:192" ht="18.600000000000001" customHeight="1" thickBot="1" x14ac:dyDescent="0.35">
      <c r="A26" s="279" t="s">
        <v>88</v>
      </c>
      <c r="B26" s="277"/>
      <c r="C26" s="277"/>
      <c r="D26" s="277"/>
      <c r="E26" s="277"/>
      <c r="F26" s="277"/>
      <c r="G26" s="277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80"/>
      <c r="AT26" s="280"/>
      <c r="AU26" s="280"/>
      <c r="AV26" s="280"/>
      <c r="AW26" s="280"/>
      <c r="AX26" s="280"/>
      <c r="AY26" s="280"/>
      <c r="AZ26" s="280"/>
      <c r="BA26" s="280"/>
      <c r="BB26" s="280"/>
      <c r="BC26" s="280"/>
      <c r="BD26" s="280"/>
      <c r="BE26" s="268"/>
      <c r="BF26" s="268"/>
      <c r="BG26" s="268"/>
      <c r="BH26" s="268"/>
      <c r="BI26" s="268"/>
      <c r="BJ26" s="268"/>
      <c r="BK26" s="268"/>
      <c r="BL26" s="268"/>
      <c r="BM26" s="268"/>
      <c r="BN26" s="268"/>
      <c r="BO26" s="268"/>
      <c r="BP26" s="268"/>
      <c r="BQ26" s="268"/>
      <c r="BR26" s="268"/>
      <c r="BS26" s="268"/>
      <c r="BT26" s="268"/>
      <c r="BU26" s="289"/>
      <c r="BV26" s="290"/>
      <c r="BW26" s="290"/>
      <c r="BX26" s="290"/>
      <c r="BY26" s="290"/>
      <c r="BZ26" s="290"/>
      <c r="CA26" s="290"/>
      <c r="CB26" s="290"/>
      <c r="CC26" s="290"/>
      <c r="CD26" s="290"/>
      <c r="CE26" s="290"/>
      <c r="CF26" s="290"/>
      <c r="CG26" s="290"/>
      <c r="CH26" s="290"/>
      <c r="CI26" s="290"/>
      <c r="CJ26" s="290"/>
      <c r="CK26" s="290"/>
      <c r="CL26" s="290"/>
      <c r="CM26" s="290"/>
      <c r="CN26" s="290"/>
      <c r="CO26" s="290"/>
      <c r="CP26" s="290"/>
      <c r="CQ26" s="290"/>
      <c r="CR26" s="290"/>
      <c r="CS26" s="290"/>
      <c r="CT26" s="290"/>
      <c r="CU26" s="290"/>
      <c r="CV26" s="290"/>
      <c r="CW26" s="290"/>
      <c r="CX26" s="290"/>
      <c r="CY26" s="290"/>
      <c r="CZ26" s="290"/>
      <c r="DA26" s="290"/>
      <c r="DB26" s="290"/>
      <c r="DC26" s="290"/>
      <c r="DD26" s="290"/>
      <c r="DE26" s="290"/>
      <c r="DF26" s="290"/>
      <c r="DG26" s="291"/>
      <c r="DH26" s="285"/>
      <c r="DI26" s="286"/>
      <c r="DJ26" s="286"/>
      <c r="DK26" s="286"/>
      <c r="DL26" s="286"/>
      <c r="DM26" s="286"/>
      <c r="DN26" s="286"/>
      <c r="DO26" s="286"/>
      <c r="DP26" s="286"/>
      <c r="DQ26" s="286"/>
      <c r="DR26" s="287"/>
      <c r="DS26" s="284"/>
      <c r="DT26" s="284"/>
      <c r="DU26" s="284"/>
      <c r="DV26" s="284"/>
      <c r="DW26" s="284"/>
      <c r="DX26" s="284"/>
      <c r="DY26" s="284"/>
      <c r="DZ26" s="284"/>
      <c r="EA26" s="284"/>
      <c r="EB26" s="284"/>
      <c r="EC26" s="284"/>
      <c r="ED26" s="284"/>
      <c r="EE26" s="284"/>
      <c r="EF26" s="284"/>
      <c r="EG26" s="284"/>
      <c r="EH26" s="284"/>
      <c r="EI26" s="284"/>
      <c r="EJ26" s="284"/>
      <c r="EK26" s="284"/>
      <c r="EL26" s="284"/>
      <c r="EM26" s="284"/>
      <c r="EN26" s="284"/>
      <c r="EO26" s="288"/>
      <c r="EP26" s="288"/>
      <c r="EQ26" s="288"/>
      <c r="ER26" s="288"/>
      <c r="ES26" s="288"/>
      <c r="ET26" s="288"/>
      <c r="EU26" s="288"/>
      <c r="EV26" s="288"/>
      <c r="EW26" s="288"/>
      <c r="EX26" s="288"/>
      <c r="EY26" s="288"/>
      <c r="EZ26" s="288"/>
      <c r="FA26" s="288"/>
      <c r="FB26" s="288"/>
      <c r="FC26" s="268"/>
      <c r="FD26" s="268"/>
      <c r="FE26" s="268"/>
      <c r="FF26" s="268"/>
      <c r="FG26" s="268"/>
      <c r="FH26" s="268"/>
      <c r="FI26" s="268"/>
      <c r="FJ26" s="268"/>
      <c r="FK26" s="268"/>
      <c r="FL26" s="268"/>
      <c r="FM26" s="268"/>
      <c r="FN26" s="277"/>
      <c r="FO26" s="277"/>
      <c r="FP26" s="277"/>
      <c r="FQ26" s="277"/>
      <c r="FR26" s="277"/>
      <c r="FS26" s="277"/>
      <c r="FT26" s="277"/>
      <c r="FU26" s="277"/>
      <c r="FV26" s="277"/>
      <c r="FW26" s="277"/>
      <c r="FX26" s="277"/>
      <c r="FY26" s="277"/>
      <c r="FZ26" s="277"/>
      <c r="GA26" s="277"/>
      <c r="GB26" s="277"/>
      <c r="GC26" s="277"/>
      <c r="GD26" s="277"/>
      <c r="GE26" s="278"/>
      <c r="GF26" s="40"/>
      <c r="GG26" s="40"/>
      <c r="GH26" s="40"/>
      <c r="GI26" s="42"/>
      <c r="GJ26">
        <f>AS26*4.3</f>
        <v>0</v>
      </c>
    </row>
    <row r="27" spans="1:192" ht="18.600000000000001" customHeight="1" thickBot="1" x14ac:dyDescent="0.35">
      <c r="A27" s="279" t="s">
        <v>89</v>
      </c>
      <c r="B27" s="277"/>
      <c r="C27" s="277"/>
      <c r="D27" s="277"/>
      <c r="E27" s="277"/>
      <c r="F27" s="277"/>
      <c r="G27" s="277"/>
      <c r="H27" s="277"/>
      <c r="I27" s="277"/>
      <c r="J27" s="277"/>
      <c r="K27" s="277"/>
      <c r="L27" s="277"/>
      <c r="M27" s="277"/>
      <c r="N27" s="277"/>
      <c r="O27" s="277"/>
      <c r="P27" s="277"/>
      <c r="Q27" s="277"/>
      <c r="R27" s="277"/>
      <c r="S27" s="277"/>
      <c r="T27" s="277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80"/>
      <c r="AT27" s="280"/>
      <c r="AU27" s="280"/>
      <c r="AV27" s="280"/>
      <c r="AW27" s="280"/>
      <c r="AX27" s="280"/>
      <c r="AY27" s="280"/>
      <c r="AZ27" s="280"/>
      <c r="BA27" s="280"/>
      <c r="BB27" s="280"/>
      <c r="BC27" s="280"/>
      <c r="BD27" s="280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89"/>
      <c r="BV27" s="290"/>
      <c r="BW27" s="290"/>
      <c r="BX27" s="290"/>
      <c r="BY27" s="290"/>
      <c r="BZ27" s="290"/>
      <c r="CA27" s="290"/>
      <c r="CB27" s="290"/>
      <c r="CC27" s="290"/>
      <c r="CD27" s="290"/>
      <c r="CE27" s="290"/>
      <c r="CF27" s="290"/>
      <c r="CG27" s="290"/>
      <c r="CH27" s="290"/>
      <c r="CI27" s="290"/>
      <c r="CJ27" s="290"/>
      <c r="CK27" s="290"/>
      <c r="CL27" s="290"/>
      <c r="CM27" s="290"/>
      <c r="CN27" s="290"/>
      <c r="CO27" s="290"/>
      <c r="CP27" s="290"/>
      <c r="CQ27" s="290"/>
      <c r="CR27" s="290"/>
      <c r="CS27" s="290"/>
      <c r="CT27" s="290"/>
      <c r="CU27" s="290"/>
      <c r="CV27" s="290"/>
      <c r="CW27" s="290"/>
      <c r="CX27" s="290"/>
      <c r="CY27" s="290"/>
      <c r="CZ27" s="290"/>
      <c r="DA27" s="290"/>
      <c r="DB27" s="290"/>
      <c r="DC27" s="290"/>
      <c r="DD27" s="290"/>
      <c r="DE27" s="290"/>
      <c r="DF27" s="290"/>
      <c r="DG27" s="291"/>
      <c r="DH27" s="285"/>
      <c r="DI27" s="286"/>
      <c r="DJ27" s="286"/>
      <c r="DK27" s="286"/>
      <c r="DL27" s="286"/>
      <c r="DM27" s="286"/>
      <c r="DN27" s="286"/>
      <c r="DO27" s="286"/>
      <c r="DP27" s="286"/>
      <c r="DQ27" s="286"/>
      <c r="DR27" s="287"/>
      <c r="DS27" s="284"/>
      <c r="DT27" s="284"/>
      <c r="DU27" s="284"/>
      <c r="DV27" s="284"/>
      <c r="DW27" s="284"/>
      <c r="DX27" s="284"/>
      <c r="DY27" s="284"/>
      <c r="DZ27" s="284"/>
      <c r="EA27" s="284"/>
      <c r="EB27" s="284"/>
      <c r="EC27" s="284"/>
      <c r="ED27" s="284"/>
      <c r="EE27" s="284"/>
      <c r="EF27" s="284"/>
      <c r="EG27" s="284"/>
      <c r="EH27" s="284"/>
      <c r="EI27" s="284"/>
      <c r="EJ27" s="284"/>
      <c r="EK27" s="284"/>
      <c r="EL27" s="284"/>
      <c r="EM27" s="284"/>
      <c r="EN27" s="284"/>
      <c r="EO27" s="288"/>
      <c r="EP27" s="288"/>
      <c r="EQ27" s="288"/>
      <c r="ER27" s="288"/>
      <c r="ES27" s="288"/>
      <c r="ET27" s="288"/>
      <c r="EU27" s="288"/>
      <c r="EV27" s="288"/>
      <c r="EW27" s="288"/>
      <c r="EX27" s="288"/>
      <c r="EY27" s="288"/>
      <c r="EZ27" s="288"/>
      <c r="FA27" s="288"/>
      <c r="FB27" s="288"/>
      <c r="FC27" s="268"/>
      <c r="FD27" s="268"/>
      <c r="FE27" s="268"/>
      <c r="FF27" s="268"/>
      <c r="FG27" s="268"/>
      <c r="FH27" s="268"/>
      <c r="FI27" s="268"/>
      <c r="FJ27" s="268"/>
      <c r="FK27" s="268"/>
      <c r="FL27" s="268"/>
      <c r="FM27" s="268"/>
      <c r="FN27" s="277"/>
      <c r="FO27" s="277"/>
      <c r="FP27" s="277"/>
      <c r="FQ27" s="277"/>
      <c r="FR27" s="277"/>
      <c r="FS27" s="277"/>
      <c r="FT27" s="277"/>
      <c r="FU27" s="277"/>
      <c r="FV27" s="277"/>
      <c r="FW27" s="277"/>
      <c r="FX27" s="277"/>
      <c r="FY27" s="277"/>
      <c r="FZ27" s="277"/>
      <c r="GA27" s="277"/>
      <c r="GB27" s="277"/>
      <c r="GC27" s="277"/>
      <c r="GD27" s="277"/>
      <c r="GE27" s="278"/>
      <c r="GF27" s="40"/>
      <c r="GG27" s="40"/>
      <c r="GH27" s="40"/>
      <c r="GI27" s="42"/>
      <c r="GJ27">
        <f>AS27*3.8</f>
        <v>0</v>
      </c>
    </row>
    <row r="28" spans="1:192" ht="18.600000000000001" customHeight="1" thickBot="1" x14ac:dyDescent="0.35">
      <c r="A28" s="279" t="s">
        <v>90</v>
      </c>
      <c r="B28" s="277"/>
      <c r="C28" s="277"/>
      <c r="D28" s="277"/>
      <c r="E28" s="277"/>
      <c r="F28" s="277"/>
      <c r="G28" s="277"/>
      <c r="H28" s="277"/>
      <c r="I28" s="277"/>
      <c r="J28" s="277"/>
      <c r="K28" s="277"/>
      <c r="L28" s="277"/>
      <c r="M28" s="277"/>
      <c r="N28" s="277"/>
      <c r="O28" s="277"/>
      <c r="P28" s="277"/>
      <c r="Q28" s="277"/>
      <c r="R28" s="277"/>
      <c r="S28" s="277"/>
      <c r="T28" s="277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80"/>
      <c r="AT28" s="280"/>
      <c r="AU28" s="280"/>
      <c r="AV28" s="280"/>
      <c r="AW28" s="280"/>
      <c r="AX28" s="280"/>
      <c r="AY28" s="280"/>
      <c r="AZ28" s="280"/>
      <c r="BA28" s="280"/>
      <c r="BB28" s="280"/>
      <c r="BC28" s="280"/>
      <c r="BD28" s="280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89"/>
      <c r="BV28" s="290"/>
      <c r="BW28" s="290"/>
      <c r="BX28" s="290"/>
      <c r="BY28" s="290"/>
      <c r="BZ28" s="290"/>
      <c r="CA28" s="290"/>
      <c r="CB28" s="290"/>
      <c r="CC28" s="290"/>
      <c r="CD28" s="290"/>
      <c r="CE28" s="290"/>
      <c r="CF28" s="290"/>
      <c r="CG28" s="290"/>
      <c r="CH28" s="290"/>
      <c r="CI28" s="290"/>
      <c r="CJ28" s="290"/>
      <c r="CK28" s="290"/>
      <c r="CL28" s="290"/>
      <c r="CM28" s="290"/>
      <c r="CN28" s="290"/>
      <c r="CO28" s="290"/>
      <c r="CP28" s="290"/>
      <c r="CQ28" s="290"/>
      <c r="CR28" s="290"/>
      <c r="CS28" s="290"/>
      <c r="CT28" s="290"/>
      <c r="CU28" s="290"/>
      <c r="CV28" s="290"/>
      <c r="CW28" s="290"/>
      <c r="CX28" s="290"/>
      <c r="CY28" s="290"/>
      <c r="CZ28" s="290"/>
      <c r="DA28" s="290"/>
      <c r="DB28" s="290"/>
      <c r="DC28" s="290"/>
      <c r="DD28" s="290"/>
      <c r="DE28" s="290"/>
      <c r="DF28" s="290"/>
      <c r="DG28" s="291"/>
      <c r="DH28" s="285"/>
      <c r="DI28" s="286"/>
      <c r="DJ28" s="286"/>
      <c r="DK28" s="286"/>
      <c r="DL28" s="286"/>
      <c r="DM28" s="286"/>
      <c r="DN28" s="286"/>
      <c r="DO28" s="286"/>
      <c r="DP28" s="286"/>
      <c r="DQ28" s="286"/>
      <c r="DR28" s="287"/>
      <c r="DS28" s="284"/>
      <c r="DT28" s="284"/>
      <c r="DU28" s="284"/>
      <c r="DV28" s="284"/>
      <c r="DW28" s="284"/>
      <c r="DX28" s="284"/>
      <c r="DY28" s="284"/>
      <c r="DZ28" s="284"/>
      <c r="EA28" s="284"/>
      <c r="EB28" s="284"/>
      <c r="EC28" s="284"/>
      <c r="ED28" s="284"/>
      <c r="EE28" s="284"/>
      <c r="EF28" s="284"/>
      <c r="EG28" s="284"/>
      <c r="EH28" s="284"/>
      <c r="EI28" s="284"/>
      <c r="EJ28" s="284"/>
      <c r="EK28" s="284"/>
      <c r="EL28" s="284"/>
      <c r="EM28" s="284"/>
      <c r="EN28" s="284"/>
      <c r="EO28" s="288"/>
      <c r="EP28" s="288"/>
      <c r="EQ28" s="288"/>
      <c r="ER28" s="288"/>
      <c r="ES28" s="288"/>
      <c r="ET28" s="288"/>
      <c r="EU28" s="288"/>
      <c r="EV28" s="288"/>
      <c r="EW28" s="288"/>
      <c r="EX28" s="288"/>
      <c r="EY28" s="288"/>
      <c r="EZ28" s="288"/>
      <c r="FA28" s="288"/>
      <c r="FB28" s="288"/>
      <c r="FC28" s="268"/>
      <c r="FD28" s="268"/>
      <c r="FE28" s="268"/>
      <c r="FF28" s="268"/>
      <c r="FG28" s="268"/>
      <c r="FH28" s="268"/>
      <c r="FI28" s="268"/>
      <c r="FJ28" s="268"/>
      <c r="FK28" s="268"/>
      <c r="FL28" s="268"/>
      <c r="FM28" s="268"/>
      <c r="FN28" s="277"/>
      <c r="FO28" s="277"/>
      <c r="FP28" s="277"/>
      <c r="FQ28" s="277"/>
      <c r="FR28" s="277"/>
      <c r="FS28" s="277"/>
      <c r="FT28" s="277"/>
      <c r="FU28" s="277"/>
      <c r="FV28" s="277"/>
      <c r="FW28" s="277"/>
      <c r="FX28" s="277"/>
      <c r="FY28" s="277"/>
      <c r="FZ28" s="277"/>
      <c r="GA28" s="277"/>
      <c r="GB28" s="277"/>
      <c r="GC28" s="277"/>
      <c r="GD28" s="277"/>
      <c r="GE28" s="278"/>
      <c r="GF28" s="40"/>
      <c r="GG28" s="40"/>
      <c r="GH28" s="40"/>
      <c r="GI28" s="42"/>
      <c r="GJ28">
        <f>AS28*6.3</f>
        <v>0</v>
      </c>
    </row>
    <row r="29" spans="1:192" ht="18.600000000000001" customHeight="1" x14ac:dyDescent="0.3">
      <c r="A29" s="279" t="s">
        <v>91</v>
      </c>
      <c r="B29" s="277"/>
      <c r="C29" s="277"/>
      <c r="D29" s="277"/>
      <c r="E29" s="277"/>
      <c r="F29" s="277"/>
      <c r="G29" s="277"/>
      <c r="H29" s="277"/>
      <c r="I29" s="277"/>
      <c r="J29" s="277"/>
      <c r="K29" s="277"/>
      <c r="L29" s="277"/>
      <c r="M29" s="277"/>
      <c r="N29" s="277"/>
      <c r="O29" s="277"/>
      <c r="P29" s="277"/>
      <c r="Q29" s="277"/>
      <c r="R29" s="277"/>
      <c r="S29" s="277"/>
      <c r="T29" s="277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80"/>
      <c r="AT29" s="280"/>
      <c r="AU29" s="280"/>
      <c r="AV29" s="280"/>
      <c r="AW29" s="280"/>
      <c r="AX29" s="280"/>
      <c r="AY29" s="280"/>
      <c r="AZ29" s="280"/>
      <c r="BA29" s="280"/>
      <c r="BB29" s="280"/>
      <c r="BC29" s="280"/>
      <c r="BD29" s="280"/>
      <c r="BE29" s="268"/>
      <c r="BF29" s="268"/>
      <c r="BG29" s="268"/>
      <c r="BH29" s="268"/>
      <c r="BI29" s="268"/>
      <c r="BJ29" s="268"/>
      <c r="BK29" s="268"/>
      <c r="BL29" s="268"/>
      <c r="BM29" s="268"/>
      <c r="BN29" s="268"/>
      <c r="BO29" s="268"/>
      <c r="BP29" s="268"/>
      <c r="BQ29" s="268"/>
      <c r="BR29" s="268"/>
      <c r="BS29" s="268"/>
      <c r="BT29" s="268"/>
      <c r="BU29" s="289"/>
      <c r="BV29" s="290"/>
      <c r="BW29" s="290"/>
      <c r="BX29" s="290"/>
      <c r="BY29" s="290"/>
      <c r="BZ29" s="290"/>
      <c r="CA29" s="290"/>
      <c r="CB29" s="290"/>
      <c r="CC29" s="290"/>
      <c r="CD29" s="290"/>
      <c r="CE29" s="290"/>
      <c r="CF29" s="290"/>
      <c r="CG29" s="290"/>
      <c r="CH29" s="290"/>
      <c r="CI29" s="290"/>
      <c r="CJ29" s="290"/>
      <c r="CK29" s="290"/>
      <c r="CL29" s="290"/>
      <c r="CM29" s="290"/>
      <c r="CN29" s="290"/>
      <c r="CO29" s="290"/>
      <c r="CP29" s="290"/>
      <c r="CQ29" s="290"/>
      <c r="CR29" s="290"/>
      <c r="CS29" s="290"/>
      <c r="CT29" s="290"/>
      <c r="CU29" s="290"/>
      <c r="CV29" s="290"/>
      <c r="CW29" s="290"/>
      <c r="CX29" s="290"/>
      <c r="CY29" s="290"/>
      <c r="CZ29" s="290"/>
      <c r="DA29" s="290"/>
      <c r="DB29" s="290"/>
      <c r="DC29" s="290"/>
      <c r="DD29" s="290"/>
      <c r="DE29" s="290"/>
      <c r="DF29" s="290"/>
      <c r="DG29" s="291"/>
      <c r="DH29" s="285"/>
      <c r="DI29" s="286"/>
      <c r="DJ29" s="286"/>
      <c r="DK29" s="286"/>
      <c r="DL29" s="286"/>
      <c r="DM29" s="286"/>
      <c r="DN29" s="286"/>
      <c r="DO29" s="286"/>
      <c r="DP29" s="286"/>
      <c r="DQ29" s="286"/>
      <c r="DR29" s="287"/>
      <c r="DS29" s="284"/>
      <c r="DT29" s="284"/>
      <c r="DU29" s="284"/>
      <c r="DV29" s="284"/>
      <c r="DW29" s="284"/>
      <c r="DX29" s="284"/>
      <c r="DY29" s="284"/>
      <c r="DZ29" s="284"/>
      <c r="EA29" s="284"/>
      <c r="EB29" s="284"/>
      <c r="EC29" s="284"/>
      <c r="ED29" s="284"/>
      <c r="EE29" s="284"/>
      <c r="EF29" s="284"/>
      <c r="EG29" s="284"/>
      <c r="EH29" s="284"/>
      <c r="EI29" s="284"/>
      <c r="EJ29" s="284"/>
      <c r="EK29" s="284"/>
      <c r="EL29" s="284"/>
      <c r="EM29" s="284"/>
      <c r="EN29" s="284"/>
      <c r="EO29" s="288"/>
      <c r="EP29" s="288"/>
      <c r="EQ29" s="288"/>
      <c r="ER29" s="288"/>
      <c r="ES29" s="288"/>
      <c r="ET29" s="288"/>
      <c r="EU29" s="288"/>
      <c r="EV29" s="288"/>
      <c r="EW29" s="288"/>
      <c r="EX29" s="288"/>
      <c r="EY29" s="288"/>
      <c r="EZ29" s="288"/>
      <c r="FA29" s="288"/>
      <c r="FB29" s="288"/>
      <c r="FC29" s="268"/>
      <c r="FD29" s="268"/>
      <c r="FE29" s="268"/>
      <c r="FF29" s="268"/>
      <c r="FG29" s="268"/>
      <c r="FH29" s="268"/>
      <c r="FI29" s="268"/>
      <c r="FJ29" s="268"/>
      <c r="FK29" s="268"/>
      <c r="FL29" s="268"/>
      <c r="FM29" s="268"/>
      <c r="FN29" s="277"/>
      <c r="FO29" s="277"/>
      <c r="FP29" s="277"/>
      <c r="FQ29" s="277"/>
      <c r="FR29" s="277"/>
      <c r="FS29" s="277"/>
      <c r="FT29" s="277"/>
      <c r="FU29" s="277"/>
      <c r="FV29" s="277"/>
      <c r="FW29" s="277"/>
      <c r="FX29" s="277"/>
      <c r="FY29" s="277"/>
      <c r="FZ29" s="277"/>
      <c r="GA29" s="277"/>
      <c r="GB29" s="277"/>
      <c r="GC29" s="277"/>
      <c r="GD29" s="277"/>
      <c r="GE29" s="278"/>
      <c r="GF29" s="40"/>
      <c r="GG29" s="40"/>
      <c r="GH29" s="40"/>
      <c r="GI29" s="42"/>
      <c r="GJ29">
        <f>AS29*4.3</f>
        <v>0</v>
      </c>
    </row>
    <row r="30" spans="1:192" ht="18.600000000000001" customHeight="1" x14ac:dyDescent="0.3">
      <c r="A30" s="628" t="s">
        <v>92</v>
      </c>
      <c r="B30" s="626"/>
      <c r="C30" s="626"/>
      <c r="D30" s="626"/>
      <c r="E30" s="626"/>
      <c r="F30" s="626"/>
      <c r="G30" s="626"/>
      <c r="H30" s="626"/>
      <c r="I30" s="626"/>
      <c r="J30" s="626"/>
      <c r="K30" s="629"/>
      <c r="L30" s="625"/>
      <c r="M30" s="626"/>
      <c r="N30" s="626"/>
      <c r="O30" s="626"/>
      <c r="P30" s="626"/>
      <c r="Q30" s="626"/>
      <c r="R30" s="626"/>
      <c r="S30" s="626"/>
      <c r="T30" s="626"/>
      <c r="U30" s="626"/>
      <c r="V30" s="626"/>
      <c r="W30" s="626"/>
      <c r="X30" s="626"/>
      <c r="Y30" s="626"/>
      <c r="Z30" s="626"/>
      <c r="AA30" s="626"/>
      <c r="AB30" s="626"/>
      <c r="AC30" s="626"/>
      <c r="AD30" s="626"/>
      <c r="AE30" s="629"/>
      <c r="AF30" s="625"/>
      <c r="AG30" s="626"/>
      <c r="AH30" s="626"/>
      <c r="AI30" s="626"/>
      <c r="AJ30" s="626"/>
      <c r="AK30" s="626"/>
      <c r="AL30" s="626"/>
      <c r="AM30" s="626"/>
      <c r="AN30" s="626"/>
      <c r="AO30" s="626"/>
      <c r="AP30" s="626"/>
      <c r="AQ30" s="626"/>
      <c r="AR30" s="629"/>
      <c r="AS30" s="294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6"/>
      <c r="BE30" s="622"/>
      <c r="BF30" s="623"/>
      <c r="BG30" s="623"/>
      <c r="BH30" s="623"/>
      <c r="BI30" s="623"/>
      <c r="BJ30" s="623"/>
      <c r="BK30" s="623"/>
      <c r="BL30" s="623"/>
      <c r="BM30" s="623"/>
      <c r="BN30" s="623"/>
      <c r="BO30" s="623"/>
      <c r="BP30" s="623"/>
      <c r="BQ30" s="623"/>
      <c r="BR30" s="623"/>
      <c r="BS30" s="623"/>
      <c r="BT30" s="624"/>
      <c r="BU30" s="294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6"/>
      <c r="DH30" s="285"/>
      <c r="DI30" s="286"/>
      <c r="DJ30" s="286"/>
      <c r="DK30" s="286"/>
      <c r="DL30" s="286"/>
      <c r="DM30" s="286"/>
      <c r="DN30" s="286"/>
      <c r="DO30" s="286"/>
      <c r="DP30" s="286"/>
      <c r="DQ30" s="286"/>
      <c r="DR30" s="287"/>
      <c r="DS30" s="616"/>
      <c r="DT30" s="617"/>
      <c r="DU30" s="617"/>
      <c r="DV30" s="617"/>
      <c r="DW30" s="617"/>
      <c r="DX30" s="617"/>
      <c r="DY30" s="617"/>
      <c r="DZ30" s="617"/>
      <c r="EA30" s="617"/>
      <c r="EB30" s="617"/>
      <c r="EC30" s="618"/>
      <c r="ED30" s="616"/>
      <c r="EE30" s="617"/>
      <c r="EF30" s="617"/>
      <c r="EG30" s="617"/>
      <c r="EH30" s="617"/>
      <c r="EI30" s="617"/>
      <c r="EJ30" s="617"/>
      <c r="EK30" s="617"/>
      <c r="EL30" s="617"/>
      <c r="EM30" s="617"/>
      <c r="EN30" s="618"/>
      <c r="EO30" s="619"/>
      <c r="EP30" s="620"/>
      <c r="EQ30" s="620"/>
      <c r="ER30" s="620"/>
      <c r="ES30" s="620"/>
      <c r="ET30" s="620"/>
      <c r="EU30" s="620"/>
      <c r="EV30" s="620"/>
      <c r="EW30" s="620"/>
      <c r="EX30" s="620"/>
      <c r="EY30" s="620"/>
      <c r="EZ30" s="620"/>
      <c r="FA30" s="620"/>
      <c r="FB30" s="621"/>
      <c r="FC30" s="622"/>
      <c r="FD30" s="623"/>
      <c r="FE30" s="623"/>
      <c r="FF30" s="623"/>
      <c r="FG30" s="623"/>
      <c r="FH30" s="623"/>
      <c r="FI30" s="623"/>
      <c r="FJ30" s="623"/>
      <c r="FK30" s="623"/>
      <c r="FL30" s="623"/>
      <c r="FM30" s="624"/>
      <c r="FN30" s="625"/>
      <c r="FO30" s="626"/>
      <c r="FP30" s="626"/>
      <c r="FQ30" s="626"/>
      <c r="FR30" s="626"/>
      <c r="FS30" s="626"/>
      <c r="FT30" s="626"/>
      <c r="FU30" s="626"/>
      <c r="FV30" s="626"/>
      <c r="FW30" s="626"/>
      <c r="FX30" s="626"/>
      <c r="FY30" s="626"/>
      <c r="FZ30" s="626"/>
      <c r="GA30" s="626"/>
      <c r="GB30" s="626"/>
      <c r="GC30" s="626"/>
      <c r="GD30" s="626"/>
      <c r="GE30" s="627"/>
      <c r="GF30" s="40"/>
      <c r="GG30" s="40"/>
      <c r="GH30" s="40"/>
      <c r="GI30" s="42"/>
      <c r="GJ30">
        <f>SUM(GJ18:GJ29)</f>
        <v>65.2</v>
      </c>
    </row>
    <row r="31" spans="1:192" ht="18.600000000000001" customHeight="1" x14ac:dyDescent="0.3">
      <c r="A31" s="628" t="s">
        <v>300</v>
      </c>
      <c r="B31" s="626"/>
      <c r="C31" s="626"/>
      <c r="D31" s="626"/>
      <c r="E31" s="626"/>
      <c r="F31" s="626"/>
      <c r="G31" s="626"/>
      <c r="H31" s="626"/>
      <c r="I31" s="626"/>
      <c r="J31" s="626"/>
      <c r="K31" s="629"/>
      <c r="L31" s="625"/>
      <c r="M31" s="626"/>
      <c r="N31" s="626"/>
      <c r="O31" s="626"/>
      <c r="P31" s="626"/>
      <c r="Q31" s="626"/>
      <c r="R31" s="626"/>
      <c r="S31" s="626"/>
      <c r="T31" s="626"/>
      <c r="U31" s="626"/>
      <c r="V31" s="626"/>
      <c r="W31" s="626"/>
      <c r="X31" s="626"/>
      <c r="Y31" s="626"/>
      <c r="Z31" s="626"/>
      <c r="AA31" s="626"/>
      <c r="AB31" s="626"/>
      <c r="AC31" s="626"/>
      <c r="AD31" s="626"/>
      <c r="AE31" s="629"/>
      <c r="AF31" s="625"/>
      <c r="AG31" s="626"/>
      <c r="AH31" s="626"/>
      <c r="AI31" s="626"/>
      <c r="AJ31" s="626"/>
      <c r="AK31" s="626"/>
      <c r="AL31" s="626"/>
      <c r="AM31" s="626"/>
      <c r="AN31" s="626"/>
      <c r="AO31" s="626"/>
      <c r="AP31" s="626"/>
      <c r="AQ31" s="626"/>
      <c r="AR31" s="629"/>
      <c r="AS31" s="294">
        <f>SUM(AS18:AS30)</f>
        <v>40</v>
      </c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6"/>
      <c r="BE31" s="622"/>
      <c r="BF31" s="623"/>
      <c r="BG31" s="623"/>
      <c r="BH31" s="623"/>
      <c r="BI31" s="623"/>
      <c r="BJ31" s="623"/>
      <c r="BK31" s="623"/>
      <c r="BL31" s="623"/>
      <c r="BM31" s="623"/>
      <c r="BN31" s="623"/>
      <c r="BO31" s="623"/>
      <c r="BP31" s="623"/>
      <c r="BQ31" s="623"/>
      <c r="BR31" s="623"/>
      <c r="BS31" s="623"/>
      <c r="BT31" s="624"/>
      <c r="BU31" s="294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6"/>
      <c r="DH31" s="285"/>
      <c r="DI31" s="286"/>
      <c r="DJ31" s="286"/>
      <c r="DK31" s="286"/>
      <c r="DL31" s="286"/>
      <c r="DM31" s="286"/>
      <c r="DN31" s="286"/>
      <c r="DO31" s="286"/>
      <c r="DP31" s="286"/>
      <c r="DQ31" s="286"/>
      <c r="DR31" s="287"/>
      <c r="DS31" s="616"/>
      <c r="DT31" s="617"/>
      <c r="DU31" s="617"/>
      <c r="DV31" s="617"/>
      <c r="DW31" s="617"/>
      <c r="DX31" s="617"/>
      <c r="DY31" s="617"/>
      <c r="DZ31" s="617"/>
      <c r="EA31" s="617"/>
      <c r="EB31" s="617"/>
      <c r="EC31" s="618"/>
      <c r="ED31" s="616"/>
      <c r="EE31" s="617"/>
      <c r="EF31" s="617"/>
      <c r="EG31" s="617"/>
      <c r="EH31" s="617"/>
      <c r="EI31" s="617"/>
      <c r="EJ31" s="617"/>
      <c r="EK31" s="617"/>
      <c r="EL31" s="617"/>
      <c r="EM31" s="617"/>
      <c r="EN31" s="618"/>
      <c r="EO31" s="630">
        <f>SUM(EO18:EO30)</f>
        <v>8191</v>
      </c>
      <c r="EP31" s="631"/>
      <c r="EQ31" s="631"/>
      <c r="ER31" s="631"/>
      <c r="ES31" s="631"/>
      <c r="ET31" s="631"/>
      <c r="EU31" s="631"/>
      <c r="EV31" s="631"/>
      <c r="EW31" s="631"/>
      <c r="EX31" s="631"/>
      <c r="EY31" s="631"/>
      <c r="EZ31" s="631"/>
      <c r="FA31" s="631"/>
      <c r="FB31" s="632"/>
      <c r="FC31" s="622"/>
      <c r="FD31" s="623"/>
      <c r="FE31" s="623"/>
      <c r="FF31" s="623"/>
      <c r="FG31" s="623"/>
      <c r="FH31" s="623"/>
      <c r="FI31" s="623"/>
      <c r="FJ31" s="623"/>
      <c r="FK31" s="623"/>
      <c r="FL31" s="623"/>
      <c r="FM31" s="624"/>
      <c r="FN31" s="625"/>
      <c r="FO31" s="626"/>
      <c r="FP31" s="626"/>
      <c r="FQ31" s="626"/>
      <c r="FR31" s="626"/>
      <c r="FS31" s="626"/>
      <c r="FT31" s="626"/>
      <c r="FU31" s="626"/>
      <c r="FV31" s="626"/>
      <c r="FW31" s="626"/>
      <c r="FX31" s="626"/>
      <c r="FY31" s="626"/>
      <c r="FZ31" s="626"/>
      <c r="GA31" s="626"/>
      <c r="GB31" s="626"/>
      <c r="GC31" s="626"/>
      <c r="GD31" s="626"/>
      <c r="GE31" s="627"/>
      <c r="GF31" s="40"/>
      <c r="GG31" s="40"/>
      <c r="GH31" s="40"/>
      <c r="GI31" s="42"/>
    </row>
    <row r="32" spans="1:192" x14ac:dyDescent="0.3">
      <c r="A32" s="41" t="s">
        <v>93</v>
      </c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50"/>
      <c r="AO32" s="50"/>
      <c r="AP32" s="50"/>
      <c r="AQ32" s="50"/>
      <c r="AR32" s="50"/>
      <c r="AS32" s="297"/>
      <c r="AT32" s="297"/>
      <c r="AU32" s="297"/>
      <c r="AV32" s="297"/>
      <c r="AW32" s="297"/>
      <c r="AX32" s="297"/>
      <c r="AY32" s="297"/>
      <c r="AZ32" s="297"/>
      <c r="BA32" s="297"/>
      <c r="BB32" s="297"/>
      <c r="BC32" s="297"/>
      <c r="BD32" s="297"/>
      <c r="BE32" s="297"/>
      <c r="BF32" s="297"/>
      <c r="BG32" s="297"/>
      <c r="BH32" s="297"/>
      <c r="BI32" s="297"/>
      <c r="BJ32" s="297"/>
      <c r="BK32" s="297"/>
      <c r="BL32" s="297"/>
      <c r="BM32" s="297"/>
      <c r="BN32" s="297"/>
      <c r="BO32" s="297"/>
      <c r="BP32" s="297"/>
      <c r="BQ32" s="297"/>
      <c r="BR32" s="297"/>
      <c r="BS32" s="297"/>
      <c r="BT32" s="297"/>
      <c r="BU32" s="297"/>
      <c r="BV32" s="40"/>
      <c r="BW32" s="41" t="s">
        <v>94</v>
      </c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40"/>
      <c r="EN32" s="40"/>
      <c r="EO32" s="299" t="s">
        <v>95</v>
      </c>
      <c r="EP32" s="300"/>
      <c r="EQ32" s="300"/>
      <c r="ER32" s="300"/>
      <c r="ES32" s="300"/>
      <c r="ET32" s="300"/>
      <c r="EU32" s="300"/>
      <c r="EV32" s="300"/>
      <c r="EW32" s="300"/>
      <c r="EX32" s="300"/>
      <c r="EY32" s="300"/>
      <c r="EZ32" s="300"/>
      <c r="FA32" s="300"/>
      <c r="FB32" s="301"/>
      <c r="FC32" s="302"/>
      <c r="FD32" s="300"/>
      <c r="FE32" s="300"/>
      <c r="FF32" s="300"/>
      <c r="FG32" s="300"/>
      <c r="FH32" s="300"/>
      <c r="FI32" s="300"/>
      <c r="FJ32" s="300"/>
      <c r="FK32" s="300"/>
      <c r="FL32" s="300"/>
      <c r="FM32" s="303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2"/>
    </row>
    <row r="33" spans="1:191" ht="11.4" customHeight="1" thickBot="1" x14ac:dyDescent="0.35">
      <c r="A33" s="41" t="s">
        <v>96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297"/>
      <c r="AF33" s="297"/>
      <c r="AG33" s="297"/>
      <c r="AH33" s="297"/>
      <c r="AI33" s="297"/>
      <c r="AJ33" s="297"/>
      <c r="AK33" s="297"/>
      <c r="AL33" s="297"/>
      <c r="AM33" s="297"/>
      <c r="AN33" s="297"/>
      <c r="AO33" s="297"/>
      <c r="AP33" s="297"/>
      <c r="AQ33" s="297"/>
      <c r="AR33" s="297"/>
      <c r="AS33" s="297"/>
      <c r="AT33" s="297"/>
      <c r="AU33" s="297"/>
      <c r="AV33" s="297"/>
      <c r="AW33" s="297"/>
      <c r="AX33" s="297"/>
      <c r="AY33" s="297"/>
      <c r="AZ33" s="297"/>
      <c r="BA33" s="297"/>
      <c r="BB33" s="297"/>
      <c r="BC33" s="297"/>
      <c r="BD33" s="297"/>
      <c r="BE33" s="297"/>
      <c r="BF33" s="297"/>
      <c r="BG33" s="297"/>
      <c r="BH33" s="297"/>
      <c r="BI33" s="297"/>
      <c r="BJ33" s="297"/>
      <c r="BK33" s="297"/>
      <c r="BL33" s="297"/>
      <c r="BM33" s="297"/>
      <c r="BN33" s="297"/>
      <c r="BO33" s="297"/>
      <c r="BP33" s="297"/>
      <c r="BQ33" s="297"/>
      <c r="BR33" s="297"/>
      <c r="BS33" s="297"/>
      <c r="BT33" s="297"/>
      <c r="BU33" s="297"/>
      <c r="BV33" s="40"/>
      <c r="BW33" s="41" t="s">
        <v>97</v>
      </c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304" t="s">
        <v>98</v>
      </c>
      <c r="EP33" s="305"/>
      <c r="EQ33" s="305"/>
      <c r="ER33" s="305"/>
      <c r="ES33" s="305"/>
      <c r="ET33" s="305"/>
      <c r="EU33" s="305"/>
      <c r="EV33" s="305"/>
      <c r="EW33" s="305"/>
      <c r="EX33" s="305"/>
      <c r="EY33" s="305"/>
      <c r="EZ33" s="305"/>
      <c r="FA33" s="305"/>
      <c r="FB33" s="306"/>
      <c r="FC33" s="260"/>
      <c r="FD33" s="261"/>
      <c r="FE33" s="261"/>
      <c r="FF33" s="261"/>
      <c r="FG33" s="261"/>
      <c r="FH33" s="261"/>
      <c r="FI33" s="261"/>
      <c r="FJ33" s="261"/>
      <c r="FK33" s="261"/>
      <c r="FL33" s="261"/>
      <c r="FM33" s="263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2"/>
    </row>
    <row r="34" spans="1:191" ht="11.4" customHeight="1" x14ac:dyDescent="0.3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316" t="s">
        <v>99</v>
      </c>
      <c r="O34" s="316"/>
      <c r="P34" s="316"/>
      <c r="Q34" s="316"/>
      <c r="R34" s="316"/>
      <c r="S34" s="316"/>
      <c r="T34" s="316"/>
      <c r="U34" s="316"/>
      <c r="V34" s="316"/>
      <c r="W34" s="316"/>
      <c r="X34" s="316"/>
      <c r="Y34" s="316"/>
      <c r="Z34" s="316"/>
      <c r="AA34" s="316"/>
      <c r="AB34" s="316"/>
      <c r="AC34" s="316"/>
      <c r="AD34" s="316"/>
      <c r="AE34" s="316"/>
      <c r="AF34" s="316"/>
      <c r="AG34" s="316"/>
      <c r="AH34" s="316"/>
      <c r="AI34" s="316"/>
      <c r="AJ34" s="316"/>
      <c r="AK34" s="316"/>
      <c r="AL34" s="316"/>
      <c r="AM34" s="316"/>
      <c r="AN34" s="316"/>
      <c r="AO34" s="316"/>
      <c r="AP34" s="316"/>
      <c r="AQ34" s="316"/>
      <c r="AR34" s="316"/>
      <c r="AS34" s="316"/>
      <c r="AT34" s="316"/>
      <c r="AU34" s="316"/>
      <c r="AV34" s="316"/>
      <c r="AW34" s="316"/>
      <c r="AX34" s="316"/>
      <c r="AY34" s="316"/>
      <c r="AZ34" s="316"/>
      <c r="BA34" s="316"/>
      <c r="BB34" s="316"/>
      <c r="BC34" s="316"/>
      <c r="BD34" s="316"/>
      <c r="BE34" s="316"/>
      <c r="BF34" s="316"/>
      <c r="BG34" s="316"/>
      <c r="BH34" s="316"/>
      <c r="BI34" s="316"/>
      <c r="BJ34" s="316"/>
      <c r="BK34" s="316"/>
      <c r="BL34" s="316"/>
      <c r="BM34" s="316"/>
      <c r="BN34" s="316"/>
      <c r="BO34" s="316"/>
      <c r="BP34" s="316"/>
      <c r="BQ34" s="316"/>
      <c r="BR34" s="316"/>
      <c r="BS34" s="316"/>
      <c r="BT34" s="316"/>
      <c r="BU34" s="316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633">
        <f>EO31</f>
        <v>8191</v>
      </c>
      <c r="DT34" s="634"/>
      <c r="DU34" s="634"/>
      <c r="DV34" s="634"/>
      <c r="DW34" s="634"/>
      <c r="DX34" s="634"/>
      <c r="DY34" s="634"/>
      <c r="DZ34" s="634"/>
      <c r="EA34" s="634"/>
      <c r="EB34" s="634"/>
      <c r="EC34" s="634"/>
      <c r="ED34" s="634"/>
      <c r="EE34" s="634"/>
      <c r="EF34" s="634"/>
      <c r="EG34" s="634"/>
      <c r="EH34" s="635"/>
      <c r="EI34" s="40"/>
      <c r="EJ34" s="40"/>
      <c r="EK34" s="40"/>
      <c r="EL34" s="40"/>
      <c r="EM34" s="40"/>
      <c r="EN34" s="40"/>
      <c r="EO34" s="307"/>
      <c r="EP34" s="308"/>
      <c r="EQ34" s="308"/>
      <c r="ER34" s="308"/>
      <c r="ES34" s="308"/>
      <c r="ET34" s="308"/>
      <c r="EU34" s="308"/>
      <c r="EV34" s="308"/>
      <c r="EW34" s="308"/>
      <c r="EX34" s="308"/>
      <c r="EY34" s="308"/>
      <c r="EZ34" s="308"/>
      <c r="FA34" s="308"/>
      <c r="FB34" s="309"/>
      <c r="FC34" s="313"/>
      <c r="FD34" s="314"/>
      <c r="FE34" s="314"/>
      <c r="FF34" s="314"/>
      <c r="FG34" s="314"/>
      <c r="FH34" s="314"/>
      <c r="FI34" s="314"/>
      <c r="FJ34" s="314"/>
      <c r="FK34" s="314"/>
      <c r="FL34" s="314"/>
      <c r="FM34" s="315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2"/>
    </row>
    <row r="35" spans="1:191" ht="11.4" customHeight="1" x14ac:dyDescent="0.3">
      <c r="A35" s="41" t="s">
        <v>100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51"/>
      <c r="N35" s="51"/>
      <c r="O35" s="51"/>
      <c r="P35" s="51"/>
      <c r="Q35" s="323">
        <v>5</v>
      </c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  <c r="AL35" s="323"/>
      <c r="AM35" s="323"/>
      <c r="AN35" s="323"/>
      <c r="AO35" s="323"/>
      <c r="AP35" s="323"/>
      <c r="AQ35" s="323"/>
      <c r="AR35" s="323"/>
      <c r="AS35" s="323"/>
      <c r="AT35" s="323"/>
      <c r="AU35" s="323"/>
      <c r="AV35" s="323"/>
      <c r="AW35" s="323"/>
      <c r="AX35" s="323"/>
      <c r="AY35" s="323"/>
      <c r="AZ35" s="323"/>
      <c r="BA35" s="323"/>
      <c r="BB35" s="323"/>
      <c r="BC35" s="323"/>
      <c r="BD35" s="323"/>
      <c r="BE35" s="323"/>
      <c r="BF35" s="323"/>
      <c r="BG35" s="323"/>
      <c r="BH35" s="323"/>
      <c r="BI35" s="323"/>
      <c r="BJ35" s="323"/>
      <c r="BK35" s="323"/>
      <c r="BL35" s="323"/>
      <c r="BM35" s="323"/>
      <c r="BN35" s="323"/>
      <c r="BO35" s="323"/>
      <c r="BP35" s="323"/>
      <c r="BQ35" s="323"/>
      <c r="BR35" s="323"/>
      <c r="BS35" s="323"/>
      <c r="BT35" s="323"/>
      <c r="BU35" s="323"/>
      <c r="BV35" s="40"/>
      <c r="BW35" s="41" t="s">
        <v>101</v>
      </c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333" t="s">
        <v>302</v>
      </c>
      <c r="CM35" s="333"/>
      <c r="CN35" s="333"/>
      <c r="CO35" s="333"/>
      <c r="CP35" s="333"/>
      <c r="CQ35" s="333"/>
      <c r="CR35" s="333"/>
      <c r="CS35" s="333"/>
      <c r="CT35" s="333"/>
      <c r="CU35" s="333"/>
      <c r="CV35" s="333"/>
      <c r="CW35" s="333"/>
      <c r="CX35" s="333"/>
      <c r="CY35" s="333"/>
      <c r="CZ35" s="333"/>
      <c r="DA35" s="333"/>
      <c r="DB35" s="333"/>
      <c r="DC35" s="333"/>
      <c r="DD35" s="333"/>
      <c r="DE35" s="333"/>
      <c r="DF35" s="333"/>
      <c r="DG35" s="333"/>
      <c r="DH35" s="333"/>
      <c r="DI35" s="333"/>
      <c r="DJ35" s="333"/>
      <c r="DK35" s="333"/>
      <c r="DL35" s="333"/>
      <c r="DM35" s="333"/>
      <c r="DN35" s="333"/>
      <c r="DO35" s="333"/>
      <c r="DP35" s="333"/>
      <c r="DQ35" s="40"/>
      <c r="DR35" s="40"/>
      <c r="DS35" s="636"/>
      <c r="DT35" s="637"/>
      <c r="DU35" s="637"/>
      <c r="DV35" s="637"/>
      <c r="DW35" s="637"/>
      <c r="DX35" s="637"/>
      <c r="DY35" s="637"/>
      <c r="DZ35" s="637"/>
      <c r="EA35" s="637"/>
      <c r="EB35" s="637"/>
      <c r="EC35" s="637"/>
      <c r="ED35" s="637"/>
      <c r="EE35" s="637"/>
      <c r="EF35" s="637"/>
      <c r="EG35" s="637"/>
      <c r="EH35" s="638"/>
      <c r="EI35" s="325"/>
      <c r="EJ35" s="325"/>
      <c r="EK35" s="325"/>
      <c r="EL35" s="40"/>
      <c r="EM35" s="40"/>
      <c r="EN35" s="40"/>
      <c r="EO35" s="310"/>
      <c r="EP35" s="311"/>
      <c r="EQ35" s="311"/>
      <c r="ER35" s="311"/>
      <c r="ES35" s="311"/>
      <c r="ET35" s="311"/>
      <c r="EU35" s="311"/>
      <c r="EV35" s="311"/>
      <c r="EW35" s="311"/>
      <c r="EX35" s="311"/>
      <c r="EY35" s="311"/>
      <c r="EZ35" s="311"/>
      <c r="FA35" s="311"/>
      <c r="FB35" s="312"/>
      <c r="FC35" s="302"/>
      <c r="FD35" s="300"/>
      <c r="FE35" s="300"/>
      <c r="FF35" s="300"/>
      <c r="FG35" s="300"/>
      <c r="FH35" s="300"/>
      <c r="FI35" s="300"/>
      <c r="FJ35" s="300"/>
      <c r="FK35" s="300"/>
      <c r="FL35" s="300"/>
      <c r="FM35" s="303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2"/>
    </row>
    <row r="36" spans="1:191" ht="10.95" customHeight="1" x14ac:dyDescent="0.3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334" t="s">
        <v>99</v>
      </c>
      <c r="X36" s="334"/>
      <c r="Y36" s="334"/>
      <c r="Z36" s="334"/>
      <c r="AA36" s="334"/>
      <c r="AB36" s="334"/>
      <c r="AC36" s="334"/>
      <c r="AD36" s="334"/>
      <c r="AE36" s="334"/>
      <c r="AF36" s="334"/>
      <c r="AG36" s="334"/>
      <c r="AH36" s="334"/>
      <c r="AI36" s="334"/>
      <c r="AJ36" s="334"/>
      <c r="AK36" s="334"/>
      <c r="AL36" s="334"/>
      <c r="AM36" s="334"/>
      <c r="AN36" s="334"/>
      <c r="AO36" s="334"/>
      <c r="AP36" s="334"/>
      <c r="AQ36" s="334"/>
      <c r="AR36" s="334"/>
      <c r="AS36" s="334"/>
      <c r="AT36" s="334"/>
      <c r="AU36" s="334"/>
      <c r="AV36" s="334"/>
      <c r="AW36" s="334"/>
      <c r="AX36" s="334"/>
      <c r="AY36" s="334"/>
      <c r="AZ36" s="334"/>
      <c r="BA36" s="334"/>
      <c r="BB36" s="334"/>
      <c r="BC36" s="334"/>
      <c r="BD36" s="334"/>
      <c r="BE36" s="334"/>
      <c r="BF36" s="334"/>
      <c r="BG36" s="334"/>
      <c r="BH36" s="334"/>
      <c r="BI36" s="334"/>
      <c r="BJ36" s="334"/>
      <c r="BK36" s="334"/>
      <c r="BL36" s="334"/>
      <c r="BM36" s="334"/>
      <c r="BN36" s="334"/>
      <c r="BO36" s="334"/>
      <c r="BP36" s="334"/>
      <c r="BQ36" s="334"/>
      <c r="BR36" s="334"/>
      <c r="BS36" s="334"/>
      <c r="BT36" s="334"/>
      <c r="BU36" s="334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335" t="s">
        <v>99</v>
      </c>
      <c r="CS36" s="335"/>
      <c r="CT36" s="335"/>
      <c r="CU36" s="335"/>
      <c r="CV36" s="335"/>
      <c r="CW36" s="335"/>
      <c r="CX36" s="335"/>
      <c r="CY36" s="335"/>
      <c r="CZ36" s="335"/>
      <c r="DA36" s="335"/>
      <c r="DB36" s="335"/>
      <c r="DC36" s="335"/>
      <c r="DD36" s="335"/>
      <c r="DE36" s="335"/>
      <c r="DF36" s="335"/>
      <c r="DG36" s="335"/>
      <c r="DH36" s="335"/>
      <c r="DI36" s="335"/>
      <c r="DJ36" s="335"/>
      <c r="DK36" s="335"/>
      <c r="DL36" s="335"/>
      <c r="DM36" s="335"/>
      <c r="DN36" s="335"/>
      <c r="DO36" s="335"/>
      <c r="DP36" s="335"/>
      <c r="DQ36" s="52"/>
      <c r="DR36" s="52"/>
      <c r="DS36" s="636">
        <f>DS34</f>
        <v>8191</v>
      </c>
      <c r="DT36" s="637"/>
      <c r="DU36" s="637"/>
      <c r="DV36" s="637"/>
      <c r="DW36" s="637"/>
      <c r="DX36" s="637"/>
      <c r="DY36" s="637"/>
      <c r="DZ36" s="637"/>
      <c r="EA36" s="637"/>
      <c r="EB36" s="637"/>
      <c r="EC36" s="637"/>
      <c r="ED36" s="637"/>
      <c r="EE36" s="637"/>
      <c r="EF36" s="637"/>
      <c r="EG36" s="637"/>
      <c r="EH36" s="638"/>
      <c r="EI36" s="40"/>
      <c r="EJ36" s="40"/>
      <c r="EK36" s="40"/>
      <c r="EL36" s="40"/>
      <c r="EM36" s="40"/>
      <c r="EN36" s="40"/>
      <c r="EO36" s="304"/>
      <c r="EP36" s="305"/>
      <c r="EQ36" s="305"/>
      <c r="ER36" s="305"/>
      <c r="ES36" s="305"/>
      <c r="ET36" s="305"/>
      <c r="EU36" s="305"/>
      <c r="EV36" s="305"/>
      <c r="EW36" s="305"/>
      <c r="EX36" s="305"/>
      <c r="EY36" s="305"/>
      <c r="EZ36" s="305"/>
      <c r="FA36" s="305"/>
      <c r="FB36" s="306"/>
      <c r="FC36" s="260"/>
      <c r="FD36" s="261"/>
      <c r="FE36" s="261"/>
      <c r="FF36" s="261"/>
      <c r="FG36" s="261"/>
      <c r="FH36" s="261"/>
      <c r="FI36" s="261"/>
      <c r="FJ36" s="261"/>
      <c r="FK36" s="261"/>
      <c r="FL36" s="261"/>
      <c r="FM36" s="263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2"/>
    </row>
    <row r="37" spans="1:191" ht="13.95" customHeight="1" thickBot="1" x14ac:dyDescent="0.35">
      <c r="A37" s="53" t="s">
        <v>102</v>
      </c>
      <c r="B37" s="40"/>
      <c r="C37" s="40"/>
      <c r="D37" s="40"/>
      <c r="E37" s="40"/>
      <c r="F37" s="40"/>
      <c r="G37" s="40"/>
      <c r="H37" s="40"/>
      <c r="I37" s="40"/>
      <c r="J37" s="324">
        <v>40</v>
      </c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  <c r="AL37" s="324"/>
      <c r="AM37" s="324"/>
      <c r="AN37" s="324"/>
      <c r="AO37" s="324"/>
      <c r="AP37" s="324"/>
      <c r="AQ37" s="324"/>
      <c r="AR37" s="324"/>
      <c r="AS37" s="324"/>
      <c r="AT37" s="324"/>
      <c r="AU37" s="324"/>
      <c r="AV37" s="324"/>
      <c r="AW37" s="324"/>
      <c r="AX37" s="324"/>
      <c r="AY37" s="324"/>
      <c r="AZ37" s="324"/>
      <c r="BA37" s="324"/>
      <c r="BB37" s="324"/>
      <c r="BC37" s="324"/>
      <c r="BD37" s="324"/>
      <c r="BE37" s="324"/>
      <c r="BF37" s="324"/>
      <c r="BG37" s="324"/>
      <c r="BH37" s="324"/>
      <c r="BI37" s="324"/>
      <c r="BJ37" s="324"/>
      <c r="BK37" s="324"/>
      <c r="BL37" s="324"/>
      <c r="BM37" s="324"/>
      <c r="BN37" s="324"/>
      <c r="BO37" s="324"/>
      <c r="BP37" s="324"/>
      <c r="BQ37" s="324"/>
      <c r="BR37" s="324"/>
      <c r="BS37" s="324"/>
      <c r="BT37" s="324"/>
      <c r="BU37" s="324"/>
      <c r="BV37" s="40"/>
      <c r="BW37" s="41" t="s">
        <v>103</v>
      </c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324" t="str">
        <f>CL35</f>
        <v>8191 кг</v>
      </c>
      <c r="CN37" s="324"/>
      <c r="CO37" s="324"/>
      <c r="CP37" s="324"/>
      <c r="CQ37" s="324"/>
      <c r="CR37" s="324"/>
      <c r="CS37" s="324"/>
      <c r="CT37" s="324"/>
      <c r="CU37" s="324"/>
      <c r="CV37" s="324"/>
      <c r="CW37" s="324"/>
      <c r="CX37" s="324"/>
      <c r="CY37" s="324"/>
      <c r="CZ37" s="324"/>
      <c r="DA37" s="324"/>
      <c r="DB37" s="324"/>
      <c r="DC37" s="324"/>
      <c r="DD37" s="324"/>
      <c r="DE37" s="324"/>
      <c r="DF37" s="324"/>
      <c r="DG37" s="324"/>
      <c r="DH37" s="324"/>
      <c r="DI37" s="324"/>
      <c r="DJ37" s="324"/>
      <c r="DK37" s="324"/>
      <c r="DL37" s="324"/>
      <c r="DM37" s="324"/>
      <c r="DN37" s="324"/>
      <c r="DO37" s="324"/>
      <c r="DP37" s="324"/>
      <c r="DQ37" s="52"/>
      <c r="DR37" s="52"/>
      <c r="DS37" s="639"/>
      <c r="DT37" s="640"/>
      <c r="DU37" s="640"/>
      <c r="DV37" s="640"/>
      <c r="DW37" s="640"/>
      <c r="DX37" s="640"/>
      <c r="DY37" s="640"/>
      <c r="DZ37" s="640"/>
      <c r="EA37" s="640"/>
      <c r="EB37" s="640"/>
      <c r="EC37" s="640"/>
      <c r="ED37" s="640"/>
      <c r="EE37" s="640"/>
      <c r="EF37" s="640"/>
      <c r="EG37" s="640"/>
      <c r="EH37" s="641"/>
      <c r="EI37" s="325"/>
      <c r="EJ37" s="325"/>
      <c r="EK37" s="325"/>
      <c r="EL37" s="40"/>
      <c r="EM37" s="40"/>
      <c r="EN37" s="40"/>
      <c r="EO37" s="310"/>
      <c r="EP37" s="311"/>
      <c r="EQ37" s="311"/>
      <c r="ER37" s="311"/>
      <c r="ES37" s="311"/>
      <c r="ET37" s="311"/>
      <c r="EU37" s="311"/>
      <c r="EV37" s="311"/>
      <c r="EW37" s="311"/>
      <c r="EX37" s="311"/>
      <c r="EY37" s="311"/>
      <c r="EZ37" s="311"/>
      <c r="FA37" s="311"/>
      <c r="FB37" s="312"/>
      <c r="FC37" s="302"/>
      <c r="FD37" s="300"/>
      <c r="FE37" s="300"/>
      <c r="FF37" s="300"/>
      <c r="FG37" s="300"/>
      <c r="FH37" s="300"/>
      <c r="FI37" s="300"/>
      <c r="FJ37" s="300"/>
      <c r="FK37" s="300"/>
      <c r="FL37" s="300"/>
      <c r="FM37" s="303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I37" s="40"/>
    </row>
    <row r="38" spans="1:191" ht="11.4" customHeight="1" thickBo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7"/>
      <c r="BG38" s="257"/>
      <c r="BH38" s="257"/>
      <c r="BI38" s="257"/>
      <c r="BJ38" s="257"/>
      <c r="BK38" s="257"/>
      <c r="BL38" s="257"/>
      <c r="BM38" s="257"/>
      <c r="BN38" s="257"/>
      <c r="BO38" s="257"/>
      <c r="BP38" s="257"/>
      <c r="BQ38" s="257"/>
      <c r="BR38" s="257"/>
      <c r="BS38" s="257"/>
      <c r="BT38" s="257"/>
      <c r="BU38" s="257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54"/>
      <c r="CJ38" s="54"/>
      <c r="CK38" s="54"/>
      <c r="CL38" s="54"/>
      <c r="CM38" s="54"/>
      <c r="CN38" s="54"/>
      <c r="CO38" s="54"/>
      <c r="CP38" s="54"/>
      <c r="CQ38" s="54"/>
      <c r="CR38" s="257" t="s">
        <v>99</v>
      </c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  <c r="DI38" s="257"/>
      <c r="DJ38" s="257"/>
      <c r="DK38" s="257"/>
      <c r="DL38" s="257"/>
      <c r="DM38" s="257"/>
      <c r="DN38" s="257"/>
      <c r="DO38" s="257"/>
      <c r="DP38" s="257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326" t="s">
        <v>104</v>
      </c>
      <c r="EP38" s="327"/>
      <c r="EQ38" s="327"/>
      <c r="ER38" s="327"/>
      <c r="ES38" s="327"/>
      <c r="ET38" s="327"/>
      <c r="EU38" s="327"/>
      <c r="EV38" s="327"/>
      <c r="EW38" s="327"/>
      <c r="EX38" s="327"/>
      <c r="EY38" s="327"/>
      <c r="EZ38" s="327"/>
      <c r="FA38" s="327"/>
      <c r="FB38" s="328"/>
      <c r="FC38" s="329"/>
      <c r="FD38" s="330"/>
      <c r="FE38" s="330"/>
      <c r="FF38" s="330"/>
      <c r="FG38" s="330"/>
      <c r="FH38" s="330"/>
      <c r="FI38" s="330"/>
      <c r="FJ38" s="330"/>
      <c r="FK38" s="330"/>
      <c r="FL38" s="330"/>
      <c r="FM38" s="331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2"/>
    </row>
    <row r="39" spans="1:191" ht="15" thickTop="1" x14ac:dyDescent="0.3">
      <c r="A39" s="41" t="s">
        <v>105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346"/>
      <c r="AW39" s="346"/>
      <c r="AX39" s="346"/>
      <c r="AY39" s="346"/>
      <c r="AZ39" s="346"/>
      <c r="BA39" s="346"/>
      <c r="BB39" s="346"/>
      <c r="BC39" s="346"/>
      <c r="BD39" s="346"/>
      <c r="BE39" s="346"/>
      <c r="BF39" s="346"/>
      <c r="BG39" s="346"/>
      <c r="BH39" s="346"/>
      <c r="BI39" s="346"/>
      <c r="BJ39" s="346"/>
      <c r="BK39" s="346"/>
      <c r="BL39" s="346"/>
      <c r="BM39" s="346"/>
      <c r="BN39" s="346"/>
      <c r="BO39" s="346"/>
      <c r="BP39" s="346"/>
      <c r="BQ39" s="346"/>
      <c r="BR39" s="346"/>
      <c r="BS39" s="346"/>
      <c r="BT39" s="346"/>
      <c r="BU39" s="346"/>
      <c r="BV39" s="40"/>
      <c r="BW39" s="41" t="s">
        <v>106</v>
      </c>
      <c r="BX39" s="40"/>
      <c r="BY39" s="40"/>
      <c r="BZ39" s="40"/>
      <c r="CA39" s="40"/>
      <c r="CB39" s="40"/>
      <c r="CC39" s="40"/>
      <c r="CD39" s="40"/>
      <c r="CE39" s="297"/>
      <c r="CF39" s="297"/>
      <c r="CG39" s="297"/>
      <c r="CH39" s="297"/>
      <c r="CI39" s="297"/>
      <c r="CJ39" s="297"/>
      <c r="CK39" s="297"/>
      <c r="CL39" s="297"/>
      <c r="CM39" s="297"/>
      <c r="CN39" s="297"/>
      <c r="CO39" s="297"/>
      <c r="CP39" s="297"/>
      <c r="CQ39" s="297"/>
      <c r="CR39" s="297"/>
      <c r="CS39" s="297"/>
      <c r="CT39" s="297"/>
      <c r="CU39" s="297"/>
      <c r="CV39" s="40"/>
      <c r="CW39" s="40"/>
      <c r="CX39" s="55"/>
      <c r="CY39" s="347" t="s">
        <v>107</v>
      </c>
      <c r="CZ39" s="347"/>
      <c r="DA39" s="347"/>
      <c r="DB39" s="347"/>
      <c r="DC39" s="347"/>
      <c r="DD39" s="347"/>
      <c r="DE39" s="347"/>
      <c r="DF39" s="347"/>
      <c r="DG39" s="347"/>
      <c r="DH39" s="347"/>
      <c r="DI39" s="347"/>
      <c r="DJ39" s="347"/>
      <c r="DK39" s="347"/>
      <c r="DL39" s="347"/>
      <c r="DM39" s="347"/>
      <c r="DN39" s="347"/>
      <c r="DO39" s="347"/>
      <c r="DP39" s="347"/>
      <c r="DQ39" s="347"/>
      <c r="DR39" s="347"/>
      <c r="DS39" s="347"/>
      <c r="DT39" s="342"/>
      <c r="DU39" s="342"/>
      <c r="DV39" s="342"/>
      <c r="DW39" s="342"/>
      <c r="DX39" s="342"/>
      <c r="DY39" s="342"/>
      <c r="DZ39" s="342"/>
      <c r="EA39" s="342"/>
      <c r="EB39" s="342"/>
      <c r="EC39" s="342"/>
      <c r="ED39" s="342"/>
      <c r="EE39" s="342"/>
      <c r="EF39" s="342"/>
      <c r="EG39" s="342"/>
      <c r="EH39" s="342"/>
      <c r="EI39" s="342"/>
      <c r="EJ39" s="41"/>
      <c r="EK39" s="340" t="s">
        <v>108</v>
      </c>
      <c r="EL39" s="340"/>
      <c r="EM39" s="340"/>
      <c r="EN39" s="340"/>
      <c r="EO39" s="340"/>
      <c r="EP39" s="348"/>
      <c r="EQ39" s="348"/>
      <c r="ER39" s="348"/>
      <c r="ES39" s="348"/>
      <c r="ET39" s="348"/>
      <c r="EU39" s="339" t="s">
        <v>109</v>
      </c>
      <c r="EV39" s="339"/>
      <c r="EW39" s="339"/>
      <c r="EX39" s="341"/>
      <c r="EY39" s="341"/>
      <c r="EZ39" s="341"/>
      <c r="FA39" s="341"/>
      <c r="FB39" s="341"/>
      <c r="FC39" s="341"/>
      <c r="FD39" s="341"/>
      <c r="FE39" s="341"/>
      <c r="FF39" s="341"/>
      <c r="FG39" s="341"/>
      <c r="FH39" s="341"/>
      <c r="FI39" s="341"/>
      <c r="FJ39" s="341"/>
      <c r="FK39" s="341"/>
      <c r="FL39" s="341"/>
      <c r="FM39" s="341"/>
      <c r="FN39" s="341"/>
      <c r="FO39" s="341"/>
      <c r="FP39" s="341"/>
      <c r="FQ39" s="41"/>
      <c r="FR39" s="56"/>
      <c r="FS39" s="342"/>
      <c r="FT39" s="342"/>
      <c r="FU39" s="342"/>
      <c r="FV39" s="342"/>
      <c r="FW39" s="342"/>
      <c r="FX39" s="342"/>
      <c r="FY39" s="342"/>
      <c r="FZ39" s="342"/>
      <c r="GA39" s="344" t="s">
        <v>110</v>
      </c>
      <c r="GB39" s="344"/>
      <c r="GC39" s="344"/>
      <c r="GD39" s="344"/>
      <c r="GE39" s="40"/>
      <c r="GF39" s="40"/>
      <c r="GG39" s="40"/>
      <c r="GH39" s="40"/>
      <c r="GI39" s="42"/>
    </row>
    <row r="40" spans="1:191" x14ac:dyDescent="0.3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345" t="s">
        <v>99</v>
      </c>
      <c r="AW40" s="345"/>
      <c r="AX40" s="345"/>
      <c r="AY40" s="345"/>
      <c r="AZ40" s="345"/>
      <c r="BA40" s="345"/>
      <c r="BB40" s="345"/>
      <c r="BC40" s="345"/>
      <c r="BD40" s="345"/>
      <c r="BE40" s="345"/>
      <c r="BF40" s="345"/>
      <c r="BG40" s="345"/>
      <c r="BH40" s="345"/>
      <c r="BI40" s="345"/>
      <c r="BJ40" s="345"/>
      <c r="BK40" s="345"/>
      <c r="BL40" s="345"/>
      <c r="BM40" s="345"/>
      <c r="BN40" s="345"/>
      <c r="BO40" s="345"/>
      <c r="BP40" s="345"/>
      <c r="BQ40" s="345"/>
      <c r="BR40" s="345"/>
      <c r="BS40" s="345"/>
      <c r="BT40" s="345"/>
      <c r="BU40" s="345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55"/>
      <c r="CY40" s="347"/>
      <c r="CZ40" s="347"/>
      <c r="DA40" s="347"/>
      <c r="DB40" s="347"/>
      <c r="DC40" s="347"/>
      <c r="DD40" s="347"/>
      <c r="DE40" s="347"/>
      <c r="DF40" s="347"/>
      <c r="DG40" s="347"/>
      <c r="DH40" s="347"/>
      <c r="DI40" s="347"/>
      <c r="DJ40" s="347"/>
      <c r="DK40" s="347"/>
      <c r="DL40" s="347"/>
      <c r="DM40" s="347"/>
      <c r="DN40" s="347"/>
      <c r="DO40" s="347"/>
      <c r="DP40" s="347"/>
      <c r="DQ40" s="347"/>
      <c r="DR40" s="347"/>
      <c r="DS40" s="347"/>
      <c r="DT40" s="343"/>
      <c r="DU40" s="343"/>
      <c r="DV40" s="343"/>
      <c r="DW40" s="343"/>
      <c r="DX40" s="343"/>
      <c r="DY40" s="343"/>
      <c r="DZ40" s="343"/>
      <c r="EA40" s="343"/>
      <c r="EB40" s="343"/>
      <c r="EC40" s="343"/>
      <c r="ED40" s="343"/>
      <c r="EE40" s="343"/>
      <c r="EF40" s="343"/>
      <c r="EG40" s="343"/>
      <c r="EH40" s="343"/>
      <c r="EI40" s="343"/>
      <c r="EJ40" s="57"/>
      <c r="EK40" s="340"/>
      <c r="EL40" s="340"/>
      <c r="EM40" s="340"/>
      <c r="EN40" s="340"/>
      <c r="EO40" s="340"/>
      <c r="EP40" s="343"/>
      <c r="EQ40" s="343"/>
      <c r="ER40" s="343"/>
      <c r="ES40" s="343"/>
      <c r="ET40" s="343"/>
      <c r="EU40" s="340"/>
      <c r="EV40" s="340"/>
      <c r="EW40" s="340"/>
      <c r="EX40" s="297"/>
      <c r="EY40" s="297"/>
      <c r="EZ40" s="297"/>
      <c r="FA40" s="297"/>
      <c r="FB40" s="297"/>
      <c r="FC40" s="297"/>
      <c r="FD40" s="297"/>
      <c r="FE40" s="297"/>
      <c r="FF40" s="297"/>
      <c r="FG40" s="297"/>
      <c r="FH40" s="297"/>
      <c r="FI40" s="297"/>
      <c r="FJ40" s="297"/>
      <c r="FK40" s="297"/>
      <c r="FL40" s="297"/>
      <c r="FM40" s="297"/>
      <c r="FN40" s="297"/>
      <c r="FO40" s="297"/>
      <c r="FP40" s="297"/>
      <c r="FQ40" s="56"/>
      <c r="FR40" s="56"/>
      <c r="FS40" s="343"/>
      <c r="FT40" s="343"/>
      <c r="FU40" s="343"/>
      <c r="FV40" s="343"/>
      <c r="FW40" s="343"/>
      <c r="FX40" s="343"/>
      <c r="FY40" s="343"/>
      <c r="FZ40" s="343"/>
      <c r="GA40" s="344"/>
      <c r="GB40" s="344"/>
      <c r="GC40" s="344"/>
      <c r="GD40" s="344"/>
      <c r="GE40" s="40"/>
      <c r="GF40" s="40"/>
      <c r="GG40" s="40"/>
      <c r="GH40" s="40"/>
      <c r="GI40" s="42"/>
    </row>
    <row r="41" spans="1:191" x14ac:dyDescent="0.3">
      <c r="A41" s="41" t="s">
        <v>111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58"/>
      <c r="T41" s="58"/>
      <c r="U41" s="58"/>
      <c r="V41" s="58"/>
      <c r="W41" s="58"/>
      <c r="X41" s="58"/>
      <c r="Y41" s="58"/>
      <c r="Z41" s="58"/>
      <c r="AA41" s="58"/>
      <c r="AB41" s="297"/>
      <c r="AC41" s="297"/>
      <c r="AD41" s="297"/>
      <c r="AE41" s="297"/>
      <c r="AF41" s="297"/>
      <c r="AG41" s="297"/>
      <c r="AH41" s="297"/>
      <c r="AI41" s="297"/>
      <c r="AJ41" s="297"/>
      <c r="AK41" s="297"/>
      <c r="AL41" s="297"/>
      <c r="AM41" s="297"/>
      <c r="AN41" s="297"/>
      <c r="AO41" s="297"/>
      <c r="AP41" s="297"/>
      <c r="AQ41" s="297"/>
      <c r="AR41" s="297"/>
      <c r="AS41" s="297"/>
      <c r="AT41" s="297"/>
      <c r="AU41" s="297"/>
      <c r="AV41" s="297"/>
      <c r="AW41" s="297"/>
      <c r="AX41" s="297"/>
      <c r="AY41" s="297"/>
      <c r="AZ41" s="297"/>
      <c r="BA41" s="297"/>
      <c r="BB41" s="297"/>
      <c r="BC41" s="297"/>
      <c r="BD41" s="297"/>
      <c r="BE41" s="297"/>
      <c r="BF41" s="297"/>
      <c r="BG41" s="297"/>
      <c r="BH41" s="297"/>
      <c r="BI41" s="297"/>
      <c r="BJ41" s="297"/>
      <c r="BK41" s="297"/>
      <c r="BL41" s="297"/>
      <c r="BM41" s="297"/>
      <c r="BN41" s="297"/>
      <c r="BO41" s="297"/>
      <c r="BP41" s="297"/>
      <c r="BQ41" s="297"/>
      <c r="BR41" s="297"/>
      <c r="BS41" s="297"/>
      <c r="BT41" s="297"/>
      <c r="BU41" s="297"/>
      <c r="BV41" s="297"/>
      <c r="BW41" s="341" t="s">
        <v>112</v>
      </c>
      <c r="BX41" s="341"/>
      <c r="BY41" s="341"/>
      <c r="BZ41" s="341"/>
      <c r="CA41" s="341"/>
      <c r="CB41" s="341"/>
      <c r="CC41" s="297"/>
      <c r="CD41" s="297"/>
      <c r="CE41" s="297"/>
      <c r="CF41" s="297"/>
      <c r="CG41" s="297"/>
      <c r="CH41" s="297"/>
      <c r="CI41" s="297"/>
      <c r="CJ41" s="297"/>
      <c r="CK41" s="297"/>
      <c r="CL41" s="40"/>
      <c r="CM41" s="41" t="s">
        <v>113</v>
      </c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55"/>
      <c r="CY41" s="41" t="s">
        <v>114</v>
      </c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297"/>
      <c r="DK41" s="297"/>
      <c r="DL41" s="297"/>
      <c r="DM41" s="297"/>
      <c r="DN41" s="297"/>
      <c r="DO41" s="297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  <c r="DZ41" s="297"/>
      <c r="EA41" s="297"/>
      <c r="EB41" s="297"/>
      <c r="EC41" s="297"/>
      <c r="ED41" s="297"/>
      <c r="EE41" s="297"/>
      <c r="EF41" s="297"/>
      <c r="EG41" s="297"/>
      <c r="EH41" s="297"/>
      <c r="EI41" s="297"/>
      <c r="EJ41" s="297"/>
      <c r="EK41" s="297"/>
      <c r="EL41" s="297"/>
      <c r="EM41" s="297"/>
      <c r="EN41" s="297"/>
      <c r="EO41" s="297"/>
      <c r="EP41" s="297"/>
      <c r="EQ41" s="297"/>
      <c r="ER41" s="297"/>
      <c r="ES41" s="297"/>
      <c r="ET41" s="297"/>
      <c r="EU41" s="297"/>
      <c r="EV41" s="297"/>
      <c r="EW41" s="297"/>
      <c r="EX41" s="297"/>
      <c r="EY41" s="297"/>
      <c r="EZ41" s="297"/>
      <c r="FA41" s="297"/>
      <c r="FB41" s="297"/>
      <c r="FC41" s="297"/>
      <c r="FD41" s="297"/>
      <c r="FE41" s="297"/>
      <c r="FF41" s="297"/>
      <c r="FG41" s="297"/>
      <c r="FH41" s="297"/>
      <c r="FI41" s="297"/>
      <c r="FJ41" s="297"/>
      <c r="FK41" s="297"/>
      <c r="FL41" s="297"/>
      <c r="FM41" s="297"/>
      <c r="FN41" s="297"/>
      <c r="FO41" s="297"/>
      <c r="FP41" s="297"/>
      <c r="FQ41" s="297"/>
      <c r="FR41" s="297"/>
      <c r="FS41" s="297"/>
      <c r="FT41" s="297"/>
      <c r="FU41" s="297"/>
      <c r="FV41" s="297"/>
      <c r="FW41" s="297"/>
      <c r="FX41" s="297"/>
      <c r="FY41" s="297"/>
      <c r="FZ41" s="297"/>
      <c r="GA41" s="297"/>
      <c r="GB41" s="297"/>
      <c r="GC41" s="297"/>
      <c r="GD41" s="297"/>
      <c r="GE41" s="297"/>
      <c r="GF41" s="40"/>
      <c r="GG41" s="40"/>
      <c r="GH41" s="40"/>
      <c r="GI41" s="42"/>
    </row>
    <row r="42" spans="1:191" ht="7.95" customHeight="1" x14ac:dyDescent="0.3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345" t="s">
        <v>99</v>
      </c>
      <c r="AS42" s="345"/>
      <c r="AT42" s="345"/>
      <c r="AU42" s="345"/>
      <c r="AV42" s="345"/>
      <c r="AW42" s="345"/>
      <c r="AX42" s="345"/>
      <c r="AY42" s="345"/>
      <c r="AZ42" s="345"/>
      <c r="BA42" s="352" t="s">
        <v>115</v>
      </c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55"/>
      <c r="CY42" s="344" t="s">
        <v>116</v>
      </c>
      <c r="CZ42" s="344"/>
      <c r="DA42" s="344"/>
      <c r="DB42" s="344"/>
      <c r="DC42" s="344"/>
      <c r="DD42" s="344"/>
      <c r="DE42" s="344"/>
      <c r="DF42" s="344"/>
      <c r="DG42" s="344"/>
      <c r="DH42" s="344"/>
      <c r="DI42" s="344"/>
      <c r="DJ42" s="344"/>
      <c r="DK42" s="344"/>
      <c r="DL42" s="344"/>
      <c r="DM42" s="344"/>
      <c r="DN42" s="344"/>
      <c r="DO42" s="344"/>
      <c r="DP42" s="344"/>
      <c r="DQ42" s="344"/>
      <c r="DR42" s="344"/>
      <c r="DS42" s="344"/>
      <c r="DT42" s="344"/>
      <c r="DU42" s="344"/>
      <c r="DV42" s="344"/>
      <c r="DW42" s="344"/>
      <c r="DX42" s="344"/>
      <c r="DY42" s="344"/>
      <c r="DZ42" s="344"/>
      <c r="EA42" s="344"/>
      <c r="EB42" s="353" t="s">
        <v>117</v>
      </c>
      <c r="EC42" s="353"/>
      <c r="ED42" s="353"/>
      <c r="EE42" s="353"/>
      <c r="EF42" s="353"/>
      <c r="EG42" s="353"/>
      <c r="EH42" s="353"/>
      <c r="EI42" s="353"/>
      <c r="EJ42" s="353"/>
      <c r="EK42" s="353"/>
      <c r="EL42" s="353"/>
      <c r="EM42" s="353"/>
      <c r="EN42" s="353"/>
      <c r="EO42" s="353"/>
      <c r="EP42" s="353"/>
      <c r="EQ42" s="353"/>
      <c r="ER42" s="353"/>
      <c r="ES42" s="40"/>
      <c r="ET42" s="40"/>
      <c r="EU42" s="355"/>
      <c r="EV42" s="355"/>
      <c r="EW42" s="355"/>
      <c r="EX42" s="355"/>
      <c r="EY42" s="355"/>
      <c r="EZ42" s="355"/>
      <c r="FA42" s="355"/>
      <c r="FB42" s="356" t="s">
        <v>118</v>
      </c>
      <c r="FC42" s="355"/>
      <c r="FD42" s="355"/>
      <c r="FE42" s="355"/>
      <c r="FF42" s="355"/>
      <c r="FG42" s="40"/>
      <c r="FH42" s="40"/>
      <c r="FI42" s="357" t="s">
        <v>119</v>
      </c>
      <c r="FJ42" s="357"/>
      <c r="FK42" s="357"/>
      <c r="FL42" s="357"/>
      <c r="FM42" s="357"/>
      <c r="FN42" s="357"/>
      <c r="FO42" s="357"/>
      <c r="FP42" s="357"/>
      <c r="FQ42" s="357"/>
      <c r="FR42" s="357"/>
      <c r="FS42" s="357"/>
      <c r="FT42" s="357"/>
      <c r="FU42" s="357"/>
      <c r="FV42" s="357"/>
      <c r="FW42" s="357"/>
      <c r="FX42" s="357"/>
      <c r="FY42" s="357"/>
      <c r="FZ42" s="357"/>
      <c r="GA42" s="357"/>
      <c r="GB42" s="357"/>
      <c r="GC42" s="357"/>
      <c r="GD42" s="357"/>
      <c r="GE42" s="357"/>
      <c r="GF42" s="40"/>
      <c r="GG42" s="40"/>
      <c r="GH42" s="40"/>
      <c r="GI42" s="42"/>
    </row>
    <row r="43" spans="1:191" ht="7.95" customHeight="1" x14ac:dyDescent="0.3">
      <c r="A43" s="352" t="s">
        <v>120</v>
      </c>
      <c r="B43" s="352"/>
      <c r="C43" s="352"/>
      <c r="D43" s="352"/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257"/>
      <c r="AS43" s="257"/>
      <c r="AT43" s="257"/>
      <c r="AU43" s="257"/>
      <c r="AV43" s="257"/>
      <c r="AW43" s="257"/>
      <c r="AX43" s="257"/>
      <c r="AY43" s="257"/>
      <c r="AZ43" s="257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55"/>
      <c r="CY43" s="344"/>
      <c r="CZ43" s="344"/>
      <c r="DA43" s="344"/>
      <c r="DB43" s="344"/>
      <c r="DC43" s="344"/>
      <c r="DD43" s="344"/>
      <c r="DE43" s="344"/>
      <c r="DF43" s="344"/>
      <c r="DG43" s="344"/>
      <c r="DH43" s="344"/>
      <c r="DI43" s="344"/>
      <c r="DJ43" s="344"/>
      <c r="DK43" s="344"/>
      <c r="DL43" s="344"/>
      <c r="DM43" s="344"/>
      <c r="DN43" s="344"/>
      <c r="DO43" s="344"/>
      <c r="DP43" s="344"/>
      <c r="DQ43" s="344"/>
      <c r="DR43" s="344"/>
      <c r="DS43" s="344"/>
      <c r="DT43" s="344"/>
      <c r="DU43" s="344"/>
      <c r="DV43" s="344"/>
      <c r="DW43" s="344"/>
      <c r="DX43" s="344"/>
      <c r="DY43" s="344"/>
      <c r="DZ43" s="344"/>
      <c r="EA43" s="344"/>
      <c r="EB43" s="354"/>
      <c r="EC43" s="354"/>
      <c r="ED43" s="354"/>
      <c r="EE43" s="354"/>
      <c r="EF43" s="354"/>
      <c r="EG43" s="354"/>
      <c r="EH43" s="354"/>
      <c r="EI43" s="354"/>
      <c r="EJ43" s="354"/>
      <c r="EK43" s="354"/>
      <c r="EL43" s="354"/>
      <c r="EM43" s="354"/>
      <c r="EN43" s="354"/>
      <c r="EO43" s="354"/>
      <c r="EP43" s="354"/>
      <c r="EQ43" s="354"/>
      <c r="ER43" s="354"/>
      <c r="ES43" s="40"/>
      <c r="ET43" s="40"/>
      <c r="EU43" s="297"/>
      <c r="EV43" s="297"/>
      <c r="EW43" s="297"/>
      <c r="EX43" s="297"/>
      <c r="EY43" s="297"/>
      <c r="EZ43" s="297"/>
      <c r="FA43" s="297"/>
      <c r="FB43" s="297"/>
      <c r="FC43" s="297"/>
      <c r="FD43" s="297"/>
      <c r="FE43" s="297"/>
      <c r="FF43" s="297"/>
      <c r="FG43" s="40"/>
      <c r="FH43" s="40"/>
      <c r="FI43" s="349"/>
      <c r="FJ43" s="349"/>
      <c r="FK43" s="349"/>
      <c r="FL43" s="349"/>
      <c r="FM43" s="349"/>
      <c r="FN43" s="349"/>
      <c r="FO43" s="349"/>
      <c r="FP43" s="349"/>
      <c r="FQ43" s="349"/>
      <c r="FR43" s="349"/>
      <c r="FS43" s="349"/>
      <c r="FT43" s="349"/>
      <c r="FU43" s="349"/>
      <c r="FV43" s="349"/>
      <c r="FW43" s="349"/>
      <c r="FX43" s="349"/>
      <c r="FY43" s="349"/>
      <c r="FZ43" s="349"/>
      <c r="GA43" s="349"/>
      <c r="GB43" s="349"/>
      <c r="GC43" s="349"/>
      <c r="GD43" s="349"/>
      <c r="GE43" s="349"/>
      <c r="GF43" s="40"/>
      <c r="GG43" s="40"/>
      <c r="GH43" s="40"/>
      <c r="GI43" s="42"/>
    </row>
    <row r="44" spans="1:191" s="62" customFormat="1" ht="6.6" customHeight="1" x14ac:dyDescent="0.3">
      <c r="A44" s="352"/>
      <c r="B44" s="352"/>
      <c r="C44" s="352"/>
      <c r="D44" s="352"/>
      <c r="E44" s="352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352"/>
      <c r="T44" s="352"/>
      <c r="U44" s="352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45"/>
      <c r="BY44" s="45"/>
      <c r="BZ44" s="45"/>
      <c r="CA44" s="45"/>
      <c r="CB44" s="45"/>
      <c r="CC44" s="45"/>
      <c r="CD44" s="45"/>
      <c r="CE44" s="45"/>
      <c r="CF44" s="45"/>
      <c r="CG44" s="45"/>
      <c r="CH44" s="45"/>
      <c r="CI44" s="45"/>
      <c r="CJ44" s="45"/>
      <c r="CK44" s="45"/>
      <c r="CL44" s="45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60"/>
      <c r="CY44" s="45"/>
      <c r="CZ44" s="45"/>
      <c r="DA44" s="45"/>
      <c r="DB44" s="45"/>
      <c r="DC44" s="45"/>
      <c r="DD44" s="45"/>
      <c r="DE44" s="45"/>
      <c r="DF44" s="45"/>
      <c r="DG44" s="45"/>
      <c r="DH44" s="45"/>
      <c r="DI44" s="45"/>
      <c r="DJ44" s="45"/>
      <c r="DK44" s="45"/>
      <c r="DL44" s="45"/>
      <c r="DM44" s="45"/>
      <c r="DN44" s="45"/>
      <c r="DO44" s="45"/>
      <c r="DP44" s="45"/>
      <c r="DQ44" s="45"/>
      <c r="DR44" s="45"/>
      <c r="DS44" s="45"/>
      <c r="DT44" s="45"/>
      <c r="DU44" s="45"/>
      <c r="DV44" s="45"/>
      <c r="DW44" s="45"/>
      <c r="DX44" s="45"/>
      <c r="DY44" s="45"/>
      <c r="DZ44" s="45"/>
      <c r="EA44" s="45"/>
      <c r="EB44" s="234" t="s">
        <v>121</v>
      </c>
      <c r="EC44" s="234"/>
      <c r="ED44" s="234"/>
      <c r="EE44" s="234"/>
      <c r="EF44" s="234"/>
      <c r="EG44" s="234"/>
      <c r="EH44" s="234"/>
      <c r="EI44" s="234"/>
      <c r="EJ44" s="234"/>
      <c r="EK44" s="234"/>
      <c r="EL44" s="234"/>
      <c r="EM44" s="234"/>
      <c r="EN44" s="234"/>
      <c r="EO44" s="234"/>
      <c r="EP44" s="234"/>
      <c r="EQ44" s="234"/>
      <c r="ER44" s="234"/>
      <c r="ES44" s="45"/>
      <c r="ET44" s="45"/>
      <c r="EU44" s="234" t="s">
        <v>122</v>
      </c>
      <c r="EV44" s="234"/>
      <c r="EW44" s="234"/>
      <c r="EX44" s="234"/>
      <c r="EY44" s="234"/>
      <c r="EZ44" s="234"/>
      <c r="FA44" s="234"/>
      <c r="FB44" s="234"/>
      <c r="FC44" s="234"/>
      <c r="FD44" s="234"/>
      <c r="FE44" s="234"/>
      <c r="FF44" s="234"/>
      <c r="FG44" s="45"/>
      <c r="FH44" s="45"/>
      <c r="FI44" s="234"/>
      <c r="FJ44" s="234"/>
      <c r="FK44" s="234"/>
      <c r="FL44" s="234"/>
      <c r="FM44" s="234"/>
      <c r="FN44" s="234"/>
      <c r="FO44" s="234"/>
      <c r="FP44" s="234"/>
      <c r="FQ44" s="234"/>
      <c r="FR44" s="234"/>
      <c r="FS44" s="234"/>
      <c r="FT44" s="234"/>
      <c r="FU44" s="234"/>
      <c r="FV44" s="234"/>
      <c r="FW44" s="234"/>
      <c r="FX44" s="234"/>
      <c r="FY44" s="234"/>
      <c r="FZ44" s="234"/>
      <c r="GA44" s="234"/>
      <c r="GB44" s="234"/>
      <c r="GC44" s="234"/>
      <c r="GD44" s="234"/>
      <c r="GE44" s="234"/>
      <c r="GF44" s="45"/>
      <c r="GG44" s="45"/>
      <c r="GH44" s="45"/>
      <c r="GI44" s="61"/>
    </row>
    <row r="45" spans="1:191" x14ac:dyDescent="0.3">
      <c r="A45" s="349" t="s">
        <v>123</v>
      </c>
      <c r="B45" s="349"/>
      <c r="C45" s="349"/>
      <c r="D45" s="349"/>
      <c r="E45" s="349"/>
      <c r="F45" s="349"/>
      <c r="G45" s="349"/>
      <c r="H45" s="349"/>
      <c r="I45" s="349"/>
      <c r="J45" s="349"/>
      <c r="K45" s="349"/>
      <c r="L45" s="349"/>
      <c r="M45" s="349"/>
      <c r="N45" s="349"/>
      <c r="O45" s="349"/>
      <c r="P45" s="349"/>
      <c r="Q45" s="349"/>
      <c r="R45" s="349"/>
      <c r="S45" s="349"/>
      <c r="T45" s="349"/>
      <c r="U45" s="349"/>
      <c r="V45" s="349"/>
      <c r="W45" s="349"/>
      <c r="X45" s="63"/>
      <c r="Y45" s="350"/>
      <c r="Z45" s="350"/>
      <c r="AA45" s="350"/>
      <c r="AB45" s="350"/>
      <c r="AC45" s="350"/>
      <c r="AD45" s="350"/>
      <c r="AE45" s="350"/>
      <c r="AF45" s="63"/>
      <c r="AG45" s="349" t="s">
        <v>124</v>
      </c>
      <c r="AH45" s="349"/>
      <c r="AI45" s="349"/>
      <c r="AJ45" s="349"/>
      <c r="AK45" s="349"/>
      <c r="AL45" s="349"/>
      <c r="AM45" s="349"/>
      <c r="AN45" s="349"/>
      <c r="AO45" s="349"/>
      <c r="AP45" s="349"/>
      <c r="AQ45" s="349"/>
      <c r="AR45" s="349"/>
      <c r="AS45" s="349"/>
      <c r="AT45" s="349"/>
      <c r="AU45" s="349"/>
      <c r="AV45" s="349"/>
      <c r="AW45" s="349"/>
      <c r="AX45" s="349"/>
      <c r="AY45" s="64"/>
      <c r="AZ45" s="40"/>
      <c r="BA45" s="65" t="s">
        <v>125</v>
      </c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40"/>
      <c r="BM45" s="40"/>
      <c r="BN45" s="40"/>
      <c r="BO45" s="40"/>
      <c r="BP45" s="40"/>
      <c r="BQ45" s="351"/>
      <c r="BR45" s="351"/>
      <c r="BS45" s="351"/>
      <c r="BT45" s="351"/>
      <c r="BU45" s="351"/>
      <c r="BV45" s="351"/>
      <c r="BW45" s="351"/>
      <c r="BX45" s="351"/>
      <c r="BY45" s="351"/>
      <c r="BZ45" s="351"/>
      <c r="CA45" s="40"/>
      <c r="CB45" s="40"/>
      <c r="CC45" s="297"/>
      <c r="CD45" s="297"/>
      <c r="CE45" s="297"/>
      <c r="CF45" s="297"/>
      <c r="CG45" s="297"/>
      <c r="CH45" s="297"/>
      <c r="CI45" s="297"/>
      <c r="CJ45" s="297"/>
      <c r="CK45" s="297"/>
      <c r="CL45" s="297"/>
      <c r="CM45" s="297"/>
      <c r="CN45" s="297"/>
      <c r="CO45" s="297"/>
      <c r="CP45" s="297"/>
      <c r="CQ45" s="297"/>
      <c r="CR45" s="297"/>
      <c r="CS45" s="297"/>
      <c r="CT45" s="297"/>
      <c r="CU45" s="297"/>
      <c r="CV45" s="40"/>
      <c r="CW45" s="40"/>
      <c r="CX45" s="55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2"/>
    </row>
    <row r="46" spans="1:191" s="62" customFormat="1" ht="7.2" customHeight="1" x14ac:dyDescent="0.3">
      <c r="A46" s="358" t="s">
        <v>121</v>
      </c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  <c r="M46" s="358"/>
      <c r="N46" s="358"/>
      <c r="O46" s="358"/>
      <c r="P46" s="358"/>
      <c r="Q46" s="358"/>
      <c r="R46" s="358"/>
      <c r="S46" s="358"/>
      <c r="T46" s="358"/>
      <c r="U46" s="358"/>
      <c r="V46" s="358"/>
      <c r="W46" s="358"/>
      <c r="X46" s="67"/>
      <c r="Y46" s="358" t="s">
        <v>122</v>
      </c>
      <c r="Z46" s="358"/>
      <c r="AA46" s="358"/>
      <c r="AB46" s="358"/>
      <c r="AC46" s="358"/>
      <c r="AD46" s="358"/>
      <c r="AE46" s="358"/>
      <c r="AF46" s="67"/>
      <c r="AG46" s="358" t="s">
        <v>126</v>
      </c>
      <c r="AH46" s="358"/>
      <c r="AI46" s="358"/>
      <c r="AJ46" s="358"/>
      <c r="AK46" s="358"/>
      <c r="AL46" s="358"/>
      <c r="AM46" s="358"/>
      <c r="AN46" s="358"/>
      <c r="AO46" s="358"/>
      <c r="AP46" s="358"/>
      <c r="AQ46" s="358"/>
      <c r="AR46" s="358"/>
      <c r="AS46" s="358"/>
      <c r="AT46" s="358"/>
      <c r="AU46" s="358"/>
      <c r="AV46" s="358"/>
      <c r="AW46" s="358"/>
      <c r="AX46" s="358"/>
      <c r="AY46" s="68"/>
      <c r="AZ46" s="45"/>
      <c r="BA46" s="45"/>
      <c r="BB46" s="45"/>
      <c r="BC46" s="45"/>
      <c r="BD46" s="45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234" t="s">
        <v>122</v>
      </c>
      <c r="BR46" s="234"/>
      <c r="BS46" s="234"/>
      <c r="BT46" s="234"/>
      <c r="BU46" s="234"/>
      <c r="BV46" s="234"/>
      <c r="BW46" s="234"/>
      <c r="BX46" s="234"/>
      <c r="BY46" s="234"/>
      <c r="BZ46" s="234"/>
      <c r="CA46" s="70"/>
      <c r="CB46" s="70"/>
      <c r="CC46" s="234" t="s">
        <v>126</v>
      </c>
      <c r="CD46" s="234"/>
      <c r="CE46" s="234"/>
      <c r="CF46" s="234"/>
      <c r="CG46" s="234"/>
      <c r="CH46" s="234"/>
      <c r="CI46" s="234"/>
      <c r="CJ46" s="234"/>
      <c r="CK46" s="234"/>
      <c r="CL46" s="234"/>
      <c r="CM46" s="234"/>
      <c r="CN46" s="234"/>
      <c r="CO46" s="234"/>
      <c r="CP46" s="234"/>
      <c r="CQ46" s="234"/>
      <c r="CR46" s="234"/>
      <c r="CS46" s="234"/>
      <c r="CT46" s="234"/>
      <c r="CU46" s="234"/>
      <c r="CV46" s="45"/>
      <c r="CW46" s="45"/>
      <c r="CX46" s="60"/>
      <c r="CY46" s="344" t="s">
        <v>127</v>
      </c>
      <c r="CZ46" s="344"/>
      <c r="DA46" s="344"/>
      <c r="DB46" s="344"/>
      <c r="DC46" s="344"/>
      <c r="DD46" s="344"/>
      <c r="DE46" s="344"/>
      <c r="DF46" s="344"/>
      <c r="DG46" s="344"/>
      <c r="DH46" s="344"/>
      <c r="DI46" s="344"/>
      <c r="DJ46" s="344"/>
      <c r="DK46" s="344"/>
      <c r="DL46" s="344"/>
      <c r="DM46" s="344"/>
      <c r="DN46" s="344"/>
      <c r="DO46" s="344"/>
      <c r="DP46" s="344"/>
      <c r="DQ46" s="344"/>
      <c r="DR46" s="344"/>
      <c r="DS46" s="344"/>
      <c r="DT46" s="344"/>
      <c r="DU46" s="344"/>
      <c r="DV46" s="344"/>
      <c r="DW46" s="344"/>
      <c r="DX46" s="344"/>
      <c r="DY46" s="344"/>
      <c r="DZ46" s="344"/>
      <c r="EA46" s="344"/>
      <c r="EB46" s="344"/>
      <c r="EC46" s="344"/>
      <c r="ED46" s="344"/>
      <c r="EE46" s="344"/>
      <c r="EF46" s="344"/>
      <c r="EG46" s="344"/>
      <c r="EH46" s="344"/>
      <c r="EI46" s="344"/>
      <c r="EJ46" s="344"/>
      <c r="EK46" s="344"/>
      <c r="EL46" s="344"/>
      <c r="EM46" s="344"/>
      <c r="EN46" s="344"/>
      <c r="EO46" s="344"/>
      <c r="EP46" s="344"/>
      <c r="EQ46" s="344"/>
      <c r="ER46" s="344"/>
      <c r="ES46" s="344"/>
      <c r="ET46" s="344"/>
      <c r="EU46" s="344"/>
      <c r="EV46" s="344"/>
      <c r="EW46" s="344"/>
      <c r="EX46" s="344"/>
      <c r="EY46" s="344"/>
      <c r="EZ46" s="344"/>
      <c r="FA46" s="344"/>
      <c r="FB46" s="344"/>
      <c r="FC46" s="344"/>
      <c r="FD46" s="344"/>
      <c r="FE46" s="344"/>
      <c r="FF46" s="344"/>
      <c r="FG46" s="344"/>
      <c r="FH46" s="344"/>
      <c r="FI46" s="45"/>
      <c r="FJ46" s="45"/>
      <c r="FK46" s="45"/>
      <c r="FL46" s="45"/>
      <c r="FM46" s="45"/>
      <c r="FN46" s="45"/>
      <c r="FO46" s="45"/>
      <c r="FP46" s="45"/>
      <c r="FQ46" s="45"/>
      <c r="FR46" s="45"/>
      <c r="FS46" s="45"/>
      <c r="FT46" s="45"/>
      <c r="FU46" s="45"/>
      <c r="FV46" s="45"/>
      <c r="FW46" s="45"/>
      <c r="FX46" s="45"/>
      <c r="FY46" s="45"/>
      <c r="FZ46" s="45"/>
      <c r="GA46" s="45"/>
      <c r="GB46" s="45"/>
      <c r="GC46" s="45"/>
      <c r="GD46" s="45"/>
      <c r="GE46" s="45"/>
      <c r="GF46" s="45"/>
      <c r="GG46" s="45"/>
      <c r="GH46" s="45"/>
      <c r="GI46" s="61"/>
    </row>
    <row r="47" spans="1:191" ht="12.6" customHeight="1" x14ac:dyDescent="0.3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55"/>
      <c r="CY47" s="344"/>
      <c r="CZ47" s="344"/>
      <c r="DA47" s="344"/>
      <c r="DB47" s="344"/>
      <c r="DC47" s="344"/>
      <c r="DD47" s="344"/>
      <c r="DE47" s="344"/>
      <c r="DF47" s="344"/>
      <c r="DG47" s="344"/>
      <c r="DH47" s="344"/>
      <c r="DI47" s="344"/>
      <c r="DJ47" s="344"/>
      <c r="DK47" s="344"/>
      <c r="DL47" s="344"/>
      <c r="DM47" s="344"/>
      <c r="DN47" s="344"/>
      <c r="DO47" s="344"/>
      <c r="DP47" s="344"/>
      <c r="DQ47" s="344"/>
      <c r="DR47" s="344"/>
      <c r="DS47" s="344"/>
      <c r="DT47" s="344"/>
      <c r="DU47" s="344"/>
      <c r="DV47" s="344"/>
      <c r="DW47" s="344"/>
      <c r="DX47" s="344"/>
      <c r="DY47" s="344"/>
      <c r="DZ47" s="344"/>
      <c r="EA47" s="344"/>
      <c r="EB47" s="344"/>
      <c r="EC47" s="344"/>
      <c r="ED47" s="344"/>
      <c r="EE47" s="344"/>
      <c r="EF47" s="344"/>
      <c r="EG47" s="344"/>
      <c r="EH47" s="344"/>
      <c r="EI47" s="344"/>
      <c r="EJ47" s="344"/>
      <c r="EK47" s="344"/>
      <c r="EL47" s="344"/>
      <c r="EM47" s="344"/>
      <c r="EN47" s="344"/>
      <c r="EO47" s="344"/>
      <c r="EP47" s="344"/>
      <c r="EQ47" s="344"/>
      <c r="ER47" s="344"/>
      <c r="ES47" s="344"/>
      <c r="ET47" s="344"/>
      <c r="EU47" s="344"/>
      <c r="EV47" s="344"/>
      <c r="EW47" s="344"/>
      <c r="EX47" s="344"/>
      <c r="EY47" s="344"/>
      <c r="EZ47" s="344"/>
      <c r="FA47" s="344"/>
      <c r="FB47" s="344"/>
      <c r="FC47" s="344"/>
      <c r="FD47" s="344"/>
      <c r="FE47" s="344"/>
      <c r="FF47" s="344"/>
      <c r="FG47" s="344"/>
      <c r="FH47" s="344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2"/>
    </row>
    <row r="48" spans="1:191" x14ac:dyDescent="0.3">
      <c r="A48" s="72" t="s">
        <v>128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349" t="s">
        <v>129</v>
      </c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40"/>
      <c r="BA48" s="40"/>
      <c r="BB48" s="350"/>
      <c r="BC48" s="350"/>
      <c r="BD48" s="350"/>
      <c r="BE48" s="350"/>
      <c r="BF48" s="350"/>
      <c r="BG48" s="350"/>
      <c r="BH48" s="350"/>
      <c r="BI48" s="350"/>
      <c r="BJ48" s="350"/>
      <c r="BK48" s="350"/>
      <c r="BL48" s="350"/>
      <c r="BM48" s="350"/>
      <c r="BN48" s="350"/>
      <c r="BO48" s="350"/>
      <c r="BP48" s="40"/>
      <c r="BQ48" s="40"/>
      <c r="BR48" s="349" t="s">
        <v>130</v>
      </c>
      <c r="BS48" s="349"/>
      <c r="BT48" s="349"/>
      <c r="BU48" s="349"/>
      <c r="BV48" s="349"/>
      <c r="BW48" s="349"/>
      <c r="BX48" s="349"/>
      <c r="BY48" s="349"/>
      <c r="BZ48" s="349"/>
      <c r="CA48" s="349"/>
      <c r="CB48" s="349"/>
      <c r="CC48" s="349"/>
      <c r="CD48" s="349"/>
      <c r="CE48" s="349"/>
      <c r="CF48" s="349"/>
      <c r="CG48" s="349"/>
      <c r="CH48" s="349"/>
      <c r="CI48" s="349"/>
      <c r="CJ48" s="349"/>
      <c r="CK48" s="349"/>
      <c r="CL48" s="349"/>
      <c r="CM48" s="349"/>
      <c r="CN48" s="349"/>
      <c r="CO48" s="349"/>
      <c r="CP48" s="349"/>
      <c r="CQ48" s="349"/>
      <c r="CR48" s="40"/>
      <c r="CS48" s="40"/>
      <c r="CT48" s="40"/>
      <c r="CU48" s="40"/>
      <c r="CV48" s="40"/>
      <c r="CW48" s="40"/>
      <c r="CX48" s="73"/>
      <c r="CY48" s="363"/>
      <c r="CZ48" s="363"/>
      <c r="DA48" s="363"/>
      <c r="DB48" s="363"/>
      <c r="DC48" s="363"/>
      <c r="DD48" s="363"/>
      <c r="DE48" s="363"/>
      <c r="DF48" s="363"/>
      <c r="DG48" s="363"/>
      <c r="DH48" s="363"/>
      <c r="DI48" s="363"/>
      <c r="DJ48" s="363"/>
      <c r="DK48" s="363"/>
      <c r="DL48" s="363"/>
      <c r="DM48" s="363"/>
      <c r="DN48" s="363"/>
      <c r="DO48" s="363"/>
      <c r="DP48" s="363"/>
      <c r="DQ48" s="363"/>
      <c r="DR48" s="363"/>
      <c r="DS48" s="363"/>
      <c r="DT48" s="363"/>
      <c r="DU48" s="363"/>
      <c r="DV48" s="363"/>
      <c r="DW48" s="363"/>
      <c r="DX48" s="363"/>
      <c r="DY48" s="363"/>
      <c r="DZ48" s="363"/>
      <c r="EA48" s="363"/>
      <c r="EB48" s="363"/>
      <c r="EC48" s="363"/>
      <c r="ED48" s="363"/>
      <c r="EE48" s="363"/>
      <c r="EF48" s="363"/>
      <c r="EG48" s="363"/>
      <c r="EH48" s="363"/>
      <c r="EI48" s="363"/>
      <c r="EJ48" s="363"/>
      <c r="EK48" s="363"/>
      <c r="EL48" s="363"/>
      <c r="EM48" s="363"/>
      <c r="EN48" s="363"/>
      <c r="EO48" s="363"/>
      <c r="EP48" s="363"/>
      <c r="EQ48" s="363"/>
      <c r="ER48" s="363"/>
      <c r="ES48" s="363"/>
      <c r="ET48" s="363"/>
      <c r="EU48" s="363"/>
      <c r="EV48" s="363"/>
      <c r="EW48" s="363"/>
      <c r="EX48" s="363"/>
      <c r="EY48" s="363"/>
      <c r="EZ48" s="363"/>
      <c r="FA48" s="363"/>
      <c r="FB48" s="363"/>
      <c r="FC48" s="363"/>
      <c r="FD48" s="363"/>
      <c r="FE48" s="363"/>
      <c r="FF48" s="363"/>
      <c r="FG48" s="363"/>
      <c r="FH48" s="363"/>
      <c r="FI48" s="363"/>
      <c r="FJ48" s="363"/>
      <c r="FK48" s="363"/>
      <c r="FL48" s="363"/>
      <c r="FM48" s="363"/>
      <c r="FN48" s="363"/>
      <c r="FO48" s="363"/>
      <c r="FP48" s="363"/>
      <c r="FQ48" s="363"/>
      <c r="FR48" s="363"/>
      <c r="FS48" s="363"/>
      <c r="FT48" s="363"/>
      <c r="FU48" s="363"/>
      <c r="FV48" s="363"/>
      <c r="FW48" s="363"/>
      <c r="FX48" s="363"/>
      <c r="FY48" s="363"/>
      <c r="FZ48" s="363"/>
      <c r="GA48" s="363"/>
      <c r="GB48" s="363"/>
      <c r="GC48" s="363"/>
      <c r="GD48" s="363"/>
      <c r="GE48" s="363"/>
      <c r="GF48" s="40"/>
      <c r="GG48" s="40"/>
      <c r="GH48" s="40"/>
      <c r="GI48" s="42"/>
    </row>
    <row r="49" spans="1:191" s="33" customFormat="1" ht="7.2" customHeight="1" x14ac:dyDescent="0.3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234" t="s">
        <v>121</v>
      </c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4"/>
      <c r="AT49" s="234"/>
      <c r="AU49" s="234"/>
      <c r="AV49" s="234"/>
      <c r="AW49" s="234"/>
      <c r="AX49" s="234"/>
      <c r="AY49" s="234"/>
      <c r="AZ49" s="49"/>
      <c r="BA49" s="49"/>
      <c r="BB49" s="234" t="s">
        <v>122</v>
      </c>
      <c r="BC49" s="234"/>
      <c r="BD49" s="234"/>
      <c r="BE49" s="234"/>
      <c r="BF49" s="234"/>
      <c r="BG49" s="234"/>
      <c r="BH49" s="234"/>
      <c r="BI49" s="234"/>
      <c r="BJ49" s="234"/>
      <c r="BK49" s="234"/>
      <c r="BL49" s="234"/>
      <c r="BM49" s="234"/>
      <c r="BN49" s="234"/>
      <c r="BO49" s="234"/>
      <c r="BP49" s="70"/>
      <c r="BQ49" s="70"/>
      <c r="BR49" s="234" t="s">
        <v>126</v>
      </c>
      <c r="BS49" s="234"/>
      <c r="BT49" s="234"/>
      <c r="BU49" s="234"/>
      <c r="BV49" s="234"/>
      <c r="BW49" s="234"/>
      <c r="BX49" s="234"/>
      <c r="BY49" s="234"/>
      <c r="BZ49" s="234"/>
      <c r="CA49" s="234"/>
      <c r="CB49" s="234"/>
      <c r="CC49" s="234"/>
      <c r="CD49" s="234"/>
      <c r="CE49" s="234"/>
      <c r="CF49" s="234"/>
      <c r="CG49" s="234"/>
      <c r="CH49" s="234"/>
      <c r="CI49" s="234"/>
      <c r="CJ49" s="234"/>
      <c r="CK49" s="234"/>
      <c r="CL49" s="234"/>
      <c r="CM49" s="234"/>
      <c r="CN49" s="234"/>
      <c r="CO49" s="234"/>
      <c r="CP49" s="234"/>
      <c r="CQ49" s="234"/>
      <c r="CR49" s="49"/>
      <c r="CS49" s="49"/>
      <c r="CT49" s="49"/>
      <c r="CU49" s="49"/>
      <c r="CV49" s="49"/>
      <c r="CW49" s="49"/>
      <c r="CX49" s="74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 s="49"/>
      <c r="DQ49" s="49"/>
      <c r="DR49" s="49"/>
      <c r="DS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75"/>
    </row>
    <row r="50" spans="1:191" x14ac:dyDescent="0.3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76" t="s">
        <v>131</v>
      </c>
      <c r="AT50" s="41"/>
      <c r="AU50" s="41"/>
      <c r="AV50" s="41"/>
      <c r="AW50" s="41"/>
      <c r="AX50" s="41"/>
      <c r="AY50" s="41"/>
      <c r="AZ50" s="41"/>
      <c r="BA50" s="41"/>
      <c r="BB50" s="41"/>
      <c r="BC50" s="41" t="s">
        <v>132</v>
      </c>
      <c r="BD50" s="41"/>
      <c r="BE50" s="359" t="str">
        <f>FM7</f>
        <v>28</v>
      </c>
      <c r="BF50" s="349"/>
      <c r="BG50" s="349"/>
      <c r="BH50" s="349"/>
      <c r="BI50" s="349"/>
      <c r="BJ50" s="57" t="s">
        <v>109</v>
      </c>
      <c r="BK50" s="57"/>
      <c r="BL50" s="57"/>
      <c r="BM50" s="349" t="str">
        <f>VLOOKUP(FS7,$GJ$112:$GK$123,2,FALSE)</f>
        <v>мая</v>
      </c>
      <c r="BN50" s="349"/>
      <c r="BO50" s="349"/>
      <c r="BP50" s="349"/>
      <c r="BQ50" s="349"/>
      <c r="BR50" s="349"/>
      <c r="BS50" s="349"/>
      <c r="BT50" s="349"/>
      <c r="BU50" s="349"/>
      <c r="BV50" s="349"/>
      <c r="BW50" s="349"/>
      <c r="BX50" s="349"/>
      <c r="BY50" s="349"/>
      <c r="BZ50" s="349"/>
      <c r="CA50" s="349"/>
      <c r="CB50" s="349"/>
      <c r="CC50" s="349"/>
      <c r="CD50" s="349"/>
      <c r="CE50" s="56"/>
      <c r="CF50" s="56"/>
      <c r="CG50" s="360" t="str">
        <f>FZ7</f>
        <v>2023</v>
      </c>
      <c r="CH50" s="361"/>
      <c r="CI50" s="361"/>
      <c r="CJ50" s="361"/>
      <c r="CK50" s="361"/>
      <c r="CL50" s="361"/>
      <c r="CM50" s="361"/>
      <c r="CN50" s="56"/>
      <c r="CO50" s="41" t="s">
        <v>133</v>
      </c>
      <c r="CP50" s="77"/>
      <c r="CQ50" s="40"/>
      <c r="CR50" s="40"/>
      <c r="CS50" s="40"/>
      <c r="CT50" s="40"/>
      <c r="CU50" s="40"/>
      <c r="CV50" s="40"/>
      <c r="CW50" s="40"/>
      <c r="CX50" s="55"/>
      <c r="CY50" s="41" t="s">
        <v>134</v>
      </c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362"/>
      <c r="EE50" s="362"/>
      <c r="EF50" s="362"/>
      <c r="EG50" s="362"/>
      <c r="EH50" s="362"/>
      <c r="EI50" s="362"/>
      <c r="EJ50" s="362"/>
      <c r="EK50" s="362"/>
      <c r="EL50" s="362"/>
      <c r="EM50" s="362"/>
      <c r="EN50" s="362"/>
      <c r="EO50" s="362"/>
      <c r="EP50" s="362"/>
      <c r="EQ50" s="362"/>
      <c r="ER50" s="362"/>
      <c r="ES50" s="362"/>
      <c r="ET50" s="40"/>
      <c r="EU50" s="40"/>
      <c r="EV50" s="362"/>
      <c r="EW50" s="362"/>
      <c r="EX50" s="362"/>
      <c r="EY50" s="362"/>
      <c r="EZ50" s="362"/>
      <c r="FA50" s="362"/>
      <c r="FB50" s="362"/>
      <c r="FC50" s="362"/>
      <c r="FD50" s="362"/>
      <c r="FE50" s="362"/>
      <c r="FF50" s="362"/>
      <c r="FG50" s="40"/>
      <c r="FH50" s="40"/>
      <c r="FI50" s="362"/>
      <c r="FJ50" s="362"/>
      <c r="FK50" s="362"/>
      <c r="FL50" s="362"/>
      <c r="FM50" s="362"/>
      <c r="FN50" s="362"/>
      <c r="FO50" s="362"/>
      <c r="FP50" s="362"/>
      <c r="FQ50" s="362"/>
      <c r="FR50" s="362"/>
      <c r="FS50" s="362"/>
      <c r="FT50" s="362"/>
      <c r="FU50" s="362"/>
      <c r="FV50" s="362"/>
      <c r="FW50" s="362"/>
      <c r="FX50" s="362"/>
      <c r="FY50" s="362"/>
      <c r="FZ50" s="362"/>
      <c r="GA50" s="362"/>
      <c r="GB50" s="362"/>
      <c r="GC50" s="362"/>
      <c r="GD50" s="362"/>
      <c r="GE50" s="362"/>
      <c r="GF50" s="40"/>
      <c r="GG50" s="40"/>
      <c r="GH50" s="40"/>
      <c r="GI50" s="42"/>
    </row>
    <row r="51" spans="1:191" ht="7.2" customHeight="1" x14ac:dyDescent="0.3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1"/>
      <c r="CS51" s="41"/>
      <c r="CT51" s="40"/>
      <c r="CU51" s="40"/>
      <c r="CV51" s="40"/>
      <c r="CW51" s="40"/>
      <c r="CX51" s="55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316" t="s">
        <v>121</v>
      </c>
      <c r="EE51" s="316"/>
      <c r="EF51" s="316"/>
      <c r="EG51" s="316"/>
      <c r="EH51" s="316"/>
      <c r="EI51" s="316"/>
      <c r="EJ51" s="316"/>
      <c r="EK51" s="316"/>
      <c r="EL51" s="316"/>
      <c r="EM51" s="316"/>
      <c r="EN51" s="316"/>
      <c r="EO51" s="316"/>
      <c r="EP51" s="316"/>
      <c r="EQ51" s="316"/>
      <c r="ER51" s="316"/>
      <c r="ES51" s="316"/>
      <c r="ET51" s="40"/>
      <c r="EU51" s="40"/>
      <c r="EV51" s="316" t="s">
        <v>122</v>
      </c>
      <c r="EW51" s="316"/>
      <c r="EX51" s="316"/>
      <c r="EY51" s="316"/>
      <c r="EZ51" s="316"/>
      <c r="FA51" s="316"/>
      <c r="FB51" s="316"/>
      <c r="FC51" s="316"/>
      <c r="FD51" s="316"/>
      <c r="FE51" s="316"/>
      <c r="FF51" s="316"/>
      <c r="FG51" s="40"/>
      <c r="FH51" s="40"/>
      <c r="FI51" s="316" t="s">
        <v>126</v>
      </c>
      <c r="FJ51" s="316"/>
      <c r="FK51" s="316"/>
      <c r="FL51" s="316"/>
      <c r="FM51" s="316"/>
      <c r="FN51" s="316"/>
      <c r="FO51" s="316"/>
      <c r="FP51" s="316"/>
      <c r="FQ51" s="316"/>
      <c r="FR51" s="316"/>
      <c r="FS51" s="316"/>
      <c r="FT51" s="316"/>
      <c r="FU51" s="316"/>
      <c r="FV51" s="316"/>
      <c r="FW51" s="316"/>
      <c r="FX51" s="316"/>
      <c r="FY51" s="316"/>
      <c r="FZ51" s="316"/>
      <c r="GA51" s="316"/>
      <c r="GB51" s="316"/>
      <c r="GC51" s="316"/>
      <c r="GD51" s="316"/>
      <c r="GE51" s="316"/>
      <c r="GF51" s="40"/>
      <c r="GG51" s="40"/>
      <c r="GH51" s="40"/>
      <c r="GI51" s="42"/>
    </row>
    <row r="52" spans="1:191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</row>
    <row r="53" spans="1:191" ht="15" thickBot="1" x14ac:dyDescent="0.35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372" t="s">
        <v>135</v>
      </c>
      <c r="BY53" s="372"/>
      <c r="BZ53" s="372"/>
      <c r="CA53" s="372"/>
      <c r="CB53" s="372"/>
      <c r="CC53" s="372"/>
      <c r="CD53" s="372"/>
      <c r="CE53" s="372"/>
      <c r="CF53" s="372"/>
      <c r="CG53" s="372"/>
      <c r="CH53" s="372"/>
      <c r="CI53" s="372"/>
      <c r="CJ53" s="372"/>
      <c r="CK53" s="372"/>
      <c r="CL53" s="372"/>
      <c r="CM53" s="372"/>
      <c r="CN53" s="372"/>
      <c r="CO53" s="372"/>
      <c r="CP53" s="372"/>
      <c r="CQ53" s="372"/>
      <c r="CR53" s="372"/>
      <c r="CS53" s="372"/>
      <c r="CT53" s="372"/>
      <c r="CU53" s="372"/>
      <c r="CV53" s="372"/>
      <c r="CW53" s="372"/>
      <c r="CX53" s="372"/>
      <c r="CY53" s="372"/>
      <c r="CZ53" s="372"/>
      <c r="DA53" s="372"/>
      <c r="DB53" s="372"/>
      <c r="DC53" s="372"/>
      <c r="DD53" s="372"/>
      <c r="DE53" s="78"/>
      <c r="DF53" s="78"/>
      <c r="DG53" s="78"/>
      <c r="DH53" s="78"/>
      <c r="DI53" s="78"/>
      <c r="DJ53" s="78"/>
      <c r="DK53" s="78"/>
      <c r="DL53" s="78"/>
      <c r="DM53" s="78"/>
      <c r="DN53" s="78"/>
      <c r="DO53" s="78"/>
      <c r="DP53" s="78"/>
      <c r="DQ53" s="78"/>
      <c r="DR53" s="78"/>
      <c r="DS53" s="78"/>
      <c r="DT53" s="78"/>
      <c r="DU53" s="78"/>
      <c r="DV53" s="78"/>
      <c r="DW53" s="78"/>
      <c r="DX53" s="78"/>
      <c r="DY53" s="78"/>
      <c r="DZ53" s="78"/>
      <c r="EA53" s="78"/>
      <c r="EB53" s="78"/>
      <c r="EC53" s="78"/>
      <c r="ED53" s="78"/>
      <c r="EE53" s="78"/>
      <c r="EF53" s="78"/>
      <c r="EG53" s="78"/>
      <c r="EH53" s="78"/>
      <c r="EI53" s="78"/>
      <c r="EJ53" s="78"/>
      <c r="EK53" s="78"/>
      <c r="EL53" s="78"/>
      <c r="EM53" s="78"/>
      <c r="EN53" s="78"/>
      <c r="EO53" s="78"/>
      <c r="EP53" s="78"/>
      <c r="EQ53" s="78"/>
      <c r="ER53" s="78"/>
      <c r="ES53" s="78"/>
      <c r="ET53" s="79"/>
      <c r="EU53" s="79"/>
      <c r="EV53" s="79"/>
      <c r="EW53" s="79"/>
      <c r="EX53" s="79"/>
      <c r="EY53" s="79"/>
      <c r="EZ53" s="79"/>
      <c r="FA53" s="79"/>
      <c r="FB53" s="79"/>
      <c r="FC53" s="79"/>
      <c r="FD53" s="79"/>
      <c r="FE53" s="79"/>
      <c r="FF53" s="79"/>
      <c r="FG53" s="79"/>
      <c r="FH53" s="79"/>
      <c r="FI53" s="79"/>
      <c r="FJ53" s="79"/>
      <c r="FK53" s="79"/>
      <c r="FL53" s="79"/>
      <c r="FM53" s="79"/>
      <c r="FN53" s="79"/>
      <c r="FO53" s="79"/>
      <c r="FP53" s="79"/>
      <c r="FQ53" s="79"/>
      <c r="FR53" s="79"/>
      <c r="FS53" s="79"/>
      <c r="FT53" s="79"/>
      <c r="FU53" s="79"/>
      <c r="FV53" s="79"/>
      <c r="FW53" s="79"/>
      <c r="FX53" s="79"/>
      <c r="FY53" s="79"/>
      <c r="FZ53" s="79"/>
      <c r="GA53" s="79"/>
      <c r="GB53" s="79"/>
      <c r="GC53" s="79"/>
      <c r="GD53" s="79"/>
      <c r="GE53" s="79"/>
      <c r="GF53" s="79"/>
      <c r="GG53" s="79" t="s">
        <v>136</v>
      </c>
      <c r="GH53" s="79"/>
      <c r="GI53" s="42"/>
    </row>
    <row r="54" spans="1:191" ht="9.6" customHeight="1" x14ac:dyDescent="0.3">
      <c r="A54" s="367" t="s">
        <v>137</v>
      </c>
      <c r="B54" s="367"/>
      <c r="C54" s="367"/>
      <c r="D54" s="367"/>
      <c r="E54" s="367"/>
      <c r="F54" s="367"/>
      <c r="G54" s="367"/>
      <c r="H54" s="367"/>
      <c r="I54" s="367"/>
      <c r="J54" s="367"/>
      <c r="K54" s="367"/>
      <c r="L54" s="367"/>
      <c r="M54" s="367"/>
      <c r="N54" s="367"/>
      <c r="O54" s="367"/>
      <c r="P54" s="367"/>
      <c r="Q54" s="367"/>
      <c r="R54" s="367"/>
      <c r="S54" s="367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373"/>
      <c r="AE54" s="373"/>
      <c r="AF54" s="373"/>
      <c r="AG54" s="373"/>
      <c r="AH54" s="78"/>
      <c r="AI54" s="78" t="s">
        <v>138</v>
      </c>
      <c r="AJ54" s="78"/>
      <c r="AK54" s="78"/>
      <c r="AL54" s="78"/>
      <c r="AM54" s="78"/>
      <c r="AN54" s="78"/>
      <c r="AO54" s="78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78"/>
      <c r="BE54" s="78" t="s">
        <v>56</v>
      </c>
      <c r="BF54" s="78"/>
      <c r="BG54" s="78"/>
      <c r="BH54" s="78"/>
      <c r="BI54" s="373"/>
      <c r="BJ54" s="373"/>
      <c r="BK54" s="373"/>
      <c r="BL54" s="373"/>
      <c r="BM54" s="373"/>
      <c r="BN54" s="373"/>
      <c r="BO54" s="373"/>
      <c r="BP54" s="373"/>
      <c r="BQ54" s="373"/>
      <c r="BR54" s="373"/>
      <c r="BS54" s="373"/>
      <c r="BT54" s="373"/>
      <c r="BU54" s="373"/>
      <c r="BV54" s="373"/>
      <c r="BW54" s="78"/>
      <c r="BX54" s="372"/>
      <c r="BY54" s="372"/>
      <c r="BZ54" s="372"/>
      <c r="CA54" s="372"/>
      <c r="CB54" s="372"/>
      <c r="CC54" s="372"/>
      <c r="CD54" s="372"/>
      <c r="CE54" s="372"/>
      <c r="CF54" s="372"/>
      <c r="CG54" s="372"/>
      <c r="CH54" s="372"/>
      <c r="CI54" s="372"/>
      <c r="CJ54" s="372"/>
      <c r="CK54" s="372"/>
      <c r="CL54" s="372"/>
      <c r="CM54" s="372"/>
      <c r="CN54" s="372"/>
      <c r="CO54" s="372"/>
      <c r="CP54" s="372"/>
      <c r="CQ54" s="372"/>
      <c r="CR54" s="372"/>
      <c r="CS54" s="372"/>
      <c r="CT54" s="372"/>
      <c r="CU54" s="372"/>
      <c r="CV54" s="372"/>
      <c r="CW54" s="372"/>
      <c r="CX54" s="372"/>
      <c r="CY54" s="372"/>
      <c r="CZ54" s="372"/>
      <c r="DA54" s="372"/>
      <c r="DB54" s="372"/>
      <c r="DC54" s="372"/>
      <c r="DD54" s="372"/>
      <c r="DE54" s="78"/>
      <c r="DF54" s="78"/>
      <c r="DG54" s="78"/>
      <c r="DH54" s="78"/>
      <c r="DI54" s="78"/>
      <c r="DJ54" s="78"/>
      <c r="DK54" s="78"/>
      <c r="DL54" s="78"/>
      <c r="DM54" s="78"/>
      <c r="DN54" s="78"/>
      <c r="DO54" s="78"/>
      <c r="DP54" s="78"/>
      <c r="DQ54" s="78"/>
      <c r="DR54" s="78"/>
      <c r="DS54" s="78"/>
      <c r="DT54" s="78"/>
      <c r="DU54" s="78"/>
      <c r="DV54" s="78"/>
      <c r="DW54" s="78"/>
      <c r="DX54" s="78"/>
      <c r="DY54" s="78"/>
      <c r="DZ54" s="78"/>
      <c r="EA54" s="78"/>
      <c r="EB54" s="78"/>
      <c r="EC54" s="78"/>
      <c r="ED54" s="78"/>
      <c r="EE54" s="78"/>
      <c r="EF54" s="78"/>
      <c r="EG54" s="78"/>
      <c r="EH54" s="78"/>
      <c r="EI54" s="78"/>
      <c r="EJ54" s="78"/>
      <c r="EK54" s="78"/>
      <c r="EL54" s="78"/>
      <c r="EM54" s="78"/>
      <c r="EN54" s="78"/>
      <c r="EO54" s="78"/>
      <c r="EP54" s="78"/>
      <c r="EQ54" s="78"/>
      <c r="ER54" s="78"/>
      <c r="ES54" s="79"/>
      <c r="ET54" s="79"/>
      <c r="EU54" s="79"/>
      <c r="EV54" s="79"/>
      <c r="EW54" s="79"/>
      <c r="EX54" s="79"/>
      <c r="EY54" s="79"/>
      <c r="EZ54" s="79"/>
      <c r="FA54" s="79"/>
      <c r="FB54" s="79"/>
      <c r="FC54" s="79"/>
      <c r="FD54" s="79"/>
      <c r="FE54" s="79"/>
      <c r="FF54" s="79"/>
      <c r="FG54" s="79"/>
      <c r="FH54" s="79"/>
      <c r="FI54" s="79"/>
      <c r="FJ54" s="79"/>
      <c r="FK54" s="79"/>
      <c r="FL54" s="79"/>
      <c r="FM54" s="79"/>
      <c r="FN54" s="79"/>
      <c r="FO54" s="79"/>
      <c r="FP54" s="374" t="str">
        <f>FM6</f>
        <v>1034</v>
      </c>
      <c r="FQ54" s="375"/>
      <c r="FR54" s="375"/>
      <c r="FS54" s="375"/>
      <c r="FT54" s="375"/>
      <c r="FU54" s="375"/>
      <c r="FV54" s="375"/>
      <c r="FW54" s="375"/>
      <c r="FX54" s="375"/>
      <c r="FY54" s="375"/>
      <c r="FZ54" s="375"/>
      <c r="GA54" s="375"/>
      <c r="GB54" s="375"/>
      <c r="GC54" s="375"/>
      <c r="GD54" s="375"/>
      <c r="GE54" s="375"/>
      <c r="GF54" s="375"/>
      <c r="GG54" s="375"/>
      <c r="GH54" s="376"/>
      <c r="GI54" s="42"/>
    </row>
    <row r="55" spans="1:191" ht="12.6" customHeight="1" x14ac:dyDescent="0.3">
      <c r="A55" s="78" t="s">
        <v>139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 t="s">
        <v>132</v>
      </c>
      <c r="W55" s="78"/>
      <c r="X55" s="373"/>
      <c r="Y55" s="373"/>
      <c r="Z55" s="373"/>
      <c r="AA55" s="373"/>
      <c r="AB55" s="78" t="s">
        <v>109</v>
      </c>
      <c r="AC55" s="78"/>
      <c r="AD55" s="364" t="s">
        <v>140</v>
      </c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80"/>
      <c r="AV55" s="81"/>
      <c r="AW55" s="365" t="str">
        <f>FZ7</f>
        <v>2023</v>
      </c>
      <c r="AX55" s="366"/>
      <c r="AY55" s="366"/>
      <c r="AZ55" s="366"/>
      <c r="BA55" s="366"/>
      <c r="BB55" s="366"/>
      <c r="BC55" s="366"/>
      <c r="BD55" s="78" t="s">
        <v>110</v>
      </c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  <c r="CY55" s="78"/>
      <c r="CZ55" s="78"/>
      <c r="DA55" s="78"/>
      <c r="DB55" s="78"/>
      <c r="DC55" s="78"/>
      <c r="DD55" s="78"/>
      <c r="DE55" s="78"/>
      <c r="DF55" s="78"/>
      <c r="DG55" s="78"/>
      <c r="DH55" s="78"/>
      <c r="DI55" s="78"/>
      <c r="DJ55" s="78"/>
      <c r="DK55" s="78"/>
      <c r="DL55" s="78"/>
      <c r="DM55" s="78"/>
      <c r="DN55" s="78"/>
      <c r="DO55" s="78"/>
      <c r="DP55" s="78"/>
      <c r="DQ55" s="78"/>
      <c r="DR55" s="78"/>
      <c r="DS55" s="78"/>
      <c r="DT55" s="78"/>
      <c r="DU55" s="78"/>
      <c r="DV55" s="78"/>
      <c r="DW55" s="78"/>
      <c r="DX55" s="78"/>
      <c r="DY55" s="78"/>
      <c r="DZ55" s="78"/>
      <c r="EA55" s="78"/>
      <c r="EB55" s="78"/>
      <c r="EC55" s="78"/>
      <c r="ED55" s="78"/>
      <c r="EE55" s="78"/>
      <c r="EF55" s="78"/>
      <c r="EG55" s="78"/>
      <c r="EH55" s="78"/>
      <c r="EI55" s="78"/>
      <c r="EJ55" s="78"/>
      <c r="EK55" s="78"/>
      <c r="EL55" s="78"/>
      <c r="EM55" s="78"/>
      <c r="EN55" s="78"/>
      <c r="EO55" s="78"/>
      <c r="EP55" s="78"/>
      <c r="EQ55" s="78"/>
      <c r="ER55" s="78"/>
      <c r="ES55" s="78"/>
      <c r="ET55" s="78"/>
      <c r="EU55" s="78"/>
      <c r="EV55" s="78"/>
      <c r="EW55" s="78"/>
      <c r="EX55" s="78"/>
      <c r="EY55" s="78"/>
      <c r="EZ55" s="78"/>
      <c r="FA55" s="78"/>
      <c r="FB55" s="78"/>
      <c r="FC55" s="78"/>
      <c r="FD55" s="78"/>
      <c r="FE55" s="78"/>
      <c r="FF55" s="78"/>
      <c r="FG55" s="78"/>
      <c r="FH55" s="78"/>
      <c r="FI55" s="78"/>
      <c r="FJ55" s="78"/>
      <c r="FK55" s="78"/>
      <c r="FL55" s="78"/>
      <c r="FM55" s="78"/>
      <c r="FN55" s="82" t="s">
        <v>141</v>
      </c>
      <c r="FO55" s="78"/>
      <c r="FP55" s="377"/>
      <c r="FQ55" s="378"/>
      <c r="FR55" s="378"/>
      <c r="FS55" s="378"/>
      <c r="FT55" s="378"/>
      <c r="FU55" s="378"/>
      <c r="FV55" s="378"/>
      <c r="FW55" s="378"/>
      <c r="FX55" s="378"/>
      <c r="FY55" s="378"/>
      <c r="FZ55" s="378"/>
      <c r="GA55" s="378"/>
      <c r="GB55" s="378"/>
      <c r="GC55" s="378"/>
      <c r="GD55" s="378"/>
      <c r="GE55" s="378"/>
      <c r="GF55" s="378"/>
      <c r="GG55" s="378"/>
      <c r="GH55" s="379"/>
      <c r="GI55" s="42"/>
    </row>
    <row r="56" spans="1:191" ht="9.6" customHeight="1" x14ac:dyDescent="0.3">
      <c r="A56" s="367" t="s">
        <v>142</v>
      </c>
      <c r="B56" s="367"/>
      <c r="C56" s="367"/>
      <c r="D56" s="367"/>
      <c r="E56" s="367"/>
      <c r="F56" s="367"/>
      <c r="G56" s="367"/>
      <c r="H56" s="367"/>
      <c r="I56" s="367"/>
      <c r="J56" s="367"/>
      <c r="K56" s="367"/>
      <c r="L56" s="367"/>
      <c r="M56" s="367"/>
      <c r="N56" s="368" t="s">
        <v>44</v>
      </c>
      <c r="O56" s="368"/>
      <c r="P56" s="368"/>
      <c r="Q56" s="368"/>
      <c r="R56" s="368"/>
      <c r="S56" s="368"/>
      <c r="T56" s="368"/>
      <c r="U56" s="368"/>
      <c r="V56" s="368"/>
      <c r="W56" s="368"/>
      <c r="X56" s="368"/>
      <c r="Y56" s="368"/>
      <c r="Z56" s="368"/>
      <c r="AA56" s="368"/>
      <c r="AB56" s="368"/>
      <c r="AC56" s="368"/>
      <c r="AD56" s="368"/>
      <c r="AE56" s="368"/>
      <c r="AF56" s="368"/>
      <c r="AG56" s="368"/>
      <c r="AH56" s="368"/>
      <c r="AI56" s="368"/>
      <c r="AJ56" s="368"/>
      <c r="AK56" s="368"/>
      <c r="AL56" s="368"/>
      <c r="AM56" s="368"/>
      <c r="AN56" s="368"/>
      <c r="AO56" s="368"/>
      <c r="AP56" s="368"/>
      <c r="AQ56" s="368"/>
      <c r="AR56" s="368"/>
      <c r="AS56" s="368"/>
      <c r="AT56" s="368"/>
      <c r="AU56" s="368"/>
      <c r="AV56" s="368"/>
      <c r="AW56" s="368"/>
      <c r="AX56" s="368"/>
      <c r="AY56" s="368"/>
      <c r="AZ56" s="368"/>
      <c r="BA56" s="368"/>
      <c r="BB56" s="368"/>
      <c r="BC56" s="368"/>
      <c r="BD56" s="368"/>
      <c r="BE56" s="368"/>
      <c r="BF56" s="368"/>
      <c r="BG56" s="368"/>
      <c r="BH56" s="368"/>
      <c r="BI56" s="368"/>
      <c r="BJ56" s="368"/>
      <c r="BK56" s="368"/>
      <c r="BL56" s="368"/>
      <c r="BM56" s="368"/>
      <c r="BN56" s="368"/>
      <c r="BO56" s="368"/>
      <c r="BP56" s="368"/>
      <c r="BQ56" s="368"/>
      <c r="BR56" s="368"/>
      <c r="BS56" s="368"/>
      <c r="BT56" s="368"/>
      <c r="BU56" s="368"/>
      <c r="BV56" s="368"/>
      <c r="BW56" s="368"/>
      <c r="BX56" s="368"/>
      <c r="BY56" s="368"/>
      <c r="BZ56" s="368"/>
      <c r="CA56" s="368"/>
      <c r="CB56" s="78"/>
      <c r="CC56" s="370" t="s">
        <v>143</v>
      </c>
      <c r="CD56" s="370"/>
      <c r="CE56" s="370"/>
      <c r="CF56" s="370"/>
      <c r="CG56" s="370"/>
      <c r="CH56" s="370"/>
      <c r="CI56" s="370"/>
      <c r="CJ56" s="370"/>
      <c r="CK56" s="370"/>
      <c r="CL56" s="370"/>
      <c r="CM56" s="370"/>
      <c r="CN56" s="370"/>
      <c r="CO56" s="368" t="s">
        <v>144</v>
      </c>
      <c r="CP56" s="368"/>
      <c r="CQ56" s="368"/>
      <c r="CR56" s="368"/>
      <c r="CS56" s="368"/>
      <c r="CT56" s="368"/>
      <c r="CU56" s="368"/>
      <c r="CV56" s="368"/>
      <c r="CW56" s="368"/>
      <c r="CX56" s="368"/>
      <c r="CY56" s="368"/>
      <c r="CZ56" s="368"/>
      <c r="DA56" s="368"/>
      <c r="DB56" s="368"/>
      <c r="DC56" s="368"/>
      <c r="DD56" s="368"/>
      <c r="DE56" s="368"/>
      <c r="DF56" s="368"/>
      <c r="DG56" s="368"/>
      <c r="DH56" s="368"/>
      <c r="DI56" s="368"/>
      <c r="DJ56" s="368"/>
      <c r="DK56" s="368"/>
      <c r="DL56" s="380" t="s">
        <v>145</v>
      </c>
      <c r="DM56" s="380"/>
      <c r="DN56" s="380"/>
      <c r="DO56" s="380"/>
      <c r="DP56" s="380"/>
      <c r="DQ56" s="380"/>
      <c r="DR56" s="380"/>
      <c r="DS56" s="380"/>
      <c r="DT56" s="380"/>
      <c r="DU56" s="380"/>
      <c r="DV56" s="380"/>
      <c r="DW56" s="380"/>
      <c r="DX56" s="380"/>
      <c r="DY56" s="380"/>
      <c r="DZ56" s="380"/>
      <c r="EA56" s="380"/>
      <c r="EB56" s="380"/>
      <c r="EC56" s="380"/>
      <c r="ED56" s="380"/>
      <c r="EE56" s="380"/>
      <c r="EF56" s="380"/>
      <c r="EG56" s="380"/>
      <c r="EH56" s="380"/>
      <c r="EI56" s="380"/>
      <c r="EJ56" s="380"/>
      <c r="EK56" s="63"/>
      <c r="EL56" s="83"/>
      <c r="EM56" s="83"/>
      <c r="EN56" s="368" t="s">
        <v>146</v>
      </c>
      <c r="EO56" s="368"/>
      <c r="EP56" s="368"/>
      <c r="EQ56" s="368"/>
      <c r="ER56" s="368"/>
      <c r="ES56" s="368"/>
      <c r="ET56" s="368"/>
      <c r="EU56" s="368"/>
      <c r="EV56" s="368"/>
      <c r="EW56" s="368"/>
      <c r="EX56" s="368"/>
      <c r="EY56" s="368"/>
      <c r="EZ56" s="368"/>
      <c r="FA56" s="368"/>
      <c r="FB56" s="381" t="s">
        <v>147</v>
      </c>
      <c r="FC56" s="381"/>
      <c r="FD56" s="381"/>
      <c r="FE56" s="381"/>
      <c r="FF56" s="381"/>
      <c r="FG56" s="381"/>
      <c r="FH56" s="381"/>
      <c r="FI56" s="381"/>
      <c r="FJ56" s="381"/>
      <c r="FK56" s="381"/>
      <c r="FL56" s="381"/>
      <c r="FM56" s="381"/>
      <c r="FN56" s="381"/>
      <c r="FO56" s="78"/>
      <c r="FP56" s="382" t="s">
        <v>290</v>
      </c>
      <c r="FQ56" s="383"/>
      <c r="FR56" s="383"/>
      <c r="FS56" s="383"/>
      <c r="FT56" s="383"/>
      <c r="FU56" s="383"/>
      <c r="FV56" s="383"/>
      <c r="FW56" s="383"/>
      <c r="FX56" s="383"/>
      <c r="FY56" s="383"/>
      <c r="FZ56" s="383"/>
      <c r="GA56" s="383"/>
      <c r="GB56" s="383"/>
      <c r="GC56" s="383"/>
      <c r="GD56" s="383"/>
      <c r="GE56" s="383"/>
      <c r="GF56" s="383"/>
      <c r="GG56" s="383"/>
      <c r="GH56" s="384"/>
      <c r="GI56" s="42"/>
    </row>
    <row r="57" spans="1:191" ht="6.6" customHeight="1" x14ac:dyDescent="0.3">
      <c r="A57" s="367"/>
      <c r="B57" s="367"/>
      <c r="C57" s="367"/>
      <c r="D57" s="367"/>
      <c r="E57" s="367"/>
      <c r="F57" s="367"/>
      <c r="G57" s="367"/>
      <c r="H57" s="367"/>
      <c r="I57" s="367"/>
      <c r="J57" s="367"/>
      <c r="K57" s="367"/>
      <c r="L57" s="367"/>
      <c r="M57" s="367"/>
      <c r="N57" s="369"/>
      <c r="O57" s="369"/>
      <c r="P57" s="369"/>
      <c r="Q57" s="369"/>
      <c r="R57" s="369"/>
      <c r="S57" s="369"/>
      <c r="T57" s="369"/>
      <c r="U57" s="369"/>
      <c r="V57" s="369"/>
      <c r="W57" s="369"/>
      <c r="X57" s="369"/>
      <c r="Y57" s="369"/>
      <c r="Z57" s="369"/>
      <c r="AA57" s="369"/>
      <c r="AB57" s="369"/>
      <c r="AC57" s="369"/>
      <c r="AD57" s="369"/>
      <c r="AE57" s="369"/>
      <c r="AF57" s="369"/>
      <c r="AG57" s="369"/>
      <c r="AH57" s="369"/>
      <c r="AI57" s="369"/>
      <c r="AJ57" s="369"/>
      <c r="AK57" s="369"/>
      <c r="AL57" s="369"/>
      <c r="AM57" s="369"/>
      <c r="AN57" s="369"/>
      <c r="AO57" s="369"/>
      <c r="AP57" s="369"/>
      <c r="AQ57" s="369"/>
      <c r="AR57" s="369"/>
      <c r="AS57" s="369"/>
      <c r="AT57" s="369"/>
      <c r="AU57" s="369"/>
      <c r="AV57" s="369"/>
      <c r="AW57" s="369"/>
      <c r="AX57" s="369"/>
      <c r="AY57" s="369"/>
      <c r="AZ57" s="369"/>
      <c r="BA57" s="369"/>
      <c r="BB57" s="369"/>
      <c r="BC57" s="369"/>
      <c r="BD57" s="369"/>
      <c r="BE57" s="369"/>
      <c r="BF57" s="369"/>
      <c r="BG57" s="369"/>
      <c r="BH57" s="369"/>
      <c r="BI57" s="369"/>
      <c r="BJ57" s="369"/>
      <c r="BK57" s="369"/>
      <c r="BL57" s="369"/>
      <c r="BM57" s="369"/>
      <c r="BN57" s="369"/>
      <c r="BO57" s="369"/>
      <c r="BP57" s="369"/>
      <c r="BQ57" s="369"/>
      <c r="BR57" s="369"/>
      <c r="BS57" s="369"/>
      <c r="BT57" s="369"/>
      <c r="BU57" s="369"/>
      <c r="BV57" s="369"/>
      <c r="BW57" s="369"/>
      <c r="BX57" s="369"/>
      <c r="BY57" s="369"/>
      <c r="BZ57" s="369"/>
      <c r="CA57" s="369"/>
      <c r="CB57" s="78"/>
      <c r="CC57" s="370"/>
      <c r="CD57" s="370"/>
      <c r="CE57" s="370"/>
      <c r="CF57" s="370"/>
      <c r="CG57" s="370"/>
      <c r="CH57" s="370"/>
      <c r="CI57" s="370"/>
      <c r="CJ57" s="370"/>
      <c r="CK57" s="370"/>
      <c r="CL57" s="370"/>
      <c r="CM57" s="370"/>
      <c r="CN57" s="370"/>
      <c r="CO57" s="371"/>
      <c r="CP57" s="371"/>
      <c r="CQ57" s="371"/>
      <c r="CR57" s="371"/>
      <c r="CS57" s="371"/>
      <c r="CT57" s="371"/>
      <c r="CU57" s="371"/>
      <c r="CV57" s="371"/>
      <c r="CW57" s="371"/>
      <c r="CX57" s="371"/>
      <c r="CY57" s="371"/>
      <c r="CZ57" s="371"/>
      <c r="DA57" s="371"/>
      <c r="DB57" s="371"/>
      <c r="DC57" s="371"/>
      <c r="DD57" s="371"/>
      <c r="DE57" s="371"/>
      <c r="DF57" s="371"/>
      <c r="DG57" s="371"/>
      <c r="DH57" s="371"/>
      <c r="DI57" s="371"/>
      <c r="DJ57" s="371"/>
      <c r="DK57" s="371"/>
      <c r="DL57" s="380"/>
      <c r="DM57" s="380"/>
      <c r="DN57" s="380"/>
      <c r="DO57" s="380"/>
      <c r="DP57" s="380"/>
      <c r="DQ57" s="380"/>
      <c r="DR57" s="380"/>
      <c r="DS57" s="380"/>
      <c r="DT57" s="380"/>
      <c r="DU57" s="380"/>
      <c r="DV57" s="380"/>
      <c r="DW57" s="380"/>
      <c r="DX57" s="380"/>
      <c r="DY57" s="380"/>
      <c r="DZ57" s="380"/>
      <c r="EA57" s="380"/>
      <c r="EB57" s="380"/>
      <c r="EC57" s="380"/>
      <c r="ED57" s="380"/>
      <c r="EE57" s="380"/>
      <c r="EF57" s="380"/>
      <c r="EG57" s="380"/>
      <c r="EH57" s="380"/>
      <c r="EI57" s="380"/>
      <c r="EJ57" s="380"/>
      <c r="EK57" s="63"/>
      <c r="EL57" s="83"/>
      <c r="EM57" s="84"/>
      <c r="EN57" s="369"/>
      <c r="EO57" s="369"/>
      <c r="EP57" s="369"/>
      <c r="EQ57" s="369"/>
      <c r="ER57" s="369"/>
      <c r="ES57" s="369"/>
      <c r="ET57" s="369"/>
      <c r="EU57" s="369"/>
      <c r="EV57" s="369"/>
      <c r="EW57" s="369"/>
      <c r="EX57" s="369"/>
      <c r="EY57" s="369"/>
      <c r="EZ57" s="369"/>
      <c r="FA57" s="369"/>
      <c r="FB57" s="388" t="s">
        <v>148</v>
      </c>
      <c r="FC57" s="388"/>
      <c r="FD57" s="388"/>
      <c r="FE57" s="388"/>
      <c r="FF57" s="388"/>
      <c r="FG57" s="388"/>
      <c r="FH57" s="388"/>
      <c r="FI57" s="388"/>
      <c r="FJ57" s="388"/>
      <c r="FK57" s="388"/>
      <c r="FL57" s="388"/>
      <c r="FM57" s="388"/>
      <c r="FN57" s="388"/>
      <c r="FO57" s="78"/>
      <c r="FP57" s="385"/>
      <c r="FQ57" s="386"/>
      <c r="FR57" s="386"/>
      <c r="FS57" s="386"/>
      <c r="FT57" s="386"/>
      <c r="FU57" s="386"/>
      <c r="FV57" s="386"/>
      <c r="FW57" s="386"/>
      <c r="FX57" s="386"/>
      <c r="FY57" s="386"/>
      <c r="FZ57" s="386"/>
      <c r="GA57" s="386"/>
      <c r="GB57" s="386"/>
      <c r="GC57" s="386"/>
      <c r="GD57" s="386"/>
      <c r="GE57" s="386"/>
      <c r="GF57" s="386"/>
      <c r="GG57" s="386"/>
      <c r="GH57" s="387"/>
      <c r="GI57" s="42"/>
    </row>
    <row r="58" spans="1:191" ht="7.95" customHeight="1" x14ac:dyDescent="0.3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389" t="s">
        <v>149</v>
      </c>
      <c r="O58" s="389"/>
      <c r="P58" s="389"/>
      <c r="Q58" s="389"/>
      <c r="R58" s="389"/>
      <c r="S58" s="389"/>
      <c r="T58" s="389"/>
      <c r="U58" s="389"/>
      <c r="V58" s="389"/>
      <c r="W58" s="389"/>
      <c r="X58" s="389"/>
      <c r="Y58" s="389"/>
      <c r="Z58" s="389"/>
      <c r="AA58" s="389"/>
      <c r="AB58" s="389"/>
      <c r="AC58" s="389"/>
      <c r="AD58" s="389"/>
      <c r="AE58" s="389"/>
      <c r="AF58" s="389"/>
      <c r="AG58" s="389"/>
      <c r="AH58" s="389"/>
      <c r="AI58" s="389"/>
      <c r="AJ58" s="389"/>
      <c r="AK58" s="389"/>
      <c r="AL58" s="389"/>
      <c r="AM58" s="389"/>
      <c r="AN58" s="389"/>
      <c r="AO58" s="389"/>
      <c r="AP58" s="389"/>
      <c r="AQ58" s="389"/>
      <c r="AR58" s="389"/>
      <c r="AS58" s="389"/>
      <c r="AT58" s="389"/>
      <c r="AU58" s="389"/>
      <c r="AV58" s="389"/>
      <c r="AW58" s="389"/>
      <c r="AX58" s="389"/>
      <c r="AY58" s="389"/>
      <c r="AZ58" s="389"/>
      <c r="BA58" s="389"/>
      <c r="BB58" s="389"/>
      <c r="BC58" s="389"/>
      <c r="BD58" s="389"/>
      <c r="BE58" s="389"/>
      <c r="BF58" s="389"/>
      <c r="BG58" s="389"/>
      <c r="BH58" s="389"/>
      <c r="BI58" s="389"/>
      <c r="BJ58" s="389"/>
      <c r="BK58" s="389"/>
      <c r="BL58" s="389"/>
      <c r="BM58" s="389"/>
      <c r="BN58" s="389"/>
      <c r="BO58" s="389"/>
      <c r="BP58" s="389"/>
      <c r="BQ58" s="389"/>
      <c r="BR58" s="389"/>
      <c r="BS58" s="389"/>
      <c r="BT58" s="389"/>
      <c r="BU58" s="389"/>
      <c r="BV58" s="389"/>
      <c r="BW58" s="389"/>
      <c r="BX58" s="389"/>
      <c r="BY58" s="389"/>
      <c r="BZ58" s="389"/>
      <c r="CA58" s="389"/>
      <c r="CB58" s="86"/>
      <c r="CC58" s="86"/>
      <c r="CD58" s="86"/>
      <c r="CE58" s="86"/>
      <c r="CF58" s="86"/>
      <c r="CG58" s="86"/>
      <c r="CH58" s="87"/>
      <c r="CI58" s="87"/>
      <c r="CJ58" s="87"/>
      <c r="CK58" s="87"/>
      <c r="CL58" s="87"/>
      <c r="CM58" s="87"/>
      <c r="CN58" s="85"/>
      <c r="CO58" s="390" t="s">
        <v>150</v>
      </c>
      <c r="CP58" s="390"/>
      <c r="CQ58" s="390"/>
      <c r="CR58" s="390"/>
      <c r="CS58" s="390"/>
      <c r="CT58" s="390"/>
      <c r="CU58" s="390"/>
      <c r="CV58" s="390"/>
      <c r="CW58" s="390"/>
      <c r="CX58" s="390"/>
      <c r="CY58" s="390"/>
      <c r="CZ58" s="390"/>
      <c r="DA58" s="390"/>
      <c r="DB58" s="390"/>
      <c r="DC58" s="390"/>
      <c r="DD58" s="390"/>
      <c r="DE58" s="390"/>
      <c r="DF58" s="390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5"/>
      <c r="DU58" s="89"/>
      <c r="DV58" s="89"/>
      <c r="DW58" s="89"/>
      <c r="DX58" s="89"/>
      <c r="DY58" s="89"/>
      <c r="DZ58" s="89"/>
      <c r="EA58" s="89"/>
      <c r="EB58" s="89"/>
      <c r="EC58" s="89"/>
      <c r="ED58" s="89"/>
      <c r="EE58" s="89"/>
      <c r="EF58" s="89"/>
      <c r="EG58" s="89"/>
      <c r="EH58" s="89"/>
      <c r="EI58" s="89"/>
      <c r="EJ58" s="89"/>
      <c r="EK58" s="89"/>
      <c r="EL58" s="89"/>
      <c r="EM58" s="89"/>
      <c r="EN58" s="89"/>
      <c r="EO58" s="89"/>
      <c r="EP58" s="89"/>
      <c r="EQ58" s="89"/>
      <c r="ER58" s="89"/>
      <c r="ES58" s="89"/>
      <c r="ET58" s="89"/>
      <c r="EU58" s="89"/>
      <c r="EV58" s="89"/>
      <c r="EW58" s="89"/>
      <c r="EX58" s="85"/>
      <c r="EY58" s="85"/>
      <c r="EZ58" s="85"/>
      <c r="FA58" s="85"/>
      <c r="FB58" s="388"/>
      <c r="FC58" s="388"/>
      <c r="FD58" s="388"/>
      <c r="FE58" s="388"/>
      <c r="FF58" s="388"/>
      <c r="FG58" s="388"/>
      <c r="FH58" s="388"/>
      <c r="FI58" s="388"/>
      <c r="FJ58" s="388"/>
      <c r="FK58" s="388"/>
      <c r="FL58" s="388"/>
      <c r="FM58" s="388"/>
      <c r="FN58" s="388"/>
      <c r="FO58" s="85"/>
      <c r="FP58" s="391"/>
      <c r="FQ58" s="392"/>
      <c r="FR58" s="392"/>
      <c r="FS58" s="392"/>
      <c r="FT58" s="392"/>
      <c r="FU58" s="392"/>
      <c r="FV58" s="392"/>
      <c r="FW58" s="392"/>
      <c r="FX58" s="392"/>
      <c r="FY58" s="392"/>
      <c r="FZ58" s="392"/>
      <c r="GA58" s="392"/>
      <c r="GB58" s="392"/>
      <c r="GC58" s="392"/>
      <c r="GD58" s="392"/>
      <c r="GE58" s="392"/>
      <c r="GF58" s="392"/>
      <c r="GG58" s="392"/>
      <c r="GH58" s="393"/>
      <c r="GI58" s="42"/>
    </row>
    <row r="59" spans="1:191" x14ac:dyDescent="0.3">
      <c r="A59" s="78" t="s">
        <v>151</v>
      </c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214" t="str">
        <f>P9</f>
        <v>ООО "СтройПроектСервис" 664014, г. Иркутск, ул. Леси Украинки, д. 35-101, ОГРН: 1073812008643, ИНН: 3812100526, телефон: +73952486001, , тел.: +73952486001</v>
      </c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E59" s="214"/>
      <c r="FF59" s="214"/>
      <c r="FG59" s="214"/>
      <c r="FH59" s="214"/>
      <c r="FI59" s="214"/>
      <c r="FJ59" s="214"/>
      <c r="FK59" s="214"/>
      <c r="FL59" s="214"/>
      <c r="FM59" s="214"/>
      <c r="FN59" s="78"/>
      <c r="FO59" s="90"/>
      <c r="FP59" s="394"/>
      <c r="FQ59" s="373"/>
      <c r="FR59" s="373"/>
      <c r="FS59" s="373"/>
      <c r="FT59" s="373"/>
      <c r="FU59" s="373"/>
      <c r="FV59" s="373"/>
      <c r="FW59" s="373"/>
      <c r="FX59" s="373"/>
      <c r="FY59" s="373"/>
      <c r="FZ59" s="373"/>
      <c r="GA59" s="373"/>
      <c r="GB59" s="373"/>
      <c r="GC59" s="373"/>
      <c r="GD59" s="373"/>
      <c r="GE59" s="373"/>
      <c r="GF59" s="373"/>
      <c r="GG59" s="373"/>
      <c r="GH59" s="395"/>
      <c r="GI59" s="42"/>
    </row>
    <row r="60" spans="1:191" ht="7.2" customHeight="1" x14ac:dyDescent="0.3">
      <c r="A60" s="78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398" t="s">
        <v>152</v>
      </c>
      <c r="Y60" s="398"/>
      <c r="Z60" s="398"/>
      <c r="AA60" s="398"/>
      <c r="AB60" s="398"/>
      <c r="AC60" s="398"/>
      <c r="AD60" s="398"/>
      <c r="AE60" s="398"/>
      <c r="AF60" s="398"/>
      <c r="AG60" s="39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  <c r="AR60" s="398"/>
      <c r="AS60" s="398"/>
      <c r="AT60" s="398"/>
      <c r="AU60" s="398"/>
      <c r="AV60" s="398"/>
      <c r="AW60" s="398"/>
      <c r="AX60" s="398"/>
      <c r="AY60" s="398"/>
      <c r="AZ60" s="398"/>
      <c r="BA60" s="398"/>
      <c r="BB60" s="398"/>
      <c r="BC60" s="398"/>
      <c r="BD60" s="398"/>
      <c r="BE60" s="398"/>
      <c r="BF60" s="398"/>
      <c r="BG60" s="398"/>
      <c r="BH60" s="398"/>
      <c r="BI60" s="398"/>
      <c r="BJ60" s="398"/>
      <c r="BK60" s="398"/>
      <c r="BL60" s="398"/>
      <c r="BM60" s="398"/>
      <c r="BN60" s="398"/>
      <c r="BO60" s="398"/>
      <c r="BP60" s="398"/>
      <c r="BQ60" s="398"/>
      <c r="BR60" s="398"/>
      <c r="BS60" s="398"/>
      <c r="BT60" s="398"/>
      <c r="BU60" s="398"/>
      <c r="BV60" s="398"/>
      <c r="BW60" s="398"/>
      <c r="BX60" s="398"/>
      <c r="BY60" s="398"/>
      <c r="BZ60" s="398"/>
      <c r="CA60" s="398"/>
      <c r="CB60" s="398"/>
      <c r="CC60" s="398"/>
      <c r="CD60" s="398"/>
      <c r="CE60" s="398"/>
      <c r="CF60" s="398"/>
      <c r="CG60" s="398"/>
      <c r="CH60" s="398"/>
      <c r="CI60" s="398"/>
      <c r="CJ60" s="398"/>
      <c r="CK60" s="398"/>
      <c r="CL60" s="398"/>
      <c r="CM60" s="398"/>
      <c r="CN60" s="398"/>
      <c r="CO60" s="398"/>
      <c r="CP60" s="398"/>
      <c r="CQ60" s="398"/>
      <c r="CR60" s="398"/>
      <c r="CS60" s="398"/>
      <c r="CT60" s="398"/>
      <c r="CU60" s="398"/>
      <c r="CV60" s="398"/>
      <c r="CW60" s="398"/>
      <c r="CX60" s="398"/>
      <c r="CY60" s="398"/>
      <c r="CZ60" s="398"/>
      <c r="DA60" s="398"/>
      <c r="DB60" s="398"/>
      <c r="DC60" s="398"/>
      <c r="DD60" s="398"/>
      <c r="DE60" s="398"/>
      <c r="DF60" s="398"/>
      <c r="DG60" s="398"/>
      <c r="DH60" s="398"/>
      <c r="DI60" s="398"/>
      <c r="DJ60" s="398"/>
      <c r="DK60" s="398"/>
      <c r="DL60" s="398"/>
      <c r="DM60" s="398"/>
      <c r="DN60" s="398"/>
      <c r="DO60" s="398"/>
      <c r="DP60" s="398"/>
      <c r="DQ60" s="398"/>
      <c r="DR60" s="398"/>
      <c r="DS60" s="398"/>
      <c r="DT60" s="398"/>
      <c r="DU60" s="398"/>
      <c r="DV60" s="398"/>
      <c r="DW60" s="398"/>
      <c r="DX60" s="398"/>
      <c r="DY60" s="398"/>
      <c r="DZ60" s="398"/>
      <c r="EA60" s="398"/>
      <c r="EB60" s="398"/>
      <c r="EC60" s="398"/>
      <c r="ED60" s="398"/>
      <c r="EE60" s="398"/>
      <c r="EF60" s="398"/>
      <c r="EG60" s="398"/>
      <c r="EH60" s="398"/>
      <c r="EI60" s="398"/>
      <c r="EJ60" s="398"/>
      <c r="EK60" s="398"/>
      <c r="EL60" s="398"/>
      <c r="EM60" s="398"/>
      <c r="EN60" s="398"/>
      <c r="EO60" s="398"/>
      <c r="EP60" s="398"/>
      <c r="EQ60" s="398"/>
      <c r="ER60" s="398"/>
      <c r="ES60" s="398"/>
      <c r="ET60" s="398"/>
      <c r="EU60" s="398"/>
      <c r="EV60" s="398"/>
      <c r="EW60" s="398"/>
      <c r="EX60" s="398"/>
      <c r="EY60" s="398"/>
      <c r="EZ60" s="398"/>
      <c r="FA60" s="398"/>
      <c r="FB60" s="398"/>
      <c r="FC60" s="398"/>
      <c r="FD60" s="398"/>
      <c r="FE60" s="398"/>
      <c r="FF60" s="398"/>
      <c r="FG60" s="398"/>
      <c r="FH60" s="398"/>
      <c r="FI60" s="398"/>
      <c r="FJ60" s="398"/>
      <c r="FK60" s="398"/>
      <c r="FL60" s="398"/>
      <c r="FM60" s="398"/>
      <c r="FN60" s="78"/>
      <c r="FO60" s="78"/>
      <c r="FP60" s="399"/>
      <c r="FQ60" s="400"/>
      <c r="FR60" s="400"/>
      <c r="FS60" s="400"/>
      <c r="FT60" s="400"/>
      <c r="FU60" s="400"/>
      <c r="FV60" s="400"/>
      <c r="FW60" s="400"/>
      <c r="FX60" s="400"/>
      <c r="FY60" s="400"/>
      <c r="FZ60" s="400"/>
      <c r="GA60" s="400"/>
      <c r="GB60" s="400"/>
      <c r="GC60" s="400"/>
      <c r="GD60" s="400"/>
      <c r="GE60" s="400"/>
      <c r="GF60" s="400"/>
      <c r="GG60" s="400"/>
      <c r="GH60" s="401"/>
      <c r="GI60" s="42"/>
    </row>
    <row r="61" spans="1:191" ht="10.199999999999999" customHeight="1" x14ac:dyDescent="0.3">
      <c r="A61" s="78" t="s">
        <v>153</v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402" t="s">
        <v>118</v>
      </c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  <c r="AA61" s="402"/>
      <c r="AB61" s="402"/>
      <c r="AC61" s="402"/>
      <c r="AD61" s="402"/>
      <c r="AE61" s="402"/>
      <c r="AF61" s="402"/>
      <c r="AG61" s="402"/>
      <c r="AH61" s="402"/>
      <c r="AI61" s="402"/>
      <c r="AJ61" s="402"/>
      <c r="AK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BC61" s="402"/>
      <c r="BD61" s="402"/>
      <c r="BE61" s="402"/>
      <c r="BF61" s="402"/>
      <c r="BG61" s="402"/>
      <c r="BH61" s="402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2"/>
      <c r="BT61" s="402"/>
      <c r="BU61" s="402"/>
      <c r="BV61" s="402"/>
      <c r="BW61" s="402"/>
      <c r="BX61" s="402"/>
      <c r="BY61" s="402"/>
      <c r="BZ61" s="402"/>
      <c r="CA61" s="50"/>
      <c r="CB61" s="50"/>
      <c r="CC61" s="91" t="s">
        <v>154</v>
      </c>
      <c r="CD61" s="78"/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403" t="s">
        <v>155</v>
      </c>
      <c r="CV61" s="403"/>
      <c r="CW61" s="403"/>
      <c r="CX61" s="403"/>
      <c r="CY61" s="403"/>
      <c r="CZ61" s="403"/>
      <c r="DA61" s="403"/>
      <c r="DB61" s="403"/>
      <c r="DC61" s="403"/>
      <c r="DD61" s="403"/>
      <c r="DE61" s="403"/>
      <c r="DF61" s="403"/>
      <c r="DG61" s="403"/>
      <c r="DH61" s="403"/>
      <c r="DI61" s="403"/>
      <c r="DJ61" s="403"/>
      <c r="DK61" s="403"/>
      <c r="DL61" s="403"/>
      <c r="DM61" s="403"/>
      <c r="DN61" s="403"/>
      <c r="DO61" s="403"/>
      <c r="DP61" s="403"/>
      <c r="DQ61" s="403"/>
      <c r="DR61" s="403"/>
      <c r="DS61" s="403"/>
      <c r="DT61" s="403"/>
      <c r="DU61" s="403"/>
      <c r="DV61" s="403"/>
      <c r="DW61" s="403"/>
      <c r="DX61" s="403"/>
      <c r="DY61" s="403"/>
      <c r="DZ61" s="403"/>
      <c r="EA61" s="403"/>
      <c r="EB61" s="403"/>
      <c r="EC61" s="403"/>
      <c r="ED61" s="403"/>
      <c r="EE61" s="403"/>
      <c r="EF61" s="403"/>
      <c r="EG61" s="403"/>
      <c r="EH61" s="403"/>
      <c r="EI61" s="403"/>
      <c r="EJ61" s="403"/>
      <c r="EK61" s="403"/>
      <c r="EL61" s="403"/>
      <c r="EM61" s="403"/>
      <c r="EN61" s="403"/>
      <c r="EO61" s="403"/>
      <c r="EP61" s="403"/>
      <c r="EQ61" s="403"/>
      <c r="ER61" s="403"/>
      <c r="ES61" s="403"/>
      <c r="ET61" s="403"/>
      <c r="EU61" s="403"/>
      <c r="EV61" s="403"/>
      <c r="EW61" s="403"/>
      <c r="EX61" s="403"/>
      <c r="EY61" s="403"/>
      <c r="EZ61" s="403"/>
      <c r="FA61" s="403"/>
      <c r="FB61" s="92"/>
      <c r="FC61" s="92"/>
      <c r="FD61" s="92"/>
      <c r="FE61" s="92"/>
      <c r="FF61" s="92"/>
      <c r="FG61" s="92"/>
      <c r="FH61" s="92"/>
      <c r="FI61" s="92"/>
      <c r="FJ61" s="92"/>
      <c r="FK61" s="92"/>
      <c r="FL61" s="78"/>
      <c r="FM61" s="78"/>
      <c r="FN61" s="78"/>
      <c r="FO61" s="78"/>
      <c r="FP61" s="391"/>
      <c r="FQ61" s="392"/>
      <c r="FR61" s="392"/>
      <c r="FS61" s="392"/>
      <c r="FT61" s="392"/>
      <c r="FU61" s="392"/>
      <c r="FV61" s="392"/>
      <c r="FW61" s="392"/>
      <c r="FX61" s="392"/>
      <c r="FY61" s="392"/>
      <c r="FZ61" s="392"/>
      <c r="GA61" s="392"/>
      <c r="GB61" s="392"/>
      <c r="GC61" s="392"/>
      <c r="GD61" s="392"/>
      <c r="GE61" s="392"/>
      <c r="GF61" s="392"/>
      <c r="GG61" s="392"/>
      <c r="GH61" s="393"/>
      <c r="GI61" s="42"/>
    </row>
    <row r="62" spans="1:191" ht="9" customHeight="1" x14ac:dyDescent="0.3">
      <c r="A62" s="78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404" t="s">
        <v>156</v>
      </c>
      <c r="M62" s="404"/>
      <c r="N62" s="404"/>
      <c r="O62" s="404"/>
      <c r="P62" s="404"/>
      <c r="Q62" s="404"/>
      <c r="R62" s="404"/>
      <c r="S62" s="404"/>
      <c r="T62" s="404"/>
      <c r="U62" s="404"/>
      <c r="V62" s="404"/>
      <c r="W62" s="404"/>
      <c r="X62" s="404"/>
      <c r="Y62" s="404"/>
      <c r="Z62" s="404"/>
      <c r="AA62" s="404"/>
      <c r="AB62" s="404"/>
      <c r="AC62" s="404"/>
      <c r="AD62" s="404"/>
      <c r="AE62" s="404"/>
      <c r="AF62" s="404"/>
      <c r="AG62" s="404"/>
      <c r="AH62" s="404"/>
      <c r="AI62" s="404"/>
      <c r="AJ62" s="404"/>
      <c r="AK62" s="404"/>
      <c r="AL62" s="404"/>
      <c r="AM62" s="404"/>
      <c r="AN62" s="404"/>
      <c r="AO62" s="404"/>
      <c r="AP62" s="404"/>
      <c r="AQ62" s="404"/>
      <c r="AR62" s="404"/>
      <c r="AS62" s="404"/>
      <c r="AT62" s="404"/>
      <c r="AU62" s="404"/>
      <c r="AV62" s="404"/>
      <c r="AW62" s="404"/>
      <c r="AX62" s="404"/>
      <c r="AY62" s="404"/>
      <c r="AZ62" s="404"/>
      <c r="BA62" s="404"/>
      <c r="BB62" s="404"/>
      <c r="BC62" s="404"/>
      <c r="BD62" s="404"/>
      <c r="BE62" s="404"/>
      <c r="BF62" s="404"/>
      <c r="BG62" s="404"/>
      <c r="BH62" s="404"/>
      <c r="BI62" s="404"/>
      <c r="BJ62" s="404"/>
      <c r="BK62" s="404"/>
      <c r="BL62" s="404"/>
      <c r="BM62" s="404"/>
      <c r="BN62" s="404"/>
      <c r="BO62" s="404"/>
      <c r="BP62" s="404"/>
      <c r="BQ62" s="404"/>
      <c r="BR62" s="404"/>
      <c r="BS62" s="404"/>
      <c r="BT62" s="404"/>
      <c r="BU62" s="404"/>
      <c r="BV62" s="404"/>
      <c r="BW62" s="404"/>
      <c r="BX62" s="404"/>
      <c r="BY62" s="404"/>
      <c r="BZ62" s="404"/>
      <c r="CA62" s="88"/>
      <c r="CB62" s="88"/>
      <c r="CC62" s="78"/>
      <c r="CD62" s="78"/>
      <c r="CE62" s="78"/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8"/>
      <c r="CV62" s="78"/>
      <c r="CW62" s="78"/>
      <c r="CX62" s="78"/>
      <c r="CY62" s="78"/>
      <c r="CZ62" s="78"/>
      <c r="DA62" s="78"/>
      <c r="DB62" s="78"/>
      <c r="DC62" s="78"/>
      <c r="DD62" s="78"/>
      <c r="DE62" s="78"/>
      <c r="DF62" s="78"/>
      <c r="DG62" s="78"/>
      <c r="DH62" s="78"/>
      <c r="DI62" s="78"/>
      <c r="DJ62" s="78"/>
      <c r="DK62" s="78"/>
      <c r="DL62" s="78"/>
      <c r="DM62" s="78"/>
      <c r="DN62" s="78"/>
      <c r="DO62" s="78"/>
      <c r="DP62" s="78"/>
      <c r="DQ62" s="78"/>
      <c r="DR62" s="78"/>
      <c r="DS62" s="78"/>
      <c r="DT62" s="78"/>
      <c r="DU62" s="78"/>
      <c r="DV62" s="78"/>
      <c r="DW62" s="78"/>
      <c r="DX62" s="78"/>
      <c r="DY62" s="78"/>
      <c r="DZ62" s="78"/>
      <c r="EA62" s="78"/>
      <c r="EB62" s="78"/>
      <c r="EC62" s="78"/>
      <c r="ED62" s="78"/>
      <c r="EE62" s="78"/>
      <c r="EF62" s="78"/>
      <c r="EG62" s="78"/>
      <c r="EH62" s="78"/>
      <c r="EI62" s="78"/>
      <c r="EJ62" s="78"/>
      <c r="EK62" s="78"/>
      <c r="EL62" s="78"/>
      <c r="EM62" s="78"/>
      <c r="EN62" s="78"/>
      <c r="EO62" s="78"/>
      <c r="EP62" s="78"/>
      <c r="EQ62" s="78"/>
      <c r="ER62" s="78"/>
      <c r="ES62" s="78"/>
      <c r="ET62" s="78"/>
      <c r="EU62" s="78"/>
      <c r="EV62" s="78"/>
      <c r="EW62" s="78"/>
      <c r="EX62" s="78"/>
      <c r="EY62" s="78"/>
      <c r="EZ62" s="78"/>
      <c r="FA62" s="78"/>
      <c r="FB62" s="78"/>
      <c r="FC62" s="78"/>
      <c r="FD62" s="78"/>
      <c r="FE62" s="78"/>
      <c r="FF62" s="78"/>
      <c r="FG62" s="78"/>
      <c r="FH62" s="78"/>
      <c r="FI62" s="78"/>
      <c r="FJ62" s="78"/>
      <c r="FK62" s="78"/>
      <c r="FL62" s="78"/>
      <c r="FM62" s="78"/>
      <c r="FN62" s="78"/>
      <c r="FO62" s="78"/>
      <c r="FP62" s="391"/>
      <c r="FQ62" s="392"/>
      <c r="FR62" s="392"/>
      <c r="FS62" s="392"/>
      <c r="FT62" s="392"/>
      <c r="FU62" s="392"/>
      <c r="FV62" s="392"/>
      <c r="FW62" s="392"/>
      <c r="FX62" s="392"/>
      <c r="FY62" s="392"/>
      <c r="FZ62" s="392"/>
      <c r="GA62" s="392"/>
      <c r="GB62" s="392"/>
      <c r="GC62" s="392"/>
      <c r="GD62" s="392"/>
      <c r="GE62" s="392"/>
      <c r="GF62" s="392"/>
      <c r="GG62" s="392"/>
      <c r="GH62" s="393"/>
      <c r="GI62" s="42"/>
    </row>
    <row r="63" spans="1:191" x14ac:dyDescent="0.3">
      <c r="A63" s="405" t="s">
        <v>157</v>
      </c>
      <c r="B63" s="405"/>
      <c r="C63" s="405"/>
      <c r="D63" s="405"/>
      <c r="E63" s="405"/>
      <c r="F63" s="405"/>
      <c r="G63" s="405"/>
      <c r="H63" s="405"/>
      <c r="I63" s="405"/>
      <c r="J63" s="405"/>
      <c r="K63" s="405"/>
      <c r="L63" s="405"/>
      <c r="M63" s="405"/>
      <c r="N63" s="405"/>
      <c r="O63" s="405"/>
      <c r="P63" s="405"/>
      <c r="Q63" s="405"/>
      <c r="R63" s="405"/>
      <c r="S63" s="405"/>
      <c r="T63" s="405"/>
      <c r="U63" s="405"/>
      <c r="V63" s="405"/>
      <c r="W63" s="405"/>
      <c r="X63" s="78"/>
      <c r="Y63" s="362" t="s">
        <v>158</v>
      </c>
      <c r="Z63" s="362"/>
      <c r="AA63" s="362"/>
      <c r="AB63" s="362"/>
      <c r="AC63" s="362"/>
      <c r="AD63" s="362"/>
      <c r="AE63" s="362"/>
      <c r="AF63" s="362"/>
      <c r="AG63" s="362"/>
      <c r="AH63" s="362"/>
      <c r="AI63" s="362"/>
      <c r="AJ63" s="362"/>
      <c r="AK63" s="362"/>
      <c r="AL63" s="362"/>
      <c r="AM63" s="362"/>
      <c r="AN63" s="362"/>
      <c r="AO63" s="362"/>
      <c r="AP63" s="362"/>
      <c r="AQ63" s="362"/>
      <c r="AR63" s="362"/>
      <c r="AS63" s="362"/>
      <c r="AT63" s="362"/>
      <c r="AU63" s="362"/>
      <c r="AV63" s="362"/>
      <c r="AW63" s="362"/>
      <c r="AX63" s="362"/>
      <c r="AY63" s="362"/>
      <c r="AZ63" s="362"/>
      <c r="BA63" s="362"/>
      <c r="BB63" s="362"/>
      <c r="BC63" s="362"/>
      <c r="BD63" s="362"/>
      <c r="BE63" s="362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V63" s="362"/>
      <c r="BW63" s="362"/>
      <c r="BX63" s="362"/>
      <c r="BY63" s="362"/>
      <c r="BZ63" s="362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 t="s">
        <v>159</v>
      </c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362" t="s">
        <v>160</v>
      </c>
      <c r="DG63" s="362"/>
      <c r="DH63" s="362"/>
      <c r="DI63" s="362"/>
      <c r="DJ63" s="362"/>
      <c r="DK63" s="362"/>
      <c r="DL63" s="362"/>
      <c r="DM63" s="362"/>
      <c r="DN63" s="362"/>
      <c r="DO63" s="362"/>
      <c r="DP63" s="362"/>
      <c r="DQ63" s="362"/>
      <c r="DR63" s="362"/>
      <c r="DS63" s="362"/>
      <c r="DT63" s="362"/>
      <c r="DU63" s="362"/>
      <c r="DV63" s="362"/>
      <c r="DW63" s="362"/>
      <c r="DX63" s="362"/>
      <c r="DY63" s="362"/>
      <c r="DZ63" s="362"/>
      <c r="EA63" s="362"/>
      <c r="EB63" s="362"/>
      <c r="EC63" s="362"/>
      <c r="ED63" s="362"/>
      <c r="EE63" s="362"/>
      <c r="EF63" s="362"/>
      <c r="EG63" s="362"/>
      <c r="EH63" s="362"/>
      <c r="EI63" s="362"/>
      <c r="EJ63" s="362"/>
      <c r="EK63" s="362"/>
      <c r="EL63" s="362"/>
      <c r="EM63" s="362"/>
      <c r="EN63" s="362"/>
      <c r="EO63" s="362"/>
      <c r="EP63" s="362"/>
      <c r="EQ63" s="362"/>
      <c r="ER63" s="362"/>
      <c r="ES63" s="362"/>
      <c r="ET63" s="362"/>
      <c r="EU63" s="362"/>
      <c r="EV63" s="362"/>
      <c r="EW63" s="362"/>
      <c r="EX63" s="362"/>
      <c r="EY63" s="362"/>
      <c r="EZ63" s="362"/>
      <c r="FA63" s="362"/>
      <c r="FB63" s="362"/>
      <c r="FC63" s="362"/>
      <c r="FD63" s="362"/>
      <c r="FE63" s="362"/>
      <c r="FF63" s="362"/>
      <c r="FG63" s="362"/>
      <c r="FH63" s="362"/>
      <c r="FI63" s="78"/>
      <c r="FJ63" s="78"/>
      <c r="FK63" s="78"/>
      <c r="FL63" s="78"/>
      <c r="FM63" s="78"/>
      <c r="FN63" s="82" t="s">
        <v>161</v>
      </c>
      <c r="FO63" s="78"/>
      <c r="FP63" s="394"/>
      <c r="FQ63" s="373"/>
      <c r="FR63" s="373"/>
      <c r="FS63" s="373"/>
      <c r="FT63" s="373"/>
      <c r="FU63" s="373"/>
      <c r="FV63" s="373"/>
      <c r="FW63" s="373"/>
      <c r="FX63" s="373"/>
      <c r="FY63" s="373"/>
      <c r="FZ63" s="373"/>
      <c r="GA63" s="373"/>
      <c r="GB63" s="373"/>
      <c r="GC63" s="373"/>
      <c r="GD63" s="373"/>
      <c r="GE63" s="373"/>
      <c r="GF63" s="373"/>
      <c r="GG63" s="373"/>
      <c r="GH63" s="395"/>
      <c r="GI63" s="42"/>
    </row>
    <row r="64" spans="1:191" ht="2.4" customHeight="1" x14ac:dyDescent="0.3">
      <c r="A64" s="405"/>
      <c r="B64" s="405"/>
      <c r="C64" s="405"/>
      <c r="D64" s="405"/>
      <c r="E64" s="405"/>
      <c r="F64" s="405"/>
      <c r="G64" s="405"/>
      <c r="H64" s="405"/>
      <c r="I64" s="405"/>
      <c r="J64" s="405"/>
      <c r="K64" s="405"/>
      <c r="L64" s="405"/>
      <c r="M64" s="405"/>
      <c r="N64" s="405"/>
      <c r="O64" s="405"/>
      <c r="P64" s="405"/>
      <c r="Q64" s="405"/>
      <c r="R64" s="405"/>
      <c r="S64" s="405"/>
      <c r="T64" s="405"/>
      <c r="U64" s="405"/>
      <c r="V64" s="405"/>
      <c r="W64" s="405"/>
      <c r="X64" s="78"/>
      <c r="Y64" s="404"/>
      <c r="Z64" s="404"/>
      <c r="AA64" s="404"/>
      <c r="AB64" s="404"/>
      <c r="AC64" s="404"/>
      <c r="AD64" s="404"/>
      <c r="AE64" s="404"/>
      <c r="AF64" s="404"/>
      <c r="AG64" s="404"/>
      <c r="AH64" s="404"/>
      <c r="AI64" s="404"/>
      <c r="AJ64" s="404"/>
      <c r="AK64" s="404"/>
      <c r="AL64" s="404"/>
      <c r="AM64" s="404"/>
      <c r="AN64" s="404"/>
      <c r="AO64" s="404"/>
      <c r="AP64" s="404"/>
      <c r="AQ64" s="404"/>
      <c r="AR64" s="404"/>
      <c r="AS64" s="404"/>
      <c r="AT64" s="404"/>
      <c r="AU64" s="404"/>
      <c r="AV64" s="404"/>
      <c r="AW64" s="404"/>
      <c r="AX64" s="404"/>
      <c r="AY64" s="404"/>
      <c r="AZ64" s="404"/>
      <c r="BA64" s="404"/>
      <c r="BB64" s="404"/>
      <c r="BC64" s="404"/>
      <c r="BD64" s="404"/>
      <c r="BE64" s="404"/>
      <c r="BF64" s="404"/>
      <c r="BG64" s="404"/>
      <c r="BH64" s="404"/>
      <c r="BI64" s="404"/>
      <c r="BJ64" s="404"/>
      <c r="BK64" s="404"/>
      <c r="BL64" s="404"/>
      <c r="BM64" s="404"/>
      <c r="BN64" s="404"/>
      <c r="BO64" s="404"/>
      <c r="BP64" s="404"/>
      <c r="BQ64" s="404"/>
      <c r="BR64" s="404"/>
      <c r="BS64" s="404"/>
      <c r="BT64" s="404"/>
      <c r="BU64" s="404"/>
      <c r="BV64" s="404"/>
      <c r="BW64" s="404"/>
      <c r="BX64" s="404"/>
      <c r="BY64" s="404"/>
      <c r="BZ64" s="404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399"/>
      <c r="FQ64" s="400"/>
      <c r="FR64" s="400"/>
      <c r="FS64" s="400"/>
      <c r="FT64" s="400"/>
      <c r="FU64" s="400"/>
      <c r="FV64" s="400"/>
      <c r="FW64" s="400"/>
      <c r="FX64" s="400"/>
      <c r="FY64" s="400"/>
      <c r="FZ64" s="400"/>
      <c r="GA64" s="400"/>
      <c r="GB64" s="400"/>
      <c r="GC64" s="400"/>
      <c r="GD64" s="400"/>
      <c r="GE64" s="400"/>
      <c r="GF64" s="400"/>
      <c r="GG64" s="400"/>
      <c r="GH64" s="401"/>
      <c r="GI64" s="42"/>
    </row>
    <row r="65" spans="1:191" ht="12.6" customHeight="1" x14ac:dyDescent="0.3">
      <c r="A65" s="367" t="s">
        <v>137</v>
      </c>
      <c r="B65" s="367"/>
      <c r="C65" s="367"/>
      <c r="D65" s="367"/>
      <c r="E65" s="367"/>
      <c r="F65" s="367"/>
      <c r="G65" s="367"/>
      <c r="H65" s="367"/>
      <c r="I65" s="367"/>
      <c r="J65" s="367"/>
      <c r="K65" s="367"/>
      <c r="L65" s="367"/>
      <c r="M65" s="367"/>
      <c r="N65" s="367"/>
      <c r="O65" s="367"/>
      <c r="P65" s="367"/>
      <c r="Q65" s="367"/>
      <c r="R65" s="367"/>
      <c r="S65" s="367"/>
      <c r="T65" s="373"/>
      <c r="U65" s="373"/>
      <c r="V65" s="373"/>
      <c r="W65" s="373"/>
      <c r="X65" s="373"/>
      <c r="Y65" s="373"/>
      <c r="Z65" s="373"/>
      <c r="AA65" s="373"/>
      <c r="AB65" s="373"/>
      <c r="AC65" s="373"/>
      <c r="AD65" s="373"/>
      <c r="AE65" s="373"/>
      <c r="AF65" s="373"/>
      <c r="AG65" s="373"/>
      <c r="AH65" s="78"/>
      <c r="AI65" s="78" t="s">
        <v>138</v>
      </c>
      <c r="AJ65" s="78"/>
      <c r="AK65" s="78"/>
      <c r="AL65" s="78"/>
      <c r="AM65" s="78"/>
      <c r="AN65" s="78"/>
      <c r="AO65" s="78"/>
      <c r="AP65" s="373"/>
      <c r="AQ65" s="373"/>
      <c r="AR65" s="373"/>
      <c r="AS65" s="373"/>
      <c r="AT65" s="373"/>
      <c r="AU65" s="373"/>
      <c r="AV65" s="373"/>
      <c r="AW65" s="373"/>
      <c r="AX65" s="373"/>
      <c r="AY65" s="373"/>
      <c r="AZ65" s="373"/>
      <c r="BA65" s="373"/>
      <c r="BB65" s="373"/>
      <c r="BC65" s="373"/>
      <c r="BD65" s="78"/>
      <c r="BE65" s="78" t="s">
        <v>56</v>
      </c>
      <c r="BF65" s="78"/>
      <c r="BG65" s="78"/>
      <c r="BH65" s="78"/>
      <c r="BI65" s="373"/>
      <c r="BJ65" s="373"/>
      <c r="BK65" s="373"/>
      <c r="BL65" s="373"/>
      <c r="BM65" s="373"/>
      <c r="BN65" s="373"/>
      <c r="BO65" s="373"/>
      <c r="BP65" s="373"/>
      <c r="BQ65" s="373"/>
      <c r="BR65" s="373"/>
      <c r="BS65" s="373"/>
      <c r="BT65" s="373"/>
      <c r="BU65" s="373"/>
      <c r="BV65" s="373"/>
      <c r="BW65" s="93"/>
      <c r="BX65" s="93"/>
      <c r="BY65" s="93"/>
      <c r="BZ65" s="93"/>
      <c r="CA65" s="93"/>
      <c r="CB65" s="93"/>
      <c r="CC65" s="93"/>
      <c r="CD65" s="93"/>
      <c r="CE65" s="93"/>
      <c r="CF65" s="93"/>
      <c r="CG65" s="93"/>
      <c r="CH65" s="93"/>
      <c r="CI65" s="93"/>
      <c r="CJ65" s="93"/>
      <c r="CK65" s="93"/>
      <c r="CL65" s="93"/>
      <c r="CM65" s="93"/>
      <c r="CN65" s="93"/>
      <c r="CO65" s="93"/>
      <c r="CP65" s="93"/>
      <c r="CQ65" s="93"/>
      <c r="CR65" s="93"/>
      <c r="CS65" s="93"/>
      <c r="CT65" s="93"/>
      <c r="CU65" s="93"/>
      <c r="CV65" s="93"/>
      <c r="CW65" s="93"/>
      <c r="CX65" s="93"/>
      <c r="CY65" s="93"/>
      <c r="CZ65" s="93"/>
      <c r="DA65" s="93"/>
      <c r="DB65" s="93"/>
      <c r="DC65" s="93"/>
      <c r="DD65" s="93"/>
      <c r="DE65" s="93"/>
      <c r="DF65" s="93"/>
      <c r="DG65" s="93"/>
      <c r="DH65" s="93"/>
      <c r="DI65" s="93"/>
      <c r="DJ65" s="93"/>
      <c r="DK65" s="93"/>
      <c r="DL65" s="93"/>
      <c r="DM65" s="93"/>
      <c r="DN65" s="93"/>
      <c r="DO65" s="93"/>
      <c r="DP65" s="93"/>
      <c r="DQ65" s="93"/>
      <c r="DR65" s="93"/>
      <c r="DS65" s="93"/>
      <c r="DT65" s="93"/>
      <c r="DU65" s="93"/>
      <c r="DV65" s="93"/>
      <c r="DW65" s="93"/>
      <c r="DX65" s="93"/>
      <c r="DY65" s="78"/>
      <c r="DZ65" s="78"/>
      <c r="EA65" s="78"/>
      <c r="EB65" s="78"/>
      <c r="EC65" s="78"/>
      <c r="ED65" s="78"/>
      <c r="EE65" s="78"/>
      <c r="EF65" s="78"/>
      <c r="EG65" s="78"/>
      <c r="EH65" s="78"/>
      <c r="EI65" s="78"/>
      <c r="EJ65" s="78"/>
      <c r="EK65" s="78"/>
      <c r="EL65" s="78"/>
      <c r="EM65" s="78"/>
      <c r="EN65" s="78"/>
      <c r="EO65" s="78"/>
      <c r="EP65" s="78"/>
      <c r="EQ65" s="78"/>
      <c r="ER65" s="78"/>
      <c r="ES65" s="78"/>
      <c r="ET65" s="78"/>
      <c r="EU65" s="78"/>
      <c r="EV65" s="78"/>
      <c r="EW65" s="78"/>
      <c r="EX65" s="78"/>
      <c r="EY65" s="78"/>
      <c r="EZ65" s="78"/>
      <c r="FA65" s="78"/>
      <c r="FB65" s="78"/>
      <c r="FC65" s="78"/>
      <c r="FD65" s="78"/>
      <c r="FE65" s="78"/>
      <c r="FF65" s="78"/>
      <c r="FG65" s="78"/>
      <c r="FH65" s="78"/>
      <c r="FI65" s="78"/>
      <c r="FJ65" s="78"/>
      <c r="FK65" s="78"/>
      <c r="FL65" s="78"/>
      <c r="FM65" s="78"/>
      <c r="FN65" s="78"/>
      <c r="FO65" s="78"/>
      <c r="FP65" s="391"/>
      <c r="FQ65" s="392"/>
      <c r="FR65" s="392"/>
      <c r="FS65" s="392"/>
      <c r="FT65" s="392"/>
      <c r="FU65" s="392"/>
      <c r="FV65" s="392"/>
      <c r="FW65" s="392"/>
      <c r="FX65" s="392"/>
      <c r="FY65" s="392"/>
      <c r="FZ65" s="392"/>
      <c r="GA65" s="392"/>
      <c r="GB65" s="392"/>
      <c r="GC65" s="392"/>
      <c r="GD65" s="392"/>
      <c r="GE65" s="392"/>
      <c r="GF65" s="392"/>
      <c r="GG65" s="392"/>
      <c r="GH65" s="393"/>
      <c r="GI65" s="42"/>
    </row>
    <row r="66" spans="1:191" ht="13.95" customHeight="1" x14ac:dyDescent="0.3">
      <c r="A66" s="78" t="s">
        <v>162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396" t="s">
        <v>163</v>
      </c>
      <c r="R66" s="396"/>
      <c r="S66" s="396"/>
      <c r="T66" s="396"/>
      <c r="U66" s="396"/>
      <c r="V66" s="396"/>
      <c r="W66" s="396"/>
      <c r="X66" s="396"/>
      <c r="Y66" s="396"/>
      <c r="Z66" s="396"/>
      <c r="AA66" s="396"/>
      <c r="AB66" s="396"/>
      <c r="AC66" s="396"/>
      <c r="AD66" s="396"/>
      <c r="AE66" s="396"/>
      <c r="AF66" s="396"/>
      <c r="AG66" s="396"/>
      <c r="AH66" s="396"/>
      <c r="AI66" s="396"/>
      <c r="AJ66" s="396"/>
      <c r="AK66" s="396"/>
      <c r="AL66" s="396"/>
      <c r="AM66" s="396"/>
      <c r="AN66" s="396"/>
      <c r="AO66" s="396"/>
      <c r="AP66" s="396"/>
      <c r="AQ66" s="396"/>
      <c r="AR66" s="396"/>
      <c r="AS66" s="396"/>
      <c r="AT66" s="396"/>
      <c r="AU66" s="396"/>
      <c r="AV66" s="396"/>
      <c r="AW66" s="396"/>
      <c r="AX66" s="396"/>
      <c r="AY66" s="396"/>
      <c r="AZ66" s="396"/>
      <c r="BA66" s="396"/>
      <c r="BB66" s="396"/>
      <c r="BC66" s="396"/>
      <c r="BD66" s="396"/>
      <c r="BE66" s="396"/>
      <c r="BF66" s="396"/>
      <c r="BG66" s="396"/>
      <c r="BH66" s="396"/>
      <c r="BI66" s="396"/>
      <c r="BJ66" s="396"/>
      <c r="BK66" s="396"/>
      <c r="BL66" s="396"/>
      <c r="BM66" s="396"/>
      <c r="BN66" s="396"/>
      <c r="BO66" s="396"/>
      <c r="BP66" s="396"/>
      <c r="BQ66" s="396"/>
      <c r="BR66" s="396"/>
      <c r="BS66" s="396"/>
      <c r="BT66" s="396"/>
      <c r="BU66" s="396"/>
      <c r="BV66" s="396"/>
      <c r="BW66" s="396"/>
      <c r="BX66" s="396"/>
      <c r="BY66" s="396"/>
      <c r="BZ66" s="396"/>
      <c r="CA66" s="396"/>
      <c r="CB66" s="396"/>
      <c r="CC66" s="78"/>
      <c r="CD66" s="78" t="s">
        <v>164</v>
      </c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397" t="s">
        <v>165</v>
      </c>
      <c r="CU66" s="397"/>
      <c r="CV66" s="397"/>
      <c r="CW66" s="397"/>
      <c r="CX66" s="397"/>
      <c r="CY66" s="397"/>
      <c r="CZ66" s="397"/>
      <c r="DA66" s="397"/>
      <c r="DB66" s="397"/>
      <c r="DC66" s="397"/>
      <c r="DD66" s="397"/>
      <c r="DE66" s="397"/>
      <c r="DF66" s="397"/>
      <c r="DG66" s="397"/>
      <c r="DH66" s="397"/>
      <c r="DI66" s="397"/>
      <c r="DJ66" s="397"/>
      <c r="DK66" s="397"/>
      <c r="DL66" s="397"/>
      <c r="DM66" s="397"/>
      <c r="DN66" s="397"/>
      <c r="DO66" s="397"/>
      <c r="DP66" s="397"/>
      <c r="DQ66" s="397"/>
      <c r="DR66" s="397"/>
      <c r="DS66" s="397"/>
      <c r="DT66" s="397"/>
      <c r="DU66" s="397"/>
      <c r="DV66" s="397"/>
      <c r="DW66" s="397"/>
      <c r="DX66" s="397"/>
      <c r="DY66" s="397"/>
      <c r="DZ66" s="397"/>
      <c r="EA66" s="397"/>
      <c r="EB66" s="397"/>
      <c r="EC66" s="397"/>
      <c r="ED66" s="397"/>
      <c r="EE66" s="397"/>
      <c r="EF66" s="397"/>
      <c r="EG66" s="397"/>
      <c r="EH66" s="397"/>
      <c r="EI66" s="397"/>
      <c r="EJ66" s="397"/>
      <c r="EK66" s="397"/>
      <c r="EL66" s="397"/>
      <c r="EM66" s="397"/>
      <c r="EN66" s="397"/>
      <c r="EO66" s="397"/>
      <c r="EP66" s="397"/>
      <c r="EQ66" s="397"/>
      <c r="ER66" s="397"/>
      <c r="ES66" s="397"/>
      <c r="ET66" s="397"/>
      <c r="EU66" s="397"/>
      <c r="EV66" s="397"/>
      <c r="EW66" s="397"/>
      <c r="EX66" s="397"/>
      <c r="EY66" s="397"/>
      <c r="EZ66" s="397"/>
      <c r="FA66" s="397"/>
      <c r="FB66" s="397"/>
      <c r="FC66" s="397"/>
      <c r="FD66" s="78"/>
      <c r="FE66" s="78"/>
      <c r="FF66" s="78"/>
      <c r="FG66" s="78"/>
      <c r="FH66" s="78"/>
      <c r="FI66" s="78"/>
      <c r="FJ66" s="78"/>
      <c r="FK66" s="78"/>
      <c r="FL66" s="78"/>
      <c r="FM66" s="78"/>
      <c r="FN66" s="82" t="s">
        <v>166</v>
      </c>
      <c r="FO66" s="78"/>
      <c r="FP66" s="394"/>
      <c r="FQ66" s="373"/>
      <c r="FR66" s="373"/>
      <c r="FS66" s="373"/>
      <c r="FT66" s="373"/>
      <c r="FU66" s="373"/>
      <c r="FV66" s="373"/>
      <c r="FW66" s="373"/>
      <c r="FX66" s="373"/>
      <c r="FY66" s="373"/>
      <c r="FZ66" s="373"/>
      <c r="GA66" s="373"/>
      <c r="GB66" s="373"/>
      <c r="GC66" s="373"/>
      <c r="GD66" s="373"/>
      <c r="GE66" s="373"/>
      <c r="GF66" s="373"/>
      <c r="GG66" s="373"/>
      <c r="GH66" s="395"/>
      <c r="GI66" s="42"/>
    </row>
    <row r="67" spans="1:191" ht="7.95" customHeight="1" x14ac:dyDescent="0.3">
      <c r="A67" s="78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404" t="s">
        <v>167</v>
      </c>
      <c r="R67" s="404"/>
      <c r="S67" s="404"/>
      <c r="T67" s="404"/>
      <c r="U67" s="404"/>
      <c r="V67" s="404"/>
      <c r="W67" s="404"/>
      <c r="X67" s="404"/>
      <c r="Y67" s="404"/>
      <c r="Z67" s="404"/>
      <c r="AA67" s="404"/>
      <c r="AB67" s="404"/>
      <c r="AC67" s="404"/>
      <c r="AD67" s="404"/>
      <c r="AE67" s="404"/>
      <c r="AF67" s="404"/>
      <c r="AG67" s="404"/>
      <c r="AH67" s="404"/>
      <c r="AI67" s="404"/>
      <c r="AJ67" s="404"/>
      <c r="AK67" s="404"/>
      <c r="AL67" s="404"/>
      <c r="AM67" s="404"/>
      <c r="AN67" s="404"/>
      <c r="AO67" s="404"/>
      <c r="AP67" s="404"/>
      <c r="AQ67" s="404"/>
      <c r="AR67" s="404"/>
      <c r="AS67" s="404"/>
      <c r="AT67" s="404"/>
      <c r="AU67" s="404"/>
      <c r="AV67" s="404"/>
      <c r="AW67" s="404"/>
      <c r="AX67" s="404"/>
      <c r="AY67" s="404"/>
      <c r="AZ67" s="404"/>
      <c r="BA67" s="404"/>
      <c r="BB67" s="404"/>
      <c r="BC67" s="404"/>
      <c r="BD67" s="404"/>
      <c r="BE67" s="404"/>
      <c r="BF67" s="404"/>
      <c r="BG67" s="404"/>
      <c r="BH67" s="404"/>
      <c r="BI67" s="404"/>
      <c r="BJ67" s="404"/>
      <c r="BK67" s="404"/>
      <c r="BL67" s="404"/>
      <c r="BM67" s="404"/>
      <c r="BN67" s="404"/>
      <c r="BO67" s="404"/>
      <c r="BP67" s="404"/>
      <c r="BQ67" s="404"/>
      <c r="BR67" s="404"/>
      <c r="BS67" s="404"/>
      <c r="BT67" s="404"/>
      <c r="BU67" s="404"/>
      <c r="BV67" s="404"/>
      <c r="BW67" s="404"/>
      <c r="BX67" s="404"/>
      <c r="BY67" s="404"/>
      <c r="BZ67" s="404"/>
      <c r="CA67" s="404"/>
      <c r="CB67" s="404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404" t="s">
        <v>167</v>
      </c>
      <c r="CU67" s="404"/>
      <c r="CV67" s="404"/>
      <c r="CW67" s="404"/>
      <c r="CX67" s="404"/>
      <c r="CY67" s="404"/>
      <c r="CZ67" s="404"/>
      <c r="DA67" s="404"/>
      <c r="DB67" s="404"/>
      <c r="DC67" s="404"/>
      <c r="DD67" s="404"/>
      <c r="DE67" s="404"/>
      <c r="DF67" s="404"/>
      <c r="DG67" s="404"/>
      <c r="DH67" s="404"/>
      <c r="DI67" s="404"/>
      <c r="DJ67" s="404"/>
      <c r="DK67" s="404"/>
      <c r="DL67" s="404"/>
      <c r="DM67" s="404"/>
      <c r="DN67" s="404"/>
      <c r="DO67" s="404"/>
      <c r="DP67" s="404"/>
      <c r="DQ67" s="404"/>
      <c r="DR67" s="404"/>
      <c r="DS67" s="404"/>
      <c r="DT67" s="404"/>
      <c r="DU67" s="404"/>
      <c r="DV67" s="404"/>
      <c r="DW67" s="404"/>
      <c r="DX67" s="404"/>
      <c r="DY67" s="404"/>
      <c r="DZ67" s="404"/>
      <c r="EA67" s="404"/>
      <c r="EB67" s="404"/>
      <c r="EC67" s="404"/>
      <c r="ED67" s="404"/>
      <c r="EE67" s="404"/>
      <c r="EF67" s="404"/>
      <c r="EG67" s="404"/>
      <c r="EH67" s="404"/>
      <c r="EI67" s="404"/>
      <c r="EJ67" s="404"/>
      <c r="EK67" s="404"/>
      <c r="EL67" s="404"/>
      <c r="EM67" s="404"/>
      <c r="EN67" s="404"/>
      <c r="EO67" s="404"/>
      <c r="EP67" s="404"/>
      <c r="EQ67" s="404"/>
      <c r="ER67" s="404"/>
      <c r="ES67" s="404"/>
      <c r="ET67" s="404"/>
      <c r="EU67" s="404"/>
      <c r="EV67" s="404"/>
      <c r="EW67" s="404"/>
      <c r="EX67" s="404"/>
      <c r="EY67" s="404"/>
      <c r="EZ67" s="404"/>
      <c r="FA67" s="404"/>
      <c r="FB67" s="404"/>
      <c r="FC67" s="404"/>
      <c r="FD67" s="78"/>
      <c r="FE67" s="78"/>
      <c r="FF67" s="78"/>
      <c r="FG67" s="78"/>
      <c r="FH67" s="78"/>
      <c r="FI67" s="78"/>
      <c r="FJ67" s="78"/>
      <c r="FK67" s="78"/>
      <c r="FL67" s="78"/>
      <c r="FM67" s="78"/>
      <c r="FN67" s="78"/>
      <c r="FO67" s="78"/>
      <c r="FP67" s="399"/>
      <c r="FQ67" s="400"/>
      <c r="FR67" s="400"/>
      <c r="FS67" s="400"/>
      <c r="FT67" s="400"/>
      <c r="FU67" s="400"/>
      <c r="FV67" s="400"/>
      <c r="FW67" s="400"/>
      <c r="FX67" s="400"/>
      <c r="FY67" s="400"/>
      <c r="FZ67" s="400"/>
      <c r="GA67" s="400"/>
      <c r="GB67" s="400"/>
      <c r="GC67" s="400"/>
      <c r="GD67" s="400"/>
      <c r="GE67" s="400"/>
      <c r="GF67" s="400"/>
      <c r="GG67" s="400"/>
      <c r="GH67" s="401"/>
      <c r="GI67" s="42"/>
    </row>
    <row r="68" spans="1:191" x14ac:dyDescent="0.3">
      <c r="A68" s="78" t="s">
        <v>168</v>
      </c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300" t="s">
        <v>169</v>
      </c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  <c r="AF68" s="300"/>
      <c r="AG68" s="300"/>
      <c r="AH68" s="300"/>
      <c r="AI68" s="300"/>
      <c r="AJ68" s="300"/>
      <c r="AK68" s="300"/>
      <c r="AL68" s="300"/>
      <c r="AM68" s="300"/>
      <c r="AN68" s="300"/>
      <c r="AO68" s="300"/>
      <c r="AP68" s="300"/>
      <c r="AQ68" s="300"/>
      <c r="AR68" s="300"/>
      <c r="AS68" s="300"/>
      <c r="AT68" s="300"/>
      <c r="AU68" s="300"/>
      <c r="AV68" s="300"/>
      <c r="AW68" s="300"/>
      <c r="AX68" s="300"/>
      <c r="AY68" s="300"/>
      <c r="AZ68" s="300"/>
      <c r="BA68" s="300"/>
      <c r="BB68" s="300"/>
      <c r="BC68" s="300"/>
      <c r="BD68" s="300"/>
      <c r="BE68" s="300"/>
      <c r="BF68" s="300"/>
      <c r="BG68" s="300"/>
      <c r="BH68" s="300"/>
      <c r="BI68" s="300"/>
      <c r="BJ68" s="300"/>
      <c r="BK68" s="300"/>
      <c r="BL68" s="300"/>
      <c r="BM68" s="300"/>
      <c r="BN68" s="300"/>
      <c r="BO68" s="300"/>
      <c r="BP68" s="300"/>
      <c r="BQ68" s="300"/>
      <c r="BR68" s="300"/>
      <c r="BS68" s="300"/>
      <c r="BT68" s="300"/>
      <c r="BU68" s="300"/>
      <c r="BV68" s="78"/>
      <c r="BW68" s="78" t="s">
        <v>170</v>
      </c>
      <c r="BX68" s="78"/>
      <c r="BY68" s="78"/>
      <c r="BZ68" s="78"/>
      <c r="CA68" s="78"/>
      <c r="CB68" s="78"/>
      <c r="CC68" s="78"/>
      <c r="CD68" s="78"/>
      <c r="CE68" s="78"/>
      <c r="CF68" s="78"/>
      <c r="CG68" s="78"/>
      <c r="CH68" s="369" t="s">
        <v>171</v>
      </c>
      <c r="CI68" s="369"/>
      <c r="CJ68" s="369"/>
      <c r="CK68" s="369"/>
      <c r="CL68" s="369"/>
      <c r="CM68" s="369"/>
      <c r="CN68" s="369"/>
      <c r="CO68" s="369"/>
      <c r="CP68" s="369"/>
      <c r="CQ68" s="369"/>
      <c r="CR68" s="369"/>
      <c r="CS68" s="369"/>
      <c r="CT68" s="369"/>
      <c r="CU68" s="369"/>
      <c r="CV68" s="369"/>
      <c r="CW68" s="369"/>
      <c r="CX68" s="369"/>
      <c r="CY68" s="369"/>
      <c r="CZ68" s="78"/>
      <c r="DA68" s="94" t="s">
        <v>145</v>
      </c>
      <c r="DB68" s="78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95"/>
      <c r="DP68" s="95"/>
      <c r="DQ68" s="95"/>
      <c r="DR68" s="95"/>
      <c r="DS68" s="95"/>
      <c r="DT68" s="95"/>
      <c r="DU68" s="95"/>
      <c r="DV68" s="371" t="s">
        <v>172</v>
      </c>
      <c r="DW68" s="371"/>
      <c r="DX68" s="371"/>
      <c r="DY68" s="371"/>
      <c r="DZ68" s="371"/>
      <c r="EA68" s="371"/>
      <c r="EB68" s="371"/>
      <c r="EC68" s="371"/>
      <c r="ED68" s="371"/>
      <c r="EE68" s="371"/>
      <c r="EF68" s="371"/>
      <c r="EG68" s="371"/>
      <c r="EH68" s="371"/>
      <c r="EI68" s="371"/>
      <c r="EJ68" s="371"/>
      <c r="EK68" s="371"/>
      <c r="EL68" s="371"/>
      <c r="EM68" s="371"/>
      <c r="EN68" s="371"/>
      <c r="EO68" s="371"/>
      <c r="EP68" s="371"/>
      <c r="EQ68" s="371"/>
      <c r="ER68" s="371"/>
      <c r="ES68" s="371"/>
      <c r="ET68" s="371"/>
      <c r="EU68" s="371"/>
      <c r="EV68" s="371"/>
      <c r="EW68" s="371"/>
      <c r="EX68" s="96"/>
      <c r="EY68" s="96"/>
      <c r="EZ68" s="96"/>
      <c r="FA68" s="96"/>
      <c r="FB68" s="96"/>
      <c r="FC68" s="96"/>
      <c r="FD68" s="96"/>
      <c r="FE68" s="96"/>
      <c r="FF68" s="96"/>
      <c r="FG68" s="96"/>
      <c r="FH68" s="96"/>
      <c r="FI68" s="96"/>
      <c r="FJ68" s="96"/>
      <c r="FK68" s="96"/>
      <c r="FL68" s="96"/>
      <c r="FM68" s="96"/>
      <c r="FN68" s="82" t="s">
        <v>173</v>
      </c>
      <c r="FO68" s="78"/>
      <c r="FP68" s="394"/>
      <c r="FQ68" s="373"/>
      <c r="FR68" s="373"/>
      <c r="FS68" s="373"/>
      <c r="FT68" s="373"/>
      <c r="FU68" s="373"/>
      <c r="FV68" s="373"/>
      <c r="FW68" s="373"/>
      <c r="FX68" s="373"/>
      <c r="FY68" s="373"/>
      <c r="FZ68" s="373"/>
      <c r="GA68" s="373"/>
      <c r="GB68" s="373"/>
      <c r="GC68" s="373"/>
      <c r="GD68" s="373"/>
      <c r="GE68" s="373"/>
      <c r="GF68" s="373"/>
      <c r="GG68" s="373"/>
      <c r="GH68" s="395"/>
      <c r="GI68" s="42"/>
    </row>
    <row r="69" spans="1:191" ht="9" customHeight="1" x14ac:dyDescent="0.3">
      <c r="A69" s="78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404" t="s">
        <v>174</v>
      </c>
      <c r="R69" s="404"/>
      <c r="S69" s="404"/>
      <c r="T69" s="404"/>
      <c r="U69" s="404"/>
      <c r="V69" s="404"/>
      <c r="W69" s="404"/>
      <c r="X69" s="404"/>
      <c r="Y69" s="404"/>
      <c r="Z69" s="404"/>
      <c r="AA69" s="404"/>
      <c r="AB69" s="404"/>
      <c r="AC69" s="404"/>
      <c r="AD69" s="404"/>
      <c r="AE69" s="404"/>
      <c r="AF69" s="404"/>
      <c r="AG69" s="404"/>
      <c r="AH69" s="404"/>
      <c r="AI69" s="404"/>
      <c r="AJ69" s="404"/>
      <c r="AK69" s="404"/>
      <c r="AL69" s="404"/>
      <c r="AM69" s="404"/>
      <c r="AN69" s="404"/>
      <c r="AO69" s="404"/>
      <c r="AP69" s="404"/>
      <c r="AQ69" s="404"/>
      <c r="AR69" s="404"/>
      <c r="AS69" s="404"/>
      <c r="AT69" s="404"/>
      <c r="AU69" s="404"/>
      <c r="AV69" s="404"/>
      <c r="AW69" s="404"/>
      <c r="AX69" s="404"/>
      <c r="AY69" s="404"/>
      <c r="AZ69" s="404"/>
      <c r="BA69" s="404"/>
      <c r="BB69" s="404"/>
      <c r="BC69" s="404"/>
      <c r="BD69" s="404"/>
      <c r="BE69" s="404"/>
      <c r="BF69" s="404"/>
      <c r="BG69" s="404"/>
      <c r="BH69" s="404"/>
      <c r="BI69" s="404"/>
      <c r="BJ69" s="404"/>
      <c r="BK69" s="404"/>
      <c r="BL69" s="404"/>
      <c r="BM69" s="404"/>
      <c r="BN69" s="404"/>
      <c r="BO69" s="404"/>
      <c r="BP69" s="404"/>
      <c r="BQ69" s="404"/>
      <c r="BR69" s="404"/>
      <c r="BS69" s="404"/>
      <c r="BT69" s="404"/>
      <c r="BU69" s="404"/>
      <c r="BV69" s="78"/>
      <c r="BW69" s="78"/>
      <c r="BX69" s="78"/>
      <c r="BY69" s="78"/>
      <c r="BZ69" s="78"/>
      <c r="CA69" s="78"/>
      <c r="CB69" s="78"/>
      <c r="CC69" s="78"/>
      <c r="CD69" s="78"/>
      <c r="CE69" s="78"/>
      <c r="CF69" s="78"/>
      <c r="CG69" s="78"/>
      <c r="CH69" s="404" t="s">
        <v>150</v>
      </c>
      <c r="CI69" s="404"/>
      <c r="CJ69" s="404"/>
      <c r="CK69" s="404"/>
      <c r="CL69" s="404"/>
      <c r="CM69" s="404"/>
      <c r="CN69" s="404"/>
      <c r="CO69" s="404"/>
      <c r="CP69" s="404"/>
      <c r="CQ69" s="404"/>
      <c r="CR69" s="404"/>
      <c r="CS69" s="404"/>
      <c r="CT69" s="404"/>
      <c r="CU69" s="404"/>
      <c r="CV69" s="404"/>
      <c r="CW69" s="404"/>
      <c r="CX69" s="404"/>
      <c r="CY69" s="404"/>
      <c r="CZ69" s="78"/>
      <c r="DA69" s="78"/>
      <c r="DB69" s="78"/>
      <c r="DC69" s="78"/>
      <c r="DD69" s="78"/>
      <c r="DE69" s="78"/>
      <c r="DF69" s="78"/>
      <c r="DG69" s="78"/>
      <c r="DH69" s="78"/>
      <c r="DI69" s="78"/>
      <c r="DJ69" s="78"/>
      <c r="DK69" s="78"/>
      <c r="DL69" s="78"/>
      <c r="DM69" s="78"/>
      <c r="DN69" s="78"/>
      <c r="DO69" s="78"/>
      <c r="DP69" s="78"/>
      <c r="DQ69" s="78"/>
      <c r="DR69" s="78"/>
      <c r="DS69" s="78"/>
      <c r="DT69" s="78"/>
      <c r="DU69" s="78"/>
      <c r="DV69" s="78"/>
      <c r="DW69" s="78"/>
      <c r="DX69" s="78"/>
      <c r="DY69" s="78"/>
      <c r="DZ69" s="78"/>
      <c r="EA69" s="78"/>
      <c r="EB69" s="78"/>
      <c r="EC69" s="78"/>
      <c r="ED69" s="78"/>
      <c r="EE69" s="78"/>
      <c r="EF69" s="78"/>
      <c r="EG69" s="78"/>
      <c r="EH69" s="78"/>
      <c r="EI69" s="78"/>
      <c r="EJ69" s="78"/>
      <c r="EK69" s="78"/>
      <c r="EL69" s="78"/>
      <c r="EM69" s="78"/>
      <c r="EN69" s="78"/>
      <c r="EO69" s="78"/>
      <c r="EP69" s="78"/>
      <c r="EQ69" s="78"/>
      <c r="ER69" s="78"/>
      <c r="ES69" s="78"/>
      <c r="ET69" s="78"/>
      <c r="EU69" s="78"/>
      <c r="EV69" s="78"/>
      <c r="EW69" s="78"/>
      <c r="EX69" s="97"/>
      <c r="EY69" s="97"/>
      <c r="EZ69" s="97"/>
      <c r="FA69" s="97"/>
      <c r="FB69" s="97"/>
      <c r="FC69" s="97"/>
      <c r="FD69" s="97"/>
      <c r="FE69" s="97"/>
      <c r="FF69" s="97"/>
      <c r="FG69" s="97"/>
      <c r="FH69" s="97"/>
      <c r="FI69" s="97"/>
      <c r="FJ69" s="97"/>
      <c r="FK69" s="97"/>
      <c r="FL69" s="97"/>
      <c r="FM69" s="97"/>
      <c r="FN69" s="97"/>
      <c r="FO69" s="78"/>
      <c r="FP69" s="399"/>
      <c r="FQ69" s="400"/>
      <c r="FR69" s="400"/>
      <c r="FS69" s="400"/>
      <c r="FT69" s="400"/>
      <c r="FU69" s="400"/>
      <c r="FV69" s="400"/>
      <c r="FW69" s="400"/>
      <c r="FX69" s="400"/>
      <c r="FY69" s="400"/>
      <c r="FZ69" s="400"/>
      <c r="GA69" s="400"/>
      <c r="GB69" s="400"/>
      <c r="GC69" s="400"/>
      <c r="GD69" s="400"/>
      <c r="GE69" s="400"/>
      <c r="GF69" s="400"/>
      <c r="GG69" s="400"/>
      <c r="GH69" s="401"/>
      <c r="GI69" s="42"/>
    </row>
    <row r="70" spans="1:191" ht="11.4" customHeight="1" thickBot="1" x14ac:dyDescent="0.35">
      <c r="A70" s="300" t="s">
        <v>151</v>
      </c>
      <c r="B70" s="300"/>
      <c r="C70" s="300"/>
      <c r="D70" s="300"/>
      <c r="E70" s="300"/>
      <c r="F70" s="300"/>
      <c r="G70" s="300"/>
      <c r="H70" s="300"/>
      <c r="I70" s="300"/>
      <c r="J70" s="300"/>
      <c r="K70" s="300"/>
      <c r="L70" s="300"/>
      <c r="M70" s="300"/>
      <c r="N70" s="300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  <c r="AF70" s="300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96"/>
      <c r="AX70" s="96"/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78"/>
      <c r="BS70" s="78"/>
      <c r="BT70" s="78"/>
      <c r="BU70" s="78"/>
      <c r="BV70" s="78"/>
      <c r="BW70" s="96" t="s">
        <v>175</v>
      </c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409" t="s">
        <v>169</v>
      </c>
      <c r="CI70" s="409"/>
      <c r="CJ70" s="409"/>
      <c r="CK70" s="409"/>
      <c r="CL70" s="409"/>
      <c r="CM70" s="409"/>
      <c r="CN70" s="409"/>
      <c r="CO70" s="409"/>
      <c r="CP70" s="409"/>
      <c r="CQ70" s="409"/>
      <c r="CR70" s="409"/>
      <c r="CS70" s="409"/>
      <c r="CT70" s="409"/>
      <c r="CU70" s="409"/>
      <c r="CV70" s="409"/>
      <c r="CW70" s="409"/>
      <c r="CX70" s="409"/>
      <c r="CY70" s="409"/>
      <c r="CZ70" s="78"/>
      <c r="DA70" s="94" t="s">
        <v>145</v>
      </c>
      <c r="DB70" s="78"/>
      <c r="DC70" s="95"/>
      <c r="DD70" s="95"/>
      <c r="DE70" s="95"/>
      <c r="DF70" s="95"/>
      <c r="DG70" s="95"/>
      <c r="DH70" s="95"/>
      <c r="DI70" s="95"/>
      <c r="DJ70" s="95"/>
      <c r="DK70" s="95"/>
      <c r="DL70" s="95"/>
      <c r="DM70" s="95"/>
      <c r="DN70" s="95"/>
      <c r="DO70" s="95"/>
      <c r="DP70" s="95"/>
      <c r="DQ70" s="95"/>
      <c r="DR70" s="95"/>
      <c r="DS70" s="95"/>
      <c r="DT70" s="95"/>
      <c r="DU70" s="95"/>
      <c r="DV70" s="410"/>
      <c r="DW70" s="410"/>
      <c r="DX70" s="410"/>
      <c r="DY70" s="410"/>
      <c r="DZ70" s="410"/>
      <c r="EA70" s="410"/>
      <c r="EB70" s="410"/>
      <c r="EC70" s="410"/>
      <c r="ED70" s="410"/>
      <c r="EE70" s="410"/>
      <c r="EF70" s="410"/>
      <c r="EG70" s="410"/>
      <c r="EH70" s="410"/>
      <c r="EI70" s="410"/>
      <c r="EJ70" s="410"/>
      <c r="EK70" s="410"/>
      <c r="EL70" s="410"/>
      <c r="EM70" s="410"/>
      <c r="EN70" s="410"/>
      <c r="EO70" s="410"/>
      <c r="EP70" s="410"/>
      <c r="EQ70" s="410"/>
      <c r="ER70" s="410"/>
      <c r="ES70" s="410"/>
      <c r="ET70" s="410"/>
      <c r="EU70" s="410"/>
      <c r="EV70" s="410"/>
      <c r="EW70" s="410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 t="s">
        <v>173</v>
      </c>
      <c r="FO70" s="78"/>
      <c r="FP70" s="406"/>
      <c r="FQ70" s="407"/>
      <c r="FR70" s="407"/>
      <c r="FS70" s="407"/>
      <c r="FT70" s="407"/>
      <c r="FU70" s="407"/>
      <c r="FV70" s="407"/>
      <c r="FW70" s="407"/>
      <c r="FX70" s="407"/>
      <c r="FY70" s="407"/>
      <c r="FZ70" s="407"/>
      <c r="GA70" s="407"/>
      <c r="GB70" s="407"/>
      <c r="GC70" s="407"/>
      <c r="GD70" s="407"/>
      <c r="GE70" s="407"/>
      <c r="GF70" s="407"/>
      <c r="GG70" s="407"/>
      <c r="GH70" s="408"/>
      <c r="GI70" s="42"/>
    </row>
    <row r="71" spans="1:191" ht="7.2" customHeight="1" x14ac:dyDescent="0.3">
      <c r="A71" s="404" t="s">
        <v>176</v>
      </c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  <c r="P71" s="404"/>
      <c r="Q71" s="404"/>
      <c r="R71" s="404"/>
      <c r="S71" s="404"/>
      <c r="T71" s="404"/>
      <c r="U71" s="404"/>
      <c r="V71" s="404"/>
      <c r="W71" s="404"/>
      <c r="X71" s="404"/>
      <c r="Y71" s="404"/>
      <c r="Z71" s="404"/>
      <c r="AA71" s="404"/>
      <c r="AB71" s="404"/>
      <c r="AC71" s="404"/>
      <c r="AD71" s="404"/>
      <c r="AE71" s="404"/>
      <c r="AF71" s="404"/>
      <c r="AG71" s="78"/>
      <c r="AH71" s="78"/>
      <c r="AI71" s="78"/>
      <c r="AJ71" s="78"/>
      <c r="AK71" s="78"/>
      <c r="AL71" s="78"/>
      <c r="AM71" s="78"/>
      <c r="AN71" s="78"/>
      <c r="AO71" s="405" t="s">
        <v>177</v>
      </c>
      <c r="AP71" s="405"/>
      <c r="AQ71" s="405"/>
      <c r="AR71" s="405"/>
      <c r="AS71" s="405"/>
      <c r="AT71" s="405"/>
      <c r="AU71" s="405"/>
      <c r="AV71" s="405"/>
      <c r="AW71" s="405"/>
      <c r="AX71" s="405"/>
      <c r="AY71" s="405"/>
      <c r="AZ71" s="405"/>
      <c r="BA71" s="405"/>
      <c r="BB71" s="405"/>
      <c r="BC71" s="405"/>
      <c r="BD71" s="405"/>
      <c r="BE71" s="405"/>
      <c r="BF71" s="405"/>
      <c r="BG71" s="405"/>
      <c r="BH71" s="405"/>
      <c r="BI71" s="405"/>
      <c r="BJ71" s="405"/>
      <c r="BK71" s="405"/>
      <c r="BL71" s="405"/>
      <c r="BM71" s="405"/>
      <c r="BN71" s="405"/>
      <c r="BO71" s="405"/>
      <c r="BP71" s="405"/>
      <c r="BQ71" s="405"/>
      <c r="BR71" s="405"/>
      <c r="BS71" s="405"/>
      <c r="BT71" s="405"/>
      <c r="BU71" s="78"/>
      <c r="BV71" s="78"/>
      <c r="BW71" s="78"/>
      <c r="BX71" s="78"/>
      <c r="BY71" s="78"/>
      <c r="BZ71" s="78"/>
      <c r="CA71" s="78"/>
      <c r="CB71" s="78"/>
      <c r="CC71" s="78"/>
      <c r="CD71" s="78"/>
      <c r="CE71" s="78"/>
      <c r="CF71" s="78"/>
      <c r="CG71" s="78"/>
      <c r="CH71" s="404" t="s">
        <v>150</v>
      </c>
      <c r="CI71" s="404"/>
      <c r="CJ71" s="404"/>
      <c r="CK71" s="404"/>
      <c r="CL71" s="404"/>
      <c r="CM71" s="404"/>
      <c r="CN71" s="404"/>
      <c r="CO71" s="404"/>
      <c r="CP71" s="404"/>
      <c r="CQ71" s="404"/>
      <c r="CR71" s="404"/>
      <c r="CS71" s="404"/>
      <c r="CT71" s="404"/>
      <c r="CU71" s="404"/>
      <c r="CV71" s="404"/>
      <c r="CW71" s="404"/>
      <c r="CX71" s="404"/>
      <c r="CY71" s="404"/>
      <c r="CZ71" s="78"/>
      <c r="DA71" s="78"/>
      <c r="DB71" s="78"/>
      <c r="DC71" s="78"/>
      <c r="DD71" s="78"/>
      <c r="DE71" s="78"/>
      <c r="DF71" s="78"/>
      <c r="DG71" s="78"/>
      <c r="DH71" s="78"/>
      <c r="DI71" s="78"/>
      <c r="DJ71" s="78"/>
      <c r="DK71" s="78"/>
      <c r="DL71" s="78"/>
      <c r="DM71" s="78"/>
      <c r="DN71" s="78"/>
      <c r="DO71" s="78"/>
      <c r="DP71" s="78"/>
      <c r="DQ71" s="78"/>
      <c r="DR71" s="78"/>
      <c r="DS71" s="78"/>
      <c r="DT71" s="78"/>
      <c r="DU71" s="78"/>
      <c r="DV71" s="78"/>
      <c r="DW71" s="78"/>
      <c r="DX71" s="78"/>
      <c r="DY71" s="78"/>
      <c r="DZ71" s="78"/>
      <c r="EA71" s="78"/>
      <c r="EB71" s="78"/>
      <c r="EC71" s="78"/>
      <c r="ED71" s="78"/>
      <c r="EE71" s="78"/>
      <c r="EF71" s="78"/>
      <c r="EG71" s="78"/>
      <c r="EH71" s="78"/>
      <c r="EI71" s="78"/>
      <c r="EJ71" s="78"/>
      <c r="EK71" s="78"/>
      <c r="EL71" s="78"/>
      <c r="EM71" s="78"/>
      <c r="EN71" s="78"/>
      <c r="EO71" s="78"/>
      <c r="EP71" s="78"/>
      <c r="EQ71" s="78"/>
      <c r="ER71" s="78"/>
      <c r="ES71" s="78"/>
      <c r="ET71" s="78"/>
      <c r="EU71" s="78"/>
      <c r="EV71" s="97"/>
      <c r="EW71" s="97"/>
      <c r="EX71" s="97"/>
      <c r="EY71" s="97"/>
      <c r="EZ71" s="97"/>
      <c r="FA71" s="97"/>
      <c r="FB71" s="97"/>
      <c r="FC71" s="97"/>
      <c r="FD71" s="97"/>
      <c r="FE71" s="97"/>
      <c r="FF71" s="97"/>
      <c r="FG71" s="97"/>
      <c r="FH71" s="97"/>
      <c r="FI71" s="97"/>
      <c r="FJ71" s="97"/>
      <c r="FK71" s="97"/>
      <c r="FL71" s="97"/>
      <c r="FM71" s="97"/>
      <c r="FN71" s="97"/>
      <c r="FO71" s="78"/>
      <c r="FP71" s="78"/>
      <c r="FQ71" s="78"/>
      <c r="FR71" s="78"/>
      <c r="FS71" s="78"/>
      <c r="FT71" s="78"/>
      <c r="FU71" s="78"/>
      <c r="FV71" s="78"/>
      <c r="FW71" s="78"/>
      <c r="FX71" s="78"/>
      <c r="FY71" s="78"/>
      <c r="FZ71" s="78"/>
      <c r="GA71" s="78"/>
      <c r="GB71" s="78"/>
      <c r="GC71" s="78"/>
      <c r="GD71" s="78"/>
      <c r="GE71" s="78"/>
      <c r="GF71" s="78"/>
      <c r="GG71" s="78"/>
      <c r="GH71" s="78"/>
      <c r="GI71" s="42"/>
    </row>
    <row r="72" spans="1:191" ht="4.2" customHeight="1" thickBot="1" x14ac:dyDescent="0.35">
      <c r="A72" s="78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418"/>
      <c r="AP72" s="418"/>
      <c r="AQ72" s="418"/>
      <c r="AR72" s="418"/>
      <c r="AS72" s="418"/>
      <c r="AT72" s="418"/>
      <c r="AU72" s="418"/>
      <c r="AV72" s="418"/>
      <c r="AW72" s="418"/>
      <c r="AX72" s="418"/>
      <c r="AY72" s="418"/>
      <c r="AZ72" s="418"/>
      <c r="BA72" s="418"/>
      <c r="BB72" s="418"/>
      <c r="BC72" s="418"/>
      <c r="BD72" s="418"/>
      <c r="BE72" s="418"/>
      <c r="BF72" s="418"/>
      <c r="BG72" s="418"/>
      <c r="BH72" s="418"/>
      <c r="BI72" s="418"/>
      <c r="BJ72" s="418"/>
      <c r="BK72" s="418"/>
      <c r="BL72" s="418"/>
      <c r="BM72" s="418"/>
      <c r="BN72" s="418"/>
      <c r="BO72" s="418"/>
      <c r="BP72" s="418"/>
      <c r="BQ72" s="418"/>
      <c r="BR72" s="418"/>
      <c r="BS72" s="418"/>
      <c r="BT72" s="418"/>
      <c r="BU72" s="78"/>
      <c r="BV72" s="78"/>
      <c r="BW72" s="78"/>
      <c r="BX72" s="78"/>
      <c r="BY72" s="78"/>
      <c r="BZ72" s="78"/>
      <c r="CA72" s="78"/>
      <c r="CB72" s="78"/>
      <c r="CC72" s="78"/>
      <c r="CD72" s="78"/>
      <c r="CE72" s="78"/>
      <c r="CF72" s="78"/>
      <c r="CG72" s="78"/>
      <c r="CH72" s="78"/>
      <c r="CI72" s="78"/>
      <c r="CJ72" s="78"/>
      <c r="CK72" s="78"/>
      <c r="CL72" s="78"/>
      <c r="CM72" s="78"/>
      <c r="CN72" s="78"/>
      <c r="CO72" s="78"/>
      <c r="CP72" s="78"/>
      <c r="CQ72" s="78"/>
      <c r="CR72" s="78"/>
      <c r="CS72" s="78"/>
      <c r="CT72" s="78"/>
      <c r="CU72" s="78"/>
      <c r="CV72" s="78"/>
      <c r="CW72" s="78"/>
      <c r="CX72" s="78"/>
      <c r="CY72" s="78"/>
      <c r="CZ72" s="78"/>
      <c r="DA72" s="78"/>
      <c r="DB72" s="78"/>
      <c r="DC72" s="78"/>
      <c r="DD72" s="78"/>
      <c r="DE72" s="78"/>
      <c r="DF72" s="78"/>
      <c r="DG72" s="78"/>
      <c r="DH72" s="78"/>
      <c r="DI72" s="78"/>
      <c r="DJ72" s="78"/>
      <c r="DK72" s="78"/>
      <c r="DL72" s="78"/>
      <c r="DM72" s="78"/>
      <c r="DN72" s="78"/>
      <c r="DO72" s="78"/>
      <c r="DP72" s="78"/>
      <c r="DQ72" s="78"/>
      <c r="DR72" s="78"/>
      <c r="DS72" s="78"/>
      <c r="DT72" s="78"/>
      <c r="DU72" s="78"/>
      <c r="DV72" s="78"/>
      <c r="DW72" s="78"/>
      <c r="DX72" s="78"/>
      <c r="DY72" s="78"/>
      <c r="DZ72" s="78"/>
      <c r="EA72" s="78"/>
      <c r="EB72" s="78"/>
      <c r="EC72" s="78"/>
      <c r="ED72" s="78"/>
      <c r="EE72" s="78"/>
      <c r="EF72" s="78"/>
      <c r="EG72" s="78"/>
      <c r="EH72" s="78"/>
      <c r="EI72" s="78"/>
      <c r="EJ72" s="78"/>
      <c r="EK72" s="78"/>
      <c r="EL72" s="78"/>
      <c r="EM72" s="78"/>
      <c r="EN72" s="78"/>
      <c r="EO72" s="78"/>
      <c r="EP72" s="78"/>
      <c r="EQ72" s="78"/>
      <c r="ER72" s="78"/>
      <c r="ES72" s="78"/>
      <c r="ET72" s="78"/>
      <c r="EU72" s="78"/>
      <c r="EV72" s="97"/>
      <c r="EW72" s="97"/>
      <c r="EX72" s="97"/>
      <c r="EY72" s="97"/>
      <c r="EZ72" s="97"/>
      <c r="FA72" s="97"/>
      <c r="FB72" s="97"/>
      <c r="FC72" s="97"/>
      <c r="FD72" s="97"/>
      <c r="FE72" s="97"/>
      <c r="FF72" s="97"/>
      <c r="FG72" s="97"/>
      <c r="FH72" s="97"/>
      <c r="FI72" s="97"/>
      <c r="FJ72" s="97"/>
      <c r="FK72" s="97"/>
      <c r="FL72" s="97"/>
      <c r="FM72" s="97"/>
      <c r="FN72" s="97"/>
      <c r="FO72" s="78"/>
      <c r="FP72" s="78"/>
      <c r="FQ72" s="78"/>
      <c r="FR72" s="78"/>
      <c r="FS72" s="78"/>
      <c r="FT72" s="78"/>
      <c r="FU72" s="78"/>
      <c r="FV72" s="78"/>
      <c r="FW72" s="78"/>
      <c r="FX72" s="78"/>
      <c r="FY72" s="78"/>
      <c r="FZ72" s="78"/>
      <c r="GA72" s="78"/>
      <c r="GB72" s="78"/>
      <c r="GC72" s="78"/>
      <c r="GD72" s="78"/>
      <c r="GE72" s="78"/>
      <c r="GF72" s="78"/>
      <c r="GG72" s="78"/>
      <c r="GH72" s="78"/>
      <c r="GI72" s="42"/>
    </row>
    <row r="73" spans="1:191" ht="19.2" customHeight="1" thickTop="1" x14ac:dyDescent="0.3">
      <c r="A73" s="419" t="s">
        <v>178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  <c r="N73" s="420"/>
      <c r="O73" s="420"/>
      <c r="P73" s="420"/>
      <c r="Q73" s="420"/>
      <c r="R73" s="420"/>
      <c r="S73" s="420"/>
      <c r="T73" s="420"/>
      <c r="U73" s="420"/>
      <c r="V73" s="420"/>
      <c r="W73" s="420"/>
      <c r="X73" s="420"/>
      <c r="Y73" s="420"/>
      <c r="Z73" s="420"/>
      <c r="AA73" s="420"/>
      <c r="AB73" s="420"/>
      <c r="AC73" s="420"/>
      <c r="AD73" s="420"/>
      <c r="AE73" s="420"/>
      <c r="AF73" s="420"/>
      <c r="AG73" s="420"/>
      <c r="AH73" s="421"/>
      <c r="AI73" s="419" t="s">
        <v>179</v>
      </c>
      <c r="AJ73" s="420"/>
      <c r="AK73" s="420"/>
      <c r="AL73" s="420"/>
      <c r="AM73" s="420"/>
      <c r="AN73" s="420"/>
      <c r="AO73" s="420"/>
      <c r="AP73" s="420"/>
      <c r="AQ73" s="420"/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1"/>
      <c r="BU73" s="419" t="s">
        <v>43</v>
      </c>
      <c r="BV73" s="420"/>
      <c r="BW73" s="420"/>
      <c r="BX73" s="420"/>
      <c r="BY73" s="420"/>
      <c r="BZ73" s="420"/>
      <c r="CA73" s="420"/>
      <c r="CB73" s="420"/>
      <c r="CC73" s="420"/>
      <c r="CD73" s="420"/>
      <c r="CE73" s="420"/>
      <c r="CF73" s="420"/>
      <c r="CG73" s="420"/>
      <c r="CH73" s="420"/>
      <c r="CI73" s="420"/>
      <c r="CJ73" s="420"/>
      <c r="CK73" s="420"/>
      <c r="CL73" s="421"/>
      <c r="CM73" s="419" t="s">
        <v>180</v>
      </c>
      <c r="CN73" s="420"/>
      <c r="CO73" s="420"/>
      <c r="CP73" s="420"/>
      <c r="CQ73" s="420"/>
      <c r="CR73" s="420"/>
      <c r="CS73" s="420"/>
      <c r="CT73" s="420"/>
      <c r="CU73" s="420"/>
      <c r="CV73" s="420"/>
      <c r="CW73" s="420"/>
      <c r="CX73" s="420"/>
      <c r="CY73" s="420"/>
      <c r="CZ73" s="420"/>
      <c r="DA73" s="420"/>
      <c r="DB73" s="421"/>
      <c r="DC73" s="419" t="s">
        <v>181</v>
      </c>
      <c r="DD73" s="420"/>
      <c r="DE73" s="420"/>
      <c r="DF73" s="420"/>
      <c r="DG73" s="420"/>
      <c r="DH73" s="420"/>
      <c r="DI73" s="420"/>
      <c r="DJ73" s="420"/>
      <c r="DK73" s="420"/>
      <c r="DL73" s="420"/>
      <c r="DM73" s="420"/>
      <c r="DN73" s="420"/>
      <c r="DO73" s="420"/>
      <c r="DP73" s="420"/>
      <c r="DQ73" s="420"/>
      <c r="DR73" s="420"/>
      <c r="DS73" s="420"/>
      <c r="DT73" s="420"/>
      <c r="DU73" s="420"/>
      <c r="DV73" s="420"/>
      <c r="DW73" s="420"/>
      <c r="DX73" s="420"/>
      <c r="DY73" s="420"/>
      <c r="DZ73" s="420"/>
      <c r="EA73" s="420"/>
      <c r="EB73" s="420"/>
      <c r="EC73" s="420"/>
      <c r="ED73" s="420"/>
      <c r="EE73" s="420"/>
      <c r="EF73" s="420"/>
      <c r="EG73" s="420"/>
      <c r="EH73" s="420"/>
      <c r="EI73" s="421"/>
      <c r="EJ73" s="411" t="s">
        <v>182</v>
      </c>
      <c r="EK73" s="411"/>
      <c r="EL73" s="411"/>
      <c r="EM73" s="411"/>
      <c r="EN73" s="411"/>
      <c r="EO73" s="411"/>
      <c r="EP73" s="411"/>
      <c r="EQ73" s="411"/>
      <c r="ER73" s="411"/>
      <c r="ES73" s="411"/>
      <c r="ET73" s="411"/>
      <c r="EU73" s="412" t="s">
        <v>183</v>
      </c>
      <c r="EV73" s="412"/>
      <c r="EW73" s="412"/>
      <c r="EX73" s="412"/>
      <c r="EY73" s="412"/>
      <c r="EZ73" s="412"/>
      <c r="FA73" s="412"/>
      <c r="FB73" s="412"/>
      <c r="FC73" s="412"/>
      <c r="FD73" s="412"/>
      <c r="FE73" s="412"/>
      <c r="FF73" s="412"/>
      <c r="FG73" s="412"/>
      <c r="FH73" s="411" t="s">
        <v>184</v>
      </c>
      <c r="FI73" s="411"/>
      <c r="FJ73" s="411"/>
      <c r="FK73" s="411"/>
      <c r="FL73" s="411"/>
      <c r="FM73" s="411"/>
      <c r="FN73" s="411"/>
      <c r="FO73" s="411"/>
      <c r="FP73" s="411"/>
      <c r="FQ73" s="411"/>
      <c r="FR73" s="411"/>
      <c r="FS73" s="411"/>
      <c r="FT73" s="411"/>
      <c r="FU73" s="412" t="s">
        <v>185</v>
      </c>
      <c r="FV73" s="412"/>
      <c r="FW73" s="412"/>
      <c r="FX73" s="412"/>
      <c r="FY73" s="412"/>
      <c r="FZ73" s="412"/>
      <c r="GA73" s="412"/>
      <c r="GB73" s="412"/>
      <c r="GC73" s="412"/>
      <c r="GD73" s="412"/>
      <c r="GE73" s="412"/>
      <c r="GF73" s="412"/>
      <c r="GG73" s="412"/>
      <c r="GH73" s="412"/>
      <c r="GI73" s="42"/>
    </row>
    <row r="74" spans="1:191" ht="7.95" customHeight="1" x14ac:dyDescent="0.3">
      <c r="A74" s="413">
        <v>1</v>
      </c>
      <c r="B74" s="414"/>
      <c r="C74" s="414"/>
      <c r="D74" s="414"/>
      <c r="E74" s="414"/>
      <c r="F74" s="414"/>
      <c r="G74" s="414"/>
      <c r="H74" s="414"/>
      <c r="I74" s="414"/>
      <c r="J74" s="414"/>
      <c r="K74" s="414"/>
      <c r="L74" s="414"/>
      <c r="M74" s="414"/>
      <c r="N74" s="414"/>
      <c r="O74" s="414"/>
      <c r="P74" s="414"/>
      <c r="Q74" s="414"/>
      <c r="R74" s="414"/>
      <c r="S74" s="414"/>
      <c r="T74" s="414"/>
      <c r="U74" s="414"/>
      <c r="V74" s="414"/>
      <c r="W74" s="414"/>
      <c r="X74" s="414"/>
      <c r="Y74" s="414"/>
      <c r="Z74" s="414"/>
      <c r="AA74" s="414"/>
      <c r="AB74" s="414"/>
      <c r="AC74" s="414"/>
      <c r="AD74" s="414"/>
      <c r="AE74" s="414"/>
      <c r="AF74" s="414"/>
      <c r="AG74" s="414"/>
      <c r="AH74" s="415"/>
      <c r="AI74" s="413">
        <v>2</v>
      </c>
      <c r="AJ74" s="416"/>
      <c r="AK74" s="416"/>
      <c r="AL74" s="416"/>
      <c r="AM74" s="416"/>
      <c r="AN74" s="416"/>
      <c r="AO74" s="416"/>
      <c r="AP74" s="416"/>
      <c r="AQ74" s="416"/>
      <c r="AR74" s="416"/>
      <c r="AS74" s="416"/>
      <c r="AT74" s="416"/>
      <c r="AU74" s="416"/>
      <c r="AV74" s="416"/>
      <c r="AW74" s="416"/>
      <c r="AX74" s="416"/>
      <c r="AY74" s="416"/>
      <c r="AZ74" s="416"/>
      <c r="BA74" s="416"/>
      <c r="BB74" s="416"/>
      <c r="BC74" s="416"/>
      <c r="BD74" s="416"/>
      <c r="BE74" s="416"/>
      <c r="BF74" s="416"/>
      <c r="BG74" s="416"/>
      <c r="BH74" s="416"/>
      <c r="BI74" s="416"/>
      <c r="BJ74" s="416"/>
      <c r="BK74" s="416"/>
      <c r="BL74" s="416"/>
      <c r="BM74" s="416"/>
      <c r="BN74" s="416"/>
      <c r="BO74" s="416"/>
      <c r="BP74" s="416"/>
      <c r="BQ74" s="416"/>
      <c r="BR74" s="416"/>
      <c r="BS74" s="416"/>
      <c r="BT74" s="417"/>
      <c r="BU74" s="413">
        <v>3</v>
      </c>
      <c r="BV74" s="416"/>
      <c r="BW74" s="416"/>
      <c r="BX74" s="416"/>
      <c r="BY74" s="416"/>
      <c r="BZ74" s="416"/>
      <c r="CA74" s="416"/>
      <c r="CB74" s="416"/>
      <c r="CC74" s="416"/>
      <c r="CD74" s="416"/>
      <c r="CE74" s="416"/>
      <c r="CF74" s="416"/>
      <c r="CG74" s="416"/>
      <c r="CH74" s="416"/>
      <c r="CI74" s="416"/>
      <c r="CJ74" s="416"/>
      <c r="CK74" s="416"/>
      <c r="CL74" s="417"/>
      <c r="CM74" s="413">
        <v>4</v>
      </c>
      <c r="CN74" s="416"/>
      <c r="CO74" s="416"/>
      <c r="CP74" s="416"/>
      <c r="CQ74" s="416"/>
      <c r="CR74" s="416"/>
      <c r="CS74" s="416"/>
      <c r="CT74" s="416"/>
      <c r="CU74" s="416"/>
      <c r="CV74" s="416"/>
      <c r="CW74" s="416"/>
      <c r="CX74" s="416"/>
      <c r="CY74" s="416"/>
      <c r="CZ74" s="416"/>
      <c r="DA74" s="416"/>
      <c r="DB74" s="417"/>
      <c r="DC74" s="413">
        <v>5</v>
      </c>
      <c r="DD74" s="416"/>
      <c r="DE74" s="416"/>
      <c r="DF74" s="416"/>
      <c r="DG74" s="416"/>
      <c r="DH74" s="416"/>
      <c r="DI74" s="416"/>
      <c r="DJ74" s="416"/>
      <c r="DK74" s="416"/>
      <c r="DL74" s="416"/>
      <c r="DM74" s="416"/>
      <c r="DN74" s="416"/>
      <c r="DO74" s="416"/>
      <c r="DP74" s="416"/>
      <c r="DQ74" s="416"/>
      <c r="DR74" s="416"/>
      <c r="DS74" s="416"/>
      <c r="DT74" s="416"/>
      <c r="DU74" s="416"/>
      <c r="DV74" s="416"/>
      <c r="DW74" s="416"/>
      <c r="DX74" s="416"/>
      <c r="DY74" s="416"/>
      <c r="DZ74" s="416"/>
      <c r="EA74" s="416"/>
      <c r="EB74" s="416"/>
      <c r="EC74" s="416"/>
      <c r="ED74" s="416"/>
      <c r="EE74" s="416"/>
      <c r="EF74" s="416"/>
      <c r="EG74" s="416"/>
      <c r="EH74" s="416"/>
      <c r="EI74" s="417"/>
      <c r="EJ74" s="447">
        <v>6</v>
      </c>
      <c r="EK74" s="447"/>
      <c r="EL74" s="447"/>
      <c r="EM74" s="447"/>
      <c r="EN74" s="447"/>
      <c r="EO74" s="447"/>
      <c r="EP74" s="447"/>
      <c r="EQ74" s="447"/>
      <c r="ER74" s="447"/>
      <c r="ES74" s="447"/>
      <c r="ET74" s="447"/>
      <c r="EU74" s="447">
        <v>7</v>
      </c>
      <c r="EV74" s="447"/>
      <c r="EW74" s="447"/>
      <c r="EX74" s="447"/>
      <c r="EY74" s="447"/>
      <c r="EZ74" s="447"/>
      <c r="FA74" s="447"/>
      <c r="FB74" s="447"/>
      <c r="FC74" s="447"/>
      <c r="FD74" s="447"/>
      <c r="FE74" s="447"/>
      <c r="FF74" s="447"/>
      <c r="FG74" s="447"/>
      <c r="FH74" s="447">
        <v>8</v>
      </c>
      <c r="FI74" s="447"/>
      <c r="FJ74" s="447"/>
      <c r="FK74" s="447"/>
      <c r="FL74" s="447"/>
      <c r="FM74" s="447"/>
      <c r="FN74" s="447"/>
      <c r="FO74" s="447"/>
      <c r="FP74" s="447"/>
      <c r="FQ74" s="447"/>
      <c r="FR74" s="447"/>
      <c r="FS74" s="447"/>
      <c r="FT74" s="447"/>
      <c r="FU74" s="447">
        <v>9</v>
      </c>
      <c r="FV74" s="447"/>
      <c r="FW74" s="447"/>
      <c r="FX74" s="447"/>
      <c r="FY74" s="447"/>
      <c r="FZ74" s="447"/>
      <c r="GA74" s="447"/>
      <c r="GB74" s="447"/>
      <c r="GC74" s="447"/>
      <c r="GD74" s="447"/>
      <c r="GE74" s="447"/>
      <c r="GF74" s="447"/>
      <c r="GG74" s="447"/>
      <c r="GH74" s="447"/>
      <c r="GI74" s="42"/>
    </row>
    <row r="75" spans="1:191" x14ac:dyDescent="0.3">
      <c r="A75" s="422" t="s">
        <v>186</v>
      </c>
      <c r="B75" s="423"/>
      <c r="C75" s="423"/>
      <c r="D75" s="423"/>
      <c r="E75" s="423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  <c r="AA75" s="423"/>
      <c r="AB75" s="423"/>
      <c r="AC75" s="423"/>
      <c r="AD75" s="423"/>
      <c r="AE75" s="423"/>
      <c r="AF75" s="423"/>
      <c r="AG75" s="423"/>
      <c r="AH75" s="424"/>
      <c r="AI75" s="425"/>
      <c r="AJ75" s="426"/>
      <c r="AK75" s="426"/>
      <c r="AL75" s="426"/>
      <c r="AM75" s="426"/>
      <c r="AN75" s="426"/>
      <c r="AO75" s="426"/>
      <c r="AP75" s="426"/>
      <c r="AQ75" s="426"/>
      <c r="AR75" s="426"/>
      <c r="AS75" s="426"/>
      <c r="AT75" s="426"/>
      <c r="AU75" s="426"/>
      <c r="AV75" s="426"/>
      <c r="AW75" s="426"/>
      <c r="AX75" s="426"/>
      <c r="AY75" s="426"/>
      <c r="AZ75" s="426"/>
      <c r="BA75" s="426"/>
      <c r="BB75" s="426"/>
      <c r="BC75" s="426"/>
      <c r="BD75" s="426"/>
      <c r="BE75" s="426"/>
      <c r="BF75" s="426"/>
      <c r="BG75" s="426"/>
      <c r="BH75" s="426"/>
      <c r="BI75" s="426"/>
      <c r="BJ75" s="426"/>
      <c r="BK75" s="426"/>
      <c r="BL75" s="426"/>
      <c r="BM75" s="426"/>
      <c r="BN75" s="426"/>
      <c r="BO75" s="426"/>
      <c r="BP75" s="426"/>
      <c r="BQ75" s="426"/>
      <c r="BR75" s="426"/>
      <c r="BS75" s="426"/>
      <c r="BT75" s="427"/>
      <c r="BU75" s="425"/>
      <c r="BV75" s="426"/>
      <c r="BW75" s="426"/>
      <c r="BX75" s="426"/>
      <c r="BY75" s="426"/>
      <c r="BZ75" s="426"/>
      <c r="CA75" s="426"/>
      <c r="CB75" s="426"/>
      <c r="CC75" s="426"/>
      <c r="CD75" s="426"/>
      <c r="CE75" s="426"/>
      <c r="CF75" s="426"/>
      <c r="CG75" s="426"/>
      <c r="CH75" s="426"/>
      <c r="CI75" s="426"/>
      <c r="CJ75" s="426"/>
      <c r="CK75" s="426"/>
      <c r="CL75" s="426"/>
      <c r="CM75" s="428"/>
      <c r="CN75" s="429"/>
      <c r="CO75" s="429"/>
      <c r="CP75" s="429"/>
      <c r="CQ75" s="429"/>
      <c r="CR75" s="429"/>
      <c r="CS75" s="429"/>
      <c r="CT75" s="429"/>
      <c r="CU75" s="429"/>
      <c r="CV75" s="429"/>
      <c r="CW75" s="429"/>
      <c r="CX75" s="429"/>
      <c r="CY75" s="429"/>
      <c r="CZ75" s="429"/>
      <c r="DA75" s="429"/>
      <c r="DB75" s="430"/>
      <c r="DC75" s="431"/>
      <c r="DD75" s="431"/>
      <c r="DE75" s="431"/>
      <c r="DF75" s="431"/>
      <c r="DG75" s="431"/>
      <c r="DH75" s="431"/>
      <c r="DI75" s="431"/>
      <c r="DJ75" s="431"/>
      <c r="DK75" s="431"/>
      <c r="DL75" s="431"/>
      <c r="DM75" s="431"/>
      <c r="DN75" s="431"/>
      <c r="DO75" s="431"/>
      <c r="DP75" s="431"/>
      <c r="DQ75" s="431"/>
      <c r="DR75" s="431"/>
      <c r="DS75" s="431"/>
      <c r="DT75" s="431"/>
      <c r="DU75" s="431"/>
      <c r="DV75" s="431"/>
      <c r="DW75" s="431"/>
      <c r="DX75" s="431"/>
      <c r="DY75" s="431"/>
      <c r="DZ75" s="431"/>
      <c r="EA75" s="431"/>
      <c r="EB75" s="431"/>
      <c r="EC75" s="431"/>
      <c r="ED75" s="431"/>
      <c r="EE75" s="431"/>
      <c r="EF75" s="431"/>
      <c r="EG75" s="431"/>
      <c r="EH75" s="431"/>
      <c r="EI75" s="431"/>
      <c r="EJ75" s="425"/>
      <c r="EK75" s="432"/>
      <c r="EL75" s="432"/>
      <c r="EM75" s="432"/>
      <c r="EN75" s="432"/>
      <c r="EO75" s="432"/>
      <c r="EP75" s="432"/>
      <c r="EQ75" s="432"/>
      <c r="ER75" s="432"/>
      <c r="ES75" s="432"/>
      <c r="ET75" s="433"/>
      <c r="EU75" s="432"/>
      <c r="EV75" s="432"/>
      <c r="EW75" s="432"/>
      <c r="EX75" s="432"/>
      <c r="EY75" s="432"/>
      <c r="EZ75" s="432"/>
      <c r="FA75" s="432"/>
      <c r="FB75" s="432"/>
      <c r="FC75" s="432"/>
      <c r="FD75" s="432"/>
      <c r="FE75" s="432"/>
      <c r="FF75" s="432"/>
      <c r="FG75" s="432"/>
      <c r="FH75" s="425"/>
      <c r="FI75" s="432"/>
      <c r="FJ75" s="432"/>
      <c r="FK75" s="432"/>
      <c r="FL75" s="432"/>
      <c r="FM75" s="432"/>
      <c r="FN75" s="432"/>
      <c r="FO75" s="432"/>
      <c r="FP75" s="432"/>
      <c r="FQ75" s="432"/>
      <c r="FR75" s="432"/>
      <c r="FS75" s="432"/>
      <c r="FT75" s="433"/>
      <c r="FU75" s="434"/>
      <c r="FV75" s="434"/>
      <c r="FW75" s="434"/>
      <c r="FX75" s="434"/>
      <c r="FY75" s="434"/>
      <c r="FZ75" s="434"/>
      <c r="GA75" s="434"/>
      <c r="GB75" s="434"/>
      <c r="GC75" s="434"/>
      <c r="GD75" s="434"/>
      <c r="GE75" s="434"/>
      <c r="GF75" s="434"/>
      <c r="GG75" s="434"/>
      <c r="GH75" s="435"/>
      <c r="GI75" s="42"/>
    </row>
    <row r="76" spans="1:191" ht="8.4" customHeight="1" x14ac:dyDescent="0.3">
      <c r="A76" s="96" t="s">
        <v>187</v>
      </c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261" t="s">
        <v>188</v>
      </c>
      <c r="AT76" s="261"/>
      <c r="AU76" s="261"/>
      <c r="AV76" s="261"/>
      <c r="AW76" s="261"/>
      <c r="AX76" s="261"/>
      <c r="AY76" s="96"/>
      <c r="AZ76" s="96"/>
      <c r="BA76" s="96"/>
      <c r="BB76" s="96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98"/>
      <c r="BO76" s="78"/>
      <c r="BP76" s="96" t="s">
        <v>187</v>
      </c>
      <c r="BQ76" s="96"/>
      <c r="BR76" s="96"/>
      <c r="BS76" s="96"/>
      <c r="BT76" s="96"/>
      <c r="BU76" s="96"/>
      <c r="BV76" s="96"/>
      <c r="BW76" s="96"/>
      <c r="BX76" s="96"/>
      <c r="BY76" s="96"/>
      <c r="BZ76" s="96"/>
      <c r="CA76" s="96"/>
      <c r="CB76" s="96"/>
      <c r="CC76" s="96"/>
      <c r="CD76" s="96"/>
      <c r="CE76" s="96"/>
      <c r="CF76" s="96"/>
      <c r="CG76" s="96"/>
      <c r="CH76" s="96"/>
      <c r="CI76" s="96"/>
      <c r="CJ76" s="96"/>
      <c r="CK76" s="96"/>
      <c r="CL76" s="96"/>
      <c r="CM76" s="96"/>
      <c r="CN76" s="96"/>
      <c r="CO76" s="96"/>
      <c r="CP76" s="96"/>
      <c r="CQ76" s="96"/>
      <c r="CR76" s="96"/>
      <c r="CS76" s="78"/>
      <c r="CT76" s="78"/>
      <c r="CU76" s="78"/>
      <c r="CV76" s="78"/>
      <c r="CW76" s="78"/>
      <c r="CX76" s="78"/>
      <c r="CY76" s="78"/>
      <c r="CZ76" s="78"/>
      <c r="DA76" s="78"/>
      <c r="DB76" s="261" t="s">
        <v>188</v>
      </c>
      <c r="DC76" s="261"/>
      <c r="DD76" s="261"/>
      <c r="DE76" s="261"/>
      <c r="DF76" s="261"/>
      <c r="DG76" s="261"/>
      <c r="DH76" s="261"/>
      <c r="DI76" s="261"/>
      <c r="DJ76" s="261"/>
      <c r="DK76" s="78"/>
      <c r="DL76" s="78"/>
      <c r="DM76" s="78"/>
      <c r="DN76" s="78"/>
      <c r="DO76" s="78"/>
      <c r="DP76" s="78"/>
      <c r="DQ76" s="78"/>
      <c r="DR76" s="78"/>
      <c r="DS76" s="78"/>
      <c r="DT76" s="78"/>
      <c r="DU76" s="96"/>
      <c r="DV76" s="96" t="s">
        <v>72</v>
      </c>
      <c r="DW76" s="78"/>
      <c r="DX76" s="96"/>
      <c r="DY76" s="96"/>
      <c r="DZ76" s="96"/>
      <c r="EA76" s="96"/>
      <c r="EB76" s="96"/>
      <c r="EC76" s="96"/>
      <c r="ED76" s="96"/>
      <c r="EE76" s="96"/>
      <c r="EF76" s="96"/>
      <c r="EG76" s="96"/>
      <c r="EH76" s="96"/>
      <c r="EI76" s="96"/>
      <c r="EJ76" s="436"/>
      <c r="EK76" s="314"/>
      <c r="EL76" s="314"/>
      <c r="EM76" s="314"/>
      <c r="EN76" s="314"/>
      <c r="EO76" s="314"/>
      <c r="EP76" s="314"/>
      <c r="EQ76" s="314"/>
      <c r="ER76" s="314"/>
      <c r="ES76" s="314"/>
      <c r="ET76" s="437"/>
      <c r="EU76" s="314" t="s">
        <v>189</v>
      </c>
      <c r="EV76" s="314"/>
      <c r="EW76" s="314"/>
      <c r="EX76" s="314"/>
      <c r="EY76" s="314"/>
      <c r="EZ76" s="314"/>
      <c r="FA76" s="314"/>
      <c r="FB76" s="314"/>
      <c r="FC76" s="314"/>
      <c r="FD76" s="314"/>
      <c r="FE76" s="314"/>
      <c r="FF76" s="314"/>
      <c r="FG76" s="314"/>
      <c r="FH76" s="314"/>
      <c r="FI76" s="314"/>
      <c r="FJ76" s="314"/>
      <c r="FK76" s="314"/>
      <c r="FL76" s="314"/>
      <c r="FM76" s="314"/>
      <c r="FN76" s="314"/>
      <c r="FO76" s="314"/>
      <c r="FP76" s="314"/>
      <c r="FQ76" s="314"/>
      <c r="FR76" s="314"/>
      <c r="FS76" s="314"/>
      <c r="FT76" s="314"/>
      <c r="FU76" s="441"/>
      <c r="FV76" s="442"/>
      <c r="FW76" s="442"/>
      <c r="FX76" s="442"/>
      <c r="FY76" s="442"/>
      <c r="FZ76" s="442"/>
      <c r="GA76" s="442"/>
      <c r="GB76" s="442"/>
      <c r="GC76" s="442"/>
      <c r="GD76" s="442"/>
      <c r="GE76" s="442"/>
      <c r="GF76" s="442"/>
      <c r="GG76" s="442"/>
      <c r="GH76" s="443"/>
      <c r="GI76" s="42"/>
    </row>
    <row r="77" spans="1:191" ht="8.4" customHeight="1" thickBot="1" x14ac:dyDescent="0.35">
      <c r="A77" s="78" t="s">
        <v>190</v>
      </c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450"/>
      <c r="AB77" s="450"/>
      <c r="AC77" s="450"/>
      <c r="AD77" s="450"/>
      <c r="AE77" s="450"/>
      <c r="AF77" s="450"/>
      <c r="AG77" s="450"/>
      <c r="AH77" s="450"/>
      <c r="AI77" s="450"/>
      <c r="AJ77" s="450"/>
      <c r="AK77" s="450"/>
      <c r="AL77" s="450"/>
      <c r="AM77" s="450"/>
      <c r="AN77" s="450"/>
      <c r="AO77" s="450"/>
      <c r="AP77" s="450"/>
      <c r="AQ77" s="450"/>
      <c r="AR77" s="450"/>
      <c r="AS77" s="380" t="s">
        <v>191</v>
      </c>
      <c r="AT77" s="380"/>
      <c r="AU77" s="380"/>
      <c r="AV77" s="380"/>
      <c r="AW77" s="380"/>
      <c r="AX77" s="380"/>
      <c r="AY77" s="449"/>
      <c r="AZ77" s="449"/>
      <c r="BA77" s="449"/>
      <c r="BB77" s="449"/>
      <c r="BC77" s="449"/>
      <c r="BD77" s="449"/>
      <c r="BE77" s="449"/>
      <c r="BF77" s="449"/>
      <c r="BG77" s="449"/>
      <c r="BH77" s="449"/>
      <c r="BI77" s="449"/>
      <c r="BJ77" s="449"/>
      <c r="BK77" s="449"/>
      <c r="BL77" s="449"/>
      <c r="BM77" s="449"/>
      <c r="BN77" s="99"/>
      <c r="BO77" s="78"/>
      <c r="BP77" s="78" t="s">
        <v>190</v>
      </c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451"/>
      <c r="CT77" s="451"/>
      <c r="CU77" s="451"/>
      <c r="CV77" s="451"/>
      <c r="CW77" s="451"/>
      <c r="CX77" s="451"/>
      <c r="CY77" s="451"/>
      <c r="CZ77" s="451"/>
      <c r="DA77" s="451"/>
      <c r="DB77" s="380" t="s">
        <v>191</v>
      </c>
      <c r="DC77" s="380"/>
      <c r="DD77" s="380"/>
      <c r="DE77" s="380"/>
      <c r="DF77" s="380"/>
      <c r="DG77" s="380"/>
      <c r="DH77" s="380"/>
      <c r="DI77" s="380"/>
      <c r="DJ77" s="380"/>
      <c r="DK77" s="300"/>
      <c r="DL77" s="300"/>
      <c r="DM77" s="300"/>
      <c r="DN77" s="300"/>
      <c r="DO77" s="300"/>
      <c r="DP77" s="300"/>
      <c r="DQ77" s="300"/>
      <c r="DR77" s="300"/>
      <c r="DS77" s="300"/>
      <c r="DT77" s="300"/>
      <c r="DU77" s="78"/>
      <c r="DV77" s="78" t="s">
        <v>192</v>
      </c>
      <c r="DW77" s="78"/>
      <c r="DX77" s="78"/>
      <c r="DY77" s="78"/>
      <c r="DZ77" s="78"/>
      <c r="EA77" s="78"/>
      <c r="EB77" s="78"/>
      <c r="EC77" s="78"/>
      <c r="ED77" s="78"/>
      <c r="EE77" s="78"/>
      <c r="EF77" s="78"/>
      <c r="EG77" s="78"/>
      <c r="EH77" s="78"/>
      <c r="EI77" s="78"/>
      <c r="EJ77" s="438"/>
      <c r="EK77" s="439"/>
      <c r="EL77" s="439"/>
      <c r="EM77" s="439"/>
      <c r="EN77" s="439"/>
      <c r="EO77" s="439"/>
      <c r="EP77" s="439"/>
      <c r="EQ77" s="439"/>
      <c r="ER77" s="439"/>
      <c r="ES77" s="439"/>
      <c r="ET77" s="440"/>
      <c r="EU77" s="78"/>
      <c r="EV77" s="78"/>
      <c r="EW77" s="78"/>
      <c r="EX77" s="78"/>
      <c r="EY77" s="78"/>
      <c r="EZ77" s="78"/>
      <c r="FA77" s="78"/>
      <c r="FB77" s="78"/>
      <c r="FC77" s="78"/>
      <c r="FD77" s="78"/>
      <c r="FE77" s="78"/>
      <c r="FF77" s="78"/>
      <c r="FG77" s="78"/>
      <c r="FH77" s="78"/>
      <c r="FI77" s="78"/>
      <c r="FJ77" s="78"/>
      <c r="FK77" s="78"/>
      <c r="FL77" s="78"/>
      <c r="FM77" s="78"/>
      <c r="FN77" s="78"/>
      <c r="FO77" s="78"/>
      <c r="FP77" s="78"/>
      <c r="FQ77" s="78"/>
      <c r="FR77" s="78"/>
      <c r="FS77" s="78"/>
      <c r="FT77" s="78"/>
      <c r="FU77" s="444"/>
      <c r="FV77" s="445"/>
      <c r="FW77" s="445"/>
      <c r="FX77" s="445"/>
      <c r="FY77" s="445"/>
      <c r="FZ77" s="445"/>
      <c r="GA77" s="445"/>
      <c r="GB77" s="445"/>
      <c r="GC77" s="445"/>
      <c r="GD77" s="445"/>
      <c r="GE77" s="445"/>
      <c r="GF77" s="445"/>
      <c r="GG77" s="445"/>
      <c r="GH77" s="446"/>
      <c r="GI77" s="42"/>
    </row>
    <row r="78" spans="1:191" ht="7.2" customHeight="1" x14ac:dyDescent="0.3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448" t="s">
        <v>193</v>
      </c>
      <c r="AB78" s="448"/>
      <c r="AC78" s="448"/>
      <c r="AD78" s="448"/>
      <c r="AE78" s="448"/>
      <c r="AF78" s="448"/>
      <c r="AG78" s="448"/>
      <c r="AH78" s="448"/>
      <c r="AI78" s="448"/>
      <c r="AJ78" s="448"/>
      <c r="AK78" s="448"/>
      <c r="AL78" s="448"/>
      <c r="AM78" s="448"/>
      <c r="AN78" s="448"/>
      <c r="AO78" s="448"/>
      <c r="AP78" s="448"/>
      <c r="AQ78" s="448"/>
      <c r="AR78" s="448"/>
      <c r="AS78" s="85"/>
      <c r="AT78" s="85"/>
      <c r="AU78" s="100"/>
      <c r="AV78" s="100"/>
      <c r="AW78" s="100"/>
      <c r="AX78" s="100"/>
      <c r="AY78" s="448" t="s">
        <v>99</v>
      </c>
      <c r="AZ78" s="448"/>
      <c r="BA78" s="448"/>
      <c r="BB78" s="448"/>
      <c r="BC78" s="448"/>
      <c r="BD78" s="448"/>
      <c r="BE78" s="448"/>
      <c r="BF78" s="448"/>
      <c r="BG78" s="448"/>
      <c r="BH78" s="448"/>
      <c r="BI78" s="448"/>
      <c r="BJ78" s="448"/>
      <c r="BK78" s="448"/>
      <c r="BL78" s="448"/>
      <c r="BM78" s="448"/>
      <c r="BN78" s="101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448" t="s">
        <v>193</v>
      </c>
      <c r="CT78" s="448"/>
      <c r="CU78" s="448"/>
      <c r="CV78" s="448"/>
      <c r="CW78" s="448"/>
      <c r="CX78" s="448"/>
      <c r="CY78" s="448"/>
      <c r="CZ78" s="448"/>
      <c r="DA78" s="448"/>
      <c r="DB78" s="85"/>
      <c r="DC78" s="100"/>
      <c r="DD78" s="100"/>
      <c r="DE78" s="100"/>
      <c r="DF78" s="100"/>
      <c r="DG78" s="100"/>
      <c r="DH78" s="100"/>
      <c r="DI78" s="100"/>
      <c r="DJ78" s="85"/>
      <c r="DK78" s="448" t="s">
        <v>99</v>
      </c>
      <c r="DL78" s="448"/>
      <c r="DM78" s="448"/>
      <c r="DN78" s="448"/>
      <c r="DO78" s="448"/>
      <c r="DP78" s="448"/>
      <c r="DQ78" s="448"/>
      <c r="DR78" s="448"/>
      <c r="DS78" s="448"/>
      <c r="DT78" s="448"/>
      <c r="DU78" s="85"/>
      <c r="DV78" s="85"/>
      <c r="DW78" s="85"/>
      <c r="DX78" s="85"/>
      <c r="DY78" s="85"/>
      <c r="DZ78" s="85"/>
      <c r="EA78" s="85"/>
      <c r="EB78" s="85"/>
      <c r="EC78" s="85"/>
      <c r="ED78" s="85"/>
      <c r="EE78" s="85"/>
      <c r="EF78" s="85"/>
      <c r="EG78" s="85"/>
      <c r="EH78" s="85"/>
      <c r="EI78" s="85"/>
      <c r="EJ78" s="85"/>
      <c r="EK78" s="85"/>
      <c r="EL78" s="85"/>
      <c r="EM78" s="85"/>
      <c r="EN78" s="85"/>
      <c r="EO78" s="85"/>
      <c r="EP78" s="85"/>
      <c r="EQ78" s="85"/>
      <c r="ER78" s="85"/>
      <c r="ES78" s="85"/>
      <c r="ET78" s="85"/>
      <c r="EU78" s="85"/>
      <c r="EV78" s="85"/>
      <c r="EW78" s="85"/>
      <c r="EX78" s="85"/>
      <c r="EY78" s="85"/>
      <c r="EZ78" s="85"/>
      <c r="FA78" s="85"/>
      <c r="FB78" s="85"/>
      <c r="FC78" s="85"/>
      <c r="FD78" s="85"/>
      <c r="FE78" s="85"/>
      <c r="FF78" s="85"/>
      <c r="FG78" s="85"/>
      <c r="FH78" s="85"/>
      <c r="FI78" s="85"/>
      <c r="FJ78" s="85"/>
      <c r="FK78" s="85"/>
      <c r="FL78" s="85"/>
      <c r="FM78" s="85"/>
      <c r="FN78" s="85"/>
      <c r="FO78" s="85"/>
      <c r="FP78" s="85"/>
      <c r="FQ78" s="85"/>
      <c r="FR78" s="85"/>
      <c r="FS78" s="85"/>
      <c r="FT78" s="85"/>
      <c r="FU78" s="85"/>
      <c r="FV78" s="85"/>
      <c r="FW78" s="85"/>
      <c r="FX78" s="85"/>
      <c r="FY78" s="85"/>
      <c r="FZ78" s="85"/>
      <c r="GA78" s="85"/>
      <c r="GB78" s="85"/>
      <c r="GC78" s="85"/>
      <c r="GD78" s="85"/>
      <c r="GE78" s="85"/>
      <c r="GF78" s="85"/>
      <c r="GG78" s="85"/>
      <c r="GH78" s="85"/>
      <c r="GI78" s="42"/>
    </row>
    <row r="79" spans="1:191" ht="9.6" customHeight="1" x14ac:dyDescent="0.3">
      <c r="A79" s="78" t="s">
        <v>194</v>
      </c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449"/>
      <c r="R79" s="449"/>
      <c r="S79" s="449"/>
      <c r="T79" s="449"/>
      <c r="U79" s="449"/>
      <c r="V79" s="449"/>
      <c r="W79" s="449"/>
      <c r="X79" s="449"/>
      <c r="Y79" s="449"/>
      <c r="Z79" s="449"/>
      <c r="AA79" s="449"/>
      <c r="AB79" s="449"/>
      <c r="AC79" s="449"/>
      <c r="AD79" s="449"/>
      <c r="AE79" s="449"/>
      <c r="AF79" s="449"/>
      <c r="AG79" s="449"/>
      <c r="AH79" s="449"/>
      <c r="AI79" s="449"/>
      <c r="AJ79" s="449"/>
      <c r="AK79" s="449"/>
      <c r="AL79" s="449"/>
      <c r="AM79" s="449"/>
      <c r="AN79" s="449"/>
      <c r="AO79" s="449"/>
      <c r="AP79" s="449"/>
      <c r="AQ79" s="449"/>
      <c r="AR79" s="449"/>
      <c r="AS79" s="449"/>
      <c r="AT79" s="78"/>
      <c r="AU79" s="78" t="s">
        <v>195</v>
      </c>
      <c r="AV79" s="78"/>
      <c r="AW79" s="78"/>
      <c r="AX79" s="78"/>
      <c r="AY79" s="78"/>
      <c r="AZ79" s="78"/>
      <c r="BA79" s="78"/>
      <c r="BB79" s="78" t="s">
        <v>196</v>
      </c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98"/>
      <c r="BO79" s="78"/>
      <c r="BP79" s="78" t="s">
        <v>194</v>
      </c>
      <c r="BQ79" s="78"/>
      <c r="BR79" s="78"/>
      <c r="BS79" s="78"/>
      <c r="BT79" s="78"/>
      <c r="BU79" s="78"/>
      <c r="BV79" s="78"/>
      <c r="BW79" s="78"/>
      <c r="BX79" s="78"/>
      <c r="BY79" s="78"/>
      <c r="BZ79" s="78"/>
      <c r="CA79" s="78"/>
      <c r="CB79" s="78"/>
      <c r="CC79" s="78"/>
      <c r="CD79" s="78"/>
      <c r="CE79" s="78"/>
      <c r="CF79" s="362"/>
      <c r="CG79" s="362"/>
      <c r="CH79" s="362"/>
      <c r="CI79" s="362"/>
      <c r="CJ79" s="362"/>
      <c r="CK79" s="362"/>
      <c r="CL79" s="362"/>
      <c r="CM79" s="362"/>
      <c r="CN79" s="362"/>
      <c r="CO79" s="362"/>
      <c r="CP79" s="362"/>
      <c r="CQ79" s="362"/>
      <c r="CR79" s="362"/>
      <c r="CS79" s="362"/>
      <c r="CT79" s="362"/>
      <c r="CU79" s="362"/>
      <c r="CV79" s="362"/>
      <c r="CW79" s="362"/>
      <c r="CX79" s="362"/>
      <c r="CY79" s="362"/>
      <c r="CZ79" s="362"/>
      <c r="DA79" s="362"/>
      <c r="DB79" s="362"/>
      <c r="DC79" s="91" t="s">
        <v>195</v>
      </c>
      <c r="DD79" s="78"/>
      <c r="DE79" s="78"/>
      <c r="DF79" s="78"/>
      <c r="DG79" s="78"/>
      <c r="DH79" s="78"/>
      <c r="DI79" s="78"/>
      <c r="DJ79" s="78"/>
      <c r="DK79" s="78"/>
      <c r="DL79" s="78"/>
      <c r="DM79" s="78"/>
      <c r="DN79" s="78"/>
      <c r="DO79" s="78"/>
      <c r="DP79" s="78"/>
      <c r="DQ79" s="78"/>
      <c r="DR79" s="78"/>
      <c r="DS79" s="78"/>
      <c r="DT79" s="78"/>
      <c r="DU79" s="78"/>
      <c r="DV79" s="78"/>
      <c r="DW79" s="78"/>
      <c r="DX79" s="78"/>
      <c r="DY79" s="78"/>
      <c r="DZ79" s="78"/>
      <c r="EA79" s="78"/>
      <c r="EB79" s="102" t="s">
        <v>197</v>
      </c>
      <c r="EC79" s="78"/>
      <c r="ED79" s="78"/>
      <c r="EE79" s="78"/>
      <c r="EF79" s="78"/>
      <c r="EG79" s="78"/>
      <c r="EH79" s="78"/>
      <c r="EI79" s="78"/>
      <c r="EJ79" s="78"/>
      <c r="EK79" s="78"/>
      <c r="EL79" s="78"/>
      <c r="EM79" s="78"/>
      <c r="EN79" s="78"/>
      <c r="EO79" s="78"/>
      <c r="EP79" s="78"/>
      <c r="EQ79" s="78"/>
      <c r="ER79" s="78"/>
      <c r="ES79" s="78"/>
      <c r="ET79" s="78"/>
      <c r="EU79" s="78"/>
      <c r="EV79" s="78"/>
      <c r="EW79" s="78"/>
      <c r="EX79" s="78"/>
      <c r="EY79" s="78"/>
      <c r="EZ79" s="78"/>
      <c r="FA79" s="78"/>
      <c r="FB79" s="78"/>
      <c r="FC79" s="78"/>
      <c r="FD79" s="78"/>
      <c r="FE79" s="452"/>
      <c r="FF79" s="452"/>
      <c r="FG79" s="452"/>
      <c r="FH79" s="452"/>
      <c r="FI79" s="452"/>
      <c r="FJ79" s="452"/>
      <c r="FK79" s="452"/>
      <c r="FL79" s="452"/>
      <c r="FM79" s="452"/>
      <c r="FN79" s="452"/>
      <c r="FO79" s="452"/>
      <c r="FP79" s="452"/>
      <c r="FQ79" s="452"/>
      <c r="FR79" s="452"/>
      <c r="FS79" s="452"/>
      <c r="FT79" s="452"/>
      <c r="FU79" s="452"/>
      <c r="FV79" s="452"/>
      <c r="FW79" s="452"/>
      <c r="FX79" s="452"/>
      <c r="FY79" s="452"/>
      <c r="FZ79" s="452"/>
      <c r="GA79" s="452"/>
      <c r="GB79" s="452"/>
      <c r="GC79" s="452"/>
      <c r="GD79" s="452"/>
      <c r="GE79" s="452"/>
      <c r="GF79" s="452"/>
      <c r="GG79" s="452"/>
      <c r="GH79" s="452"/>
      <c r="GI79" s="42"/>
    </row>
    <row r="80" spans="1:191" s="33" customFormat="1" ht="6.6" customHeight="1" x14ac:dyDescent="0.3">
      <c r="A80" s="367" t="s">
        <v>198</v>
      </c>
      <c r="B80" s="367"/>
      <c r="C80" s="367"/>
      <c r="D80" s="367"/>
      <c r="E80" s="367"/>
      <c r="F80" s="367"/>
      <c r="G80" s="367"/>
      <c r="H80" s="103"/>
      <c r="I80" s="103"/>
      <c r="J80" s="103"/>
      <c r="K80" s="103"/>
      <c r="L80" s="103"/>
      <c r="M80" s="103"/>
      <c r="N80" s="103"/>
      <c r="O80" s="103"/>
      <c r="P80" s="103"/>
      <c r="Q80" s="404" t="s">
        <v>99</v>
      </c>
      <c r="R80" s="404"/>
      <c r="S80" s="404"/>
      <c r="T80" s="404"/>
      <c r="U80" s="404"/>
      <c r="V80" s="404"/>
      <c r="W80" s="404"/>
      <c r="X80" s="404"/>
      <c r="Y80" s="404"/>
      <c r="Z80" s="404"/>
      <c r="AA80" s="404"/>
      <c r="AB80" s="404"/>
      <c r="AC80" s="404"/>
      <c r="AD80" s="404"/>
      <c r="AE80" s="404"/>
      <c r="AF80" s="404"/>
      <c r="AG80" s="404"/>
      <c r="AH80" s="404"/>
      <c r="AI80" s="404"/>
      <c r="AJ80" s="404"/>
      <c r="AK80" s="404"/>
      <c r="AL80" s="404"/>
      <c r="AM80" s="404"/>
      <c r="AN80" s="404"/>
      <c r="AO80" s="404"/>
      <c r="AP80" s="404"/>
      <c r="AQ80" s="404"/>
      <c r="AR80" s="404"/>
      <c r="AS80" s="404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  <c r="BM80" s="103"/>
      <c r="BN80" s="104"/>
      <c r="BO80" s="103"/>
      <c r="BP80" s="103"/>
      <c r="BQ80" s="103"/>
      <c r="BR80" s="103"/>
      <c r="BS80" s="103"/>
      <c r="BT80" s="103"/>
      <c r="BU80" s="103"/>
      <c r="BV80" s="103"/>
      <c r="BW80" s="103"/>
      <c r="BX80" s="103"/>
      <c r="BY80" s="103"/>
      <c r="BZ80" s="103"/>
      <c r="CA80" s="103"/>
      <c r="CB80" s="103"/>
      <c r="CC80" s="103"/>
      <c r="CD80" s="103"/>
      <c r="CE80" s="103"/>
      <c r="CF80" s="404" t="s">
        <v>99</v>
      </c>
      <c r="CG80" s="404"/>
      <c r="CH80" s="404"/>
      <c r="CI80" s="404"/>
      <c r="CJ80" s="404"/>
      <c r="CK80" s="404"/>
      <c r="CL80" s="404"/>
      <c r="CM80" s="404"/>
      <c r="CN80" s="404"/>
      <c r="CO80" s="404"/>
      <c r="CP80" s="404"/>
      <c r="CQ80" s="404"/>
      <c r="CR80" s="404"/>
      <c r="CS80" s="404"/>
      <c r="CT80" s="404"/>
      <c r="CU80" s="404"/>
      <c r="CV80" s="404"/>
      <c r="CW80" s="404"/>
      <c r="CX80" s="404"/>
      <c r="CY80" s="404"/>
      <c r="CZ80" s="404"/>
      <c r="DA80" s="404"/>
      <c r="DB80" s="404"/>
      <c r="DC80" s="103"/>
      <c r="DD80" s="103"/>
      <c r="DE80" s="103"/>
      <c r="DF80" s="103"/>
      <c r="DG80" s="103"/>
      <c r="DH80" s="103"/>
      <c r="DI80" s="103"/>
      <c r="DJ80" s="103"/>
      <c r="DK80" s="103"/>
      <c r="DL80" s="103"/>
      <c r="DM80" s="103"/>
      <c r="DN80" s="103"/>
      <c r="DO80" s="103"/>
      <c r="DP80" s="103"/>
      <c r="DQ80" s="103"/>
      <c r="DR80" s="103"/>
      <c r="DS80" s="103"/>
      <c r="DT80" s="103"/>
      <c r="DU80" s="103"/>
      <c r="DV80" s="103"/>
      <c r="DW80" s="103"/>
      <c r="DX80" s="103"/>
      <c r="DY80" s="103"/>
      <c r="DZ80" s="103"/>
      <c r="EA80" s="103"/>
      <c r="EB80" s="105"/>
      <c r="EC80" s="103"/>
      <c r="ED80" s="103"/>
      <c r="EE80" s="103"/>
      <c r="EF80" s="103"/>
      <c r="EG80" s="103"/>
      <c r="EH80" s="103"/>
      <c r="EI80" s="103"/>
      <c r="EJ80" s="103"/>
      <c r="EK80" s="103"/>
      <c r="EL80" s="103"/>
      <c r="EM80" s="103"/>
      <c r="EN80" s="103"/>
      <c r="EO80" s="103"/>
      <c r="EP80" s="103"/>
      <c r="EQ80" s="103"/>
      <c r="ER80" s="103"/>
      <c r="ES80" s="103"/>
      <c r="ET80" s="103"/>
      <c r="EU80" s="103"/>
      <c r="EV80" s="103"/>
      <c r="EW80" s="103"/>
      <c r="EX80" s="103"/>
      <c r="EY80" s="103"/>
      <c r="EZ80" s="103"/>
      <c r="FA80" s="103"/>
      <c r="FB80" s="103"/>
      <c r="FC80" s="103"/>
      <c r="FD80" s="103"/>
      <c r="FE80" s="103"/>
      <c r="FF80" s="103"/>
      <c r="FG80" s="103"/>
      <c r="FH80" s="103"/>
      <c r="FI80" s="103"/>
      <c r="FJ80" s="103"/>
      <c r="FK80" s="103"/>
      <c r="FL80" s="103"/>
      <c r="FM80" s="103"/>
      <c r="FN80" s="103"/>
      <c r="FO80" s="103"/>
      <c r="FP80" s="103"/>
      <c r="FQ80" s="103"/>
      <c r="FR80" s="103"/>
      <c r="FS80" s="103"/>
      <c r="FT80" s="103"/>
      <c r="FU80" s="103"/>
      <c r="FV80" s="103"/>
      <c r="FW80" s="103"/>
      <c r="FX80" s="103"/>
      <c r="FY80" s="103"/>
      <c r="FZ80" s="103"/>
      <c r="GA80" s="103"/>
      <c r="GB80" s="103"/>
      <c r="GC80" s="103"/>
      <c r="GD80" s="103"/>
      <c r="GE80" s="103"/>
      <c r="GF80" s="103"/>
      <c r="GG80" s="103"/>
      <c r="GH80" s="103"/>
      <c r="GI80" s="75"/>
    </row>
    <row r="81" spans="1:191" ht="10.199999999999999" customHeight="1" x14ac:dyDescent="0.3">
      <c r="A81" s="367"/>
      <c r="B81" s="367"/>
      <c r="C81" s="367"/>
      <c r="D81" s="367"/>
      <c r="E81" s="367"/>
      <c r="F81" s="367"/>
      <c r="G81" s="367"/>
      <c r="H81" s="256" t="str">
        <f>AB48</f>
        <v>Кладовщик</v>
      </c>
      <c r="I81" s="256"/>
      <c r="J81" s="256"/>
      <c r="K81" s="256"/>
      <c r="L81" s="256"/>
      <c r="M81" s="256"/>
      <c r="N81" s="256"/>
      <c r="O81" s="256"/>
      <c r="P81" s="256"/>
      <c r="Q81" s="256"/>
      <c r="R81" s="256"/>
      <c r="S81" s="256"/>
      <c r="T81" s="78"/>
      <c r="U81" s="350"/>
      <c r="V81" s="350"/>
      <c r="W81" s="350"/>
      <c r="X81" s="350"/>
      <c r="Y81" s="350"/>
      <c r="Z81" s="350"/>
      <c r="AA81" s="350"/>
      <c r="AB81" s="350"/>
      <c r="AC81" s="350"/>
      <c r="AD81" s="350"/>
      <c r="AE81" s="350"/>
      <c r="AF81" s="78"/>
      <c r="AG81" s="78"/>
      <c r="AH81" s="402" t="str">
        <f>BR48</f>
        <v>Петров С.Н.</v>
      </c>
      <c r="AI81" s="402"/>
      <c r="AJ81" s="402"/>
      <c r="AK81" s="402"/>
      <c r="AL81" s="402"/>
      <c r="AM81" s="402"/>
      <c r="AN81" s="402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98"/>
      <c r="BO81" s="78"/>
      <c r="BP81" s="367" t="s">
        <v>199</v>
      </c>
      <c r="BQ81" s="367"/>
      <c r="BR81" s="367"/>
      <c r="BS81" s="367"/>
      <c r="BT81" s="367"/>
      <c r="BU81" s="367"/>
      <c r="BV81" s="367"/>
      <c r="BW81" s="367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453"/>
      <c r="CQ81" s="453"/>
      <c r="CR81" s="453"/>
      <c r="CS81" s="453"/>
      <c r="CT81" s="453"/>
      <c r="CU81" s="453"/>
      <c r="CV81" s="453"/>
      <c r="CW81" s="453"/>
      <c r="CX81" s="453"/>
      <c r="CY81" s="453"/>
      <c r="CZ81" s="453"/>
      <c r="DA81" s="78"/>
      <c r="DB81" s="78"/>
      <c r="DC81" s="455" t="str">
        <f>FI42</f>
        <v>Сундеев В.И.</v>
      </c>
      <c r="DD81" s="455"/>
      <c r="DE81" s="455"/>
      <c r="DF81" s="455"/>
      <c r="DG81" s="455"/>
      <c r="DH81" s="455"/>
      <c r="DI81" s="455"/>
      <c r="DJ81" s="455"/>
      <c r="DK81" s="455"/>
      <c r="DL81" s="455"/>
      <c r="DM81" s="455"/>
      <c r="DN81" s="455"/>
      <c r="DO81" s="455"/>
      <c r="DP81" s="455"/>
      <c r="DQ81" s="455"/>
      <c r="DR81" s="455"/>
      <c r="DS81" s="455"/>
      <c r="DT81" s="455"/>
      <c r="DU81" s="455"/>
      <c r="DV81" s="455"/>
      <c r="DW81" s="455"/>
      <c r="DX81" s="455"/>
      <c r="DY81" s="80"/>
      <c r="DZ81" s="78"/>
      <c r="EA81" s="78"/>
      <c r="EB81" s="456" t="s">
        <v>200</v>
      </c>
      <c r="EC81" s="367"/>
      <c r="ED81" s="367"/>
      <c r="EE81" s="367"/>
      <c r="EF81" s="367"/>
      <c r="EG81" s="367"/>
      <c r="EH81" s="367"/>
      <c r="EI81" s="367"/>
      <c r="EJ81" s="367"/>
      <c r="EK81" s="367"/>
      <c r="EL81" s="367"/>
      <c r="EM81" s="367"/>
      <c r="EN81" s="367"/>
      <c r="EO81" s="367"/>
      <c r="EP81" s="367"/>
      <c r="EQ81" s="367"/>
      <c r="ER81" s="367"/>
      <c r="ES81" s="367"/>
      <c r="ET81" s="367"/>
      <c r="EU81" s="367"/>
      <c r="EV81" s="367"/>
      <c r="EW81" s="78"/>
      <c r="EX81" s="367"/>
      <c r="EY81" s="367"/>
      <c r="EZ81" s="367"/>
      <c r="FA81" s="367"/>
      <c r="FB81" s="367"/>
      <c r="FC81" s="367"/>
      <c r="FD81" s="367"/>
      <c r="FE81" s="367"/>
      <c r="FF81" s="367"/>
      <c r="FG81" s="367"/>
      <c r="FH81" s="367"/>
      <c r="FI81" s="367"/>
      <c r="FJ81" s="367"/>
      <c r="FK81" s="367"/>
      <c r="FL81" s="367"/>
      <c r="FM81" s="367"/>
      <c r="FN81" s="367"/>
      <c r="FO81" s="367"/>
      <c r="FP81" s="367"/>
      <c r="FQ81" s="367"/>
      <c r="FR81" s="367"/>
      <c r="FS81" s="367"/>
      <c r="FT81" s="367"/>
      <c r="FU81" s="367"/>
      <c r="FV81" s="367"/>
      <c r="FW81" s="367"/>
      <c r="FX81" s="367"/>
      <c r="FY81" s="367"/>
      <c r="FZ81" s="367"/>
      <c r="GA81" s="367"/>
      <c r="GB81" s="367"/>
      <c r="GC81" s="367"/>
      <c r="GD81" s="367"/>
      <c r="GE81" s="367"/>
      <c r="GF81" s="367"/>
      <c r="GG81" s="367"/>
      <c r="GH81" s="367"/>
      <c r="GI81" s="42"/>
    </row>
    <row r="82" spans="1:191" ht="3" customHeight="1" x14ac:dyDescent="0.3">
      <c r="A82" s="78"/>
      <c r="B82" s="78"/>
      <c r="C82" s="78"/>
      <c r="D82" s="78"/>
      <c r="E82" s="78"/>
      <c r="F82" s="78"/>
      <c r="G82" s="78"/>
      <c r="H82" s="78"/>
      <c r="I82" s="398" t="s">
        <v>121</v>
      </c>
      <c r="J82" s="398"/>
      <c r="K82" s="398"/>
      <c r="L82" s="398"/>
      <c r="M82" s="398"/>
      <c r="N82" s="398"/>
      <c r="O82" s="398"/>
      <c r="P82" s="398"/>
      <c r="Q82" s="398"/>
      <c r="R82" s="398"/>
      <c r="S82" s="106"/>
      <c r="T82" s="106"/>
      <c r="U82" s="404" t="s">
        <v>122</v>
      </c>
      <c r="V82" s="404"/>
      <c r="W82" s="404"/>
      <c r="X82" s="404"/>
      <c r="Y82" s="404"/>
      <c r="Z82" s="404"/>
      <c r="AA82" s="404"/>
      <c r="AB82" s="404"/>
      <c r="AC82" s="404"/>
      <c r="AD82" s="404"/>
      <c r="AE82" s="404"/>
      <c r="AF82" s="106"/>
      <c r="AG82" s="106"/>
      <c r="AH82" s="404" t="s">
        <v>126</v>
      </c>
      <c r="AI82" s="404"/>
      <c r="AJ82" s="404"/>
      <c r="AK82" s="404"/>
      <c r="AL82" s="404"/>
      <c r="AM82" s="404"/>
      <c r="AN82" s="404"/>
      <c r="AO82" s="404"/>
      <c r="AP82" s="404"/>
      <c r="AQ82" s="404"/>
      <c r="AR82" s="404"/>
      <c r="AS82" s="404"/>
      <c r="AT82" s="404"/>
      <c r="AU82" s="404"/>
      <c r="AV82" s="404"/>
      <c r="AW82" s="404"/>
      <c r="AX82" s="404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98"/>
      <c r="BO82" s="78"/>
      <c r="BP82" s="367"/>
      <c r="BQ82" s="367"/>
      <c r="BR82" s="367"/>
      <c r="BS82" s="367"/>
      <c r="BT82" s="367"/>
      <c r="BU82" s="367"/>
      <c r="BV82" s="367"/>
      <c r="BW82" s="367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/>
      <c r="CZ82" s="454"/>
      <c r="DA82" s="107"/>
      <c r="DB82" s="107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86"/>
      <c r="DZ82" s="78"/>
      <c r="EA82" s="78"/>
      <c r="EB82" s="456"/>
      <c r="EC82" s="367"/>
      <c r="ED82" s="367"/>
      <c r="EE82" s="367"/>
      <c r="EF82" s="367"/>
      <c r="EG82" s="367"/>
      <c r="EH82" s="367"/>
      <c r="EI82" s="367"/>
      <c r="EJ82" s="367"/>
      <c r="EK82" s="367"/>
      <c r="EL82" s="367"/>
      <c r="EM82" s="367"/>
      <c r="EN82" s="367"/>
      <c r="EO82" s="367"/>
      <c r="EP82" s="367"/>
      <c r="EQ82" s="367"/>
      <c r="ER82" s="367"/>
      <c r="ES82" s="367"/>
      <c r="ET82" s="367"/>
      <c r="EU82" s="367"/>
      <c r="EV82" s="367"/>
      <c r="EW82" s="78"/>
      <c r="EX82" s="367"/>
      <c r="EY82" s="367"/>
      <c r="EZ82" s="367"/>
      <c r="FA82" s="367"/>
      <c r="FB82" s="367"/>
      <c r="FC82" s="367"/>
      <c r="FD82" s="367"/>
      <c r="FE82" s="367"/>
      <c r="FF82" s="367"/>
      <c r="FG82" s="367"/>
      <c r="FH82" s="367"/>
      <c r="FI82" s="367"/>
      <c r="FJ82" s="367"/>
      <c r="FK82" s="367"/>
      <c r="FL82" s="367"/>
      <c r="FM82" s="367"/>
      <c r="FN82" s="367"/>
      <c r="FO82" s="367"/>
      <c r="FP82" s="367"/>
      <c r="FQ82" s="367"/>
      <c r="FR82" s="367"/>
      <c r="FS82" s="367"/>
      <c r="FT82" s="367"/>
      <c r="FU82" s="367"/>
      <c r="FV82" s="367"/>
      <c r="FW82" s="367"/>
      <c r="FX82" s="367"/>
      <c r="FY82" s="367"/>
      <c r="FZ82" s="367"/>
      <c r="GA82" s="367"/>
      <c r="GB82" s="367"/>
      <c r="GC82" s="367"/>
      <c r="GD82" s="367"/>
      <c r="GE82" s="367"/>
      <c r="GF82" s="367"/>
      <c r="GG82" s="367"/>
      <c r="GH82" s="367"/>
      <c r="GI82" s="42"/>
    </row>
    <row r="83" spans="1:191" ht="2.4" customHeight="1" x14ac:dyDescent="0.3">
      <c r="A83" s="78"/>
      <c r="B83" s="78"/>
      <c r="C83" s="78"/>
      <c r="D83" s="78"/>
      <c r="E83" s="78"/>
      <c r="F83" s="78"/>
      <c r="G83" s="78"/>
      <c r="H83" s="78"/>
      <c r="I83" s="398"/>
      <c r="J83" s="398"/>
      <c r="K83" s="398"/>
      <c r="L83" s="398"/>
      <c r="M83" s="398"/>
      <c r="N83" s="398"/>
      <c r="O83" s="398"/>
      <c r="P83" s="398"/>
      <c r="Q83" s="398"/>
      <c r="R83" s="398"/>
      <c r="S83" s="96"/>
      <c r="T83" s="96"/>
      <c r="U83" s="398"/>
      <c r="V83" s="398"/>
      <c r="W83" s="398"/>
      <c r="X83" s="398"/>
      <c r="Y83" s="398"/>
      <c r="Z83" s="398"/>
      <c r="AA83" s="398"/>
      <c r="AB83" s="398"/>
      <c r="AC83" s="398"/>
      <c r="AD83" s="398"/>
      <c r="AE83" s="398"/>
      <c r="AF83" s="96"/>
      <c r="AG83" s="96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  <c r="AR83" s="398"/>
      <c r="AS83" s="398"/>
      <c r="AT83" s="398"/>
      <c r="AU83" s="398"/>
      <c r="AV83" s="398"/>
      <c r="AW83" s="398"/>
      <c r="AX83" s="39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9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86"/>
      <c r="CM83" s="86"/>
      <c r="CN83" s="86"/>
      <c r="CO83" s="86"/>
      <c r="CP83" s="404" t="s">
        <v>122</v>
      </c>
      <c r="CQ83" s="404"/>
      <c r="CR83" s="404"/>
      <c r="CS83" s="404"/>
      <c r="CT83" s="404"/>
      <c r="CU83" s="404"/>
      <c r="CV83" s="404"/>
      <c r="CW83" s="404"/>
      <c r="CX83" s="404"/>
      <c r="CY83" s="404"/>
      <c r="CZ83" s="404"/>
      <c r="DA83" s="96"/>
      <c r="DB83" s="96"/>
      <c r="DC83" s="404" t="s">
        <v>126</v>
      </c>
      <c r="DD83" s="404"/>
      <c r="DE83" s="404"/>
      <c r="DF83" s="404"/>
      <c r="DG83" s="404"/>
      <c r="DH83" s="404"/>
      <c r="DI83" s="404"/>
      <c r="DJ83" s="404"/>
      <c r="DK83" s="404"/>
      <c r="DL83" s="404"/>
      <c r="DM83" s="404"/>
      <c r="DN83" s="404"/>
      <c r="DO83" s="404"/>
      <c r="DP83" s="404"/>
      <c r="DQ83" s="404"/>
      <c r="DR83" s="404"/>
      <c r="DS83" s="404"/>
      <c r="DT83" s="404"/>
      <c r="DU83" s="404"/>
      <c r="DV83" s="404"/>
      <c r="DW83" s="404"/>
      <c r="DX83" s="404"/>
      <c r="DY83" s="86"/>
      <c r="DZ83" s="78"/>
      <c r="EA83" s="78"/>
      <c r="EB83" s="456"/>
      <c r="EC83" s="367"/>
      <c r="ED83" s="367"/>
      <c r="EE83" s="367"/>
      <c r="EF83" s="367"/>
      <c r="EG83" s="367"/>
      <c r="EH83" s="367"/>
      <c r="EI83" s="367"/>
      <c r="EJ83" s="367"/>
      <c r="EK83" s="367"/>
      <c r="EL83" s="367"/>
      <c r="EM83" s="367"/>
      <c r="EN83" s="367"/>
      <c r="EO83" s="367"/>
      <c r="EP83" s="367"/>
      <c r="EQ83" s="367"/>
      <c r="ER83" s="367"/>
      <c r="ES83" s="367"/>
      <c r="ET83" s="367"/>
      <c r="EU83" s="367"/>
      <c r="EV83" s="367"/>
      <c r="EW83" s="78"/>
      <c r="EX83" s="457"/>
      <c r="EY83" s="457"/>
      <c r="EZ83" s="457"/>
      <c r="FA83" s="457"/>
      <c r="FB83" s="457"/>
      <c r="FC83" s="457"/>
      <c r="FD83" s="457"/>
      <c r="FE83" s="457"/>
      <c r="FF83" s="457"/>
      <c r="FG83" s="457"/>
      <c r="FH83" s="457"/>
      <c r="FI83" s="457"/>
      <c r="FJ83" s="457"/>
      <c r="FK83" s="457"/>
      <c r="FL83" s="457"/>
      <c r="FM83" s="457"/>
      <c r="FN83" s="457"/>
      <c r="FO83" s="457"/>
      <c r="FP83" s="457"/>
      <c r="FQ83" s="457"/>
      <c r="FR83" s="457"/>
      <c r="FS83" s="457"/>
      <c r="FT83" s="457"/>
      <c r="FU83" s="457"/>
      <c r="FV83" s="457"/>
      <c r="FW83" s="457"/>
      <c r="FX83" s="457"/>
      <c r="FY83" s="457"/>
      <c r="FZ83" s="457"/>
      <c r="GA83" s="457"/>
      <c r="GB83" s="457"/>
      <c r="GC83" s="457"/>
      <c r="GD83" s="457"/>
      <c r="GE83" s="457"/>
      <c r="GF83" s="457"/>
      <c r="GG83" s="457"/>
      <c r="GH83" s="457"/>
      <c r="GI83" s="42"/>
    </row>
    <row r="84" spans="1:191" ht="2.4" customHeight="1" x14ac:dyDescent="0.3">
      <c r="A84" s="367" t="s">
        <v>201</v>
      </c>
      <c r="B84" s="367"/>
      <c r="C84" s="367"/>
      <c r="D84" s="367"/>
      <c r="E84" s="367"/>
      <c r="F84" s="367"/>
      <c r="G84" s="367"/>
      <c r="H84" s="367"/>
      <c r="I84" s="367"/>
      <c r="J84" s="367"/>
      <c r="K84" s="367"/>
      <c r="L84" s="367"/>
      <c r="M84" s="367"/>
      <c r="N84" s="367"/>
      <c r="O84" s="367"/>
      <c r="P84" s="367"/>
      <c r="Q84" s="367"/>
      <c r="R84" s="367"/>
      <c r="S84" s="367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9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398"/>
      <c r="CQ84" s="398"/>
      <c r="CR84" s="398"/>
      <c r="CS84" s="398"/>
      <c r="CT84" s="398"/>
      <c r="CU84" s="398"/>
      <c r="CV84" s="398"/>
      <c r="CW84" s="398"/>
      <c r="CX84" s="398"/>
      <c r="CY84" s="398"/>
      <c r="CZ84" s="398"/>
      <c r="DA84" s="96"/>
      <c r="DB84" s="96"/>
      <c r="DC84" s="398"/>
      <c r="DD84" s="398"/>
      <c r="DE84" s="398"/>
      <c r="DF84" s="398"/>
      <c r="DG84" s="398"/>
      <c r="DH84" s="398"/>
      <c r="DI84" s="398"/>
      <c r="DJ84" s="398"/>
      <c r="DK84" s="398"/>
      <c r="DL84" s="398"/>
      <c r="DM84" s="398"/>
      <c r="DN84" s="398"/>
      <c r="DO84" s="398"/>
      <c r="DP84" s="398"/>
      <c r="DQ84" s="398"/>
      <c r="DR84" s="398"/>
      <c r="DS84" s="398"/>
      <c r="DT84" s="398"/>
      <c r="DU84" s="398"/>
      <c r="DV84" s="398"/>
      <c r="DW84" s="398"/>
      <c r="DX84" s="398"/>
      <c r="DY84" s="78"/>
      <c r="DZ84" s="78"/>
      <c r="EA84" s="78"/>
      <c r="EB84" s="102"/>
      <c r="EC84" s="367"/>
      <c r="ED84" s="367"/>
      <c r="EE84" s="367"/>
      <c r="EF84" s="367"/>
      <c r="EG84" s="367"/>
      <c r="EH84" s="367"/>
      <c r="EI84" s="367"/>
      <c r="EJ84" s="367"/>
      <c r="EK84" s="367"/>
      <c r="EL84" s="367"/>
      <c r="EM84" s="367"/>
      <c r="EN84" s="367"/>
      <c r="EO84" s="367"/>
      <c r="EP84" s="367"/>
      <c r="EQ84" s="367"/>
      <c r="ER84" s="367"/>
      <c r="ES84" s="367"/>
      <c r="ET84" s="367"/>
      <c r="EU84" s="367"/>
      <c r="EV84" s="367"/>
      <c r="EW84" s="367"/>
      <c r="EX84" s="367"/>
      <c r="EY84" s="367"/>
      <c r="EZ84" s="367"/>
      <c r="FA84" s="367"/>
      <c r="FB84" s="367"/>
      <c r="FC84" s="367"/>
      <c r="FD84" s="367"/>
      <c r="FE84" s="367"/>
      <c r="FF84" s="367"/>
      <c r="FG84" s="367"/>
      <c r="FH84" s="367"/>
      <c r="FI84" s="367"/>
      <c r="FJ84" s="367"/>
      <c r="FK84" s="367"/>
      <c r="FL84" s="367"/>
      <c r="FM84" s="367"/>
      <c r="FN84" s="367"/>
      <c r="FO84" s="367"/>
      <c r="FP84" s="367"/>
      <c r="FQ84" s="367"/>
      <c r="FR84" s="367"/>
      <c r="FS84" s="367"/>
      <c r="FT84" s="367"/>
      <c r="FU84" s="367"/>
      <c r="FV84" s="367"/>
      <c r="FW84" s="367"/>
      <c r="FX84" s="367"/>
      <c r="FY84" s="367"/>
      <c r="FZ84" s="367"/>
      <c r="GA84" s="367"/>
      <c r="GB84" s="367"/>
      <c r="GC84" s="367"/>
      <c r="GD84" s="367"/>
      <c r="GE84" s="367"/>
      <c r="GF84" s="367"/>
      <c r="GG84" s="367"/>
      <c r="GH84" s="367"/>
      <c r="GI84" s="42"/>
    </row>
    <row r="85" spans="1:191" x14ac:dyDescent="0.3">
      <c r="A85" s="367"/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108"/>
      <c r="BD85" s="108"/>
      <c r="BE85" s="458" t="s">
        <v>202</v>
      </c>
      <c r="BF85" s="458"/>
      <c r="BG85" s="458"/>
      <c r="BH85" s="458"/>
      <c r="BI85" s="458"/>
      <c r="BJ85" s="458"/>
      <c r="BK85" s="458"/>
      <c r="BL85" s="458"/>
      <c r="BM85" s="458"/>
      <c r="BN85" s="98"/>
      <c r="BO85" s="78"/>
      <c r="BP85" s="78"/>
      <c r="BQ85" s="78"/>
      <c r="BR85" s="78"/>
      <c r="BS85" s="78"/>
      <c r="BT85" s="78"/>
      <c r="BU85" s="78"/>
      <c r="BV85" s="78"/>
      <c r="BW85" s="78"/>
      <c r="BX85" s="78"/>
      <c r="BY85" s="78"/>
      <c r="BZ85" s="78"/>
      <c r="CA85" s="78"/>
      <c r="CB85" s="78"/>
      <c r="CC85" s="78"/>
      <c r="CD85" s="78"/>
      <c r="CE85" s="78"/>
      <c r="CF85" s="78"/>
      <c r="CG85" s="78"/>
      <c r="CH85" s="78"/>
      <c r="CI85" s="78"/>
      <c r="CJ85" s="78"/>
      <c r="CK85" s="78"/>
      <c r="CL85" s="78"/>
      <c r="CM85" s="78"/>
      <c r="CN85" s="78"/>
      <c r="CO85" s="78"/>
      <c r="CP85" s="78"/>
      <c r="CQ85" s="78"/>
      <c r="CR85" s="78"/>
      <c r="CS85" s="78"/>
      <c r="CT85" s="78"/>
      <c r="CU85" s="78"/>
      <c r="CV85" s="78"/>
      <c r="CW85" s="78"/>
      <c r="CX85" s="78"/>
      <c r="CY85" s="78"/>
      <c r="CZ85" s="78"/>
      <c r="DA85" s="78"/>
      <c r="DB85" s="78"/>
      <c r="DC85" s="78"/>
      <c r="DD85" s="78"/>
      <c r="DE85" s="78"/>
      <c r="DF85" s="78"/>
      <c r="DG85" s="78"/>
      <c r="DH85" s="78"/>
      <c r="DI85" s="78"/>
      <c r="DJ85" s="78"/>
      <c r="DK85" s="78"/>
      <c r="DL85" s="78"/>
      <c r="DM85" s="78"/>
      <c r="DN85" s="78"/>
      <c r="DO85" s="78"/>
      <c r="DP85" s="78"/>
      <c r="DQ85" s="78"/>
      <c r="DR85" s="458" t="s">
        <v>202</v>
      </c>
      <c r="DS85" s="458"/>
      <c r="DT85" s="458"/>
      <c r="DU85" s="458"/>
      <c r="DV85" s="458"/>
      <c r="DW85" s="458"/>
      <c r="DX85" s="458"/>
      <c r="DY85" s="458"/>
      <c r="DZ85" s="458"/>
      <c r="EA85" s="78"/>
      <c r="EB85" s="102"/>
      <c r="EC85" s="457"/>
      <c r="ED85" s="457"/>
      <c r="EE85" s="457"/>
      <c r="EF85" s="457"/>
      <c r="EG85" s="457"/>
      <c r="EH85" s="457"/>
      <c r="EI85" s="457"/>
      <c r="EJ85" s="457"/>
      <c r="EK85" s="457"/>
      <c r="EL85" s="457"/>
      <c r="EM85" s="457"/>
      <c r="EN85" s="457"/>
      <c r="EO85" s="457"/>
      <c r="EP85" s="457"/>
      <c r="EQ85" s="457"/>
      <c r="ER85" s="457"/>
      <c r="ES85" s="457"/>
      <c r="ET85" s="457"/>
      <c r="EU85" s="457"/>
      <c r="EV85" s="457"/>
      <c r="EW85" s="457"/>
      <c r="EX85" s="457"/>
      <c r="EY85" s="457"/>
      <c r="EZ85" s="457"/>
      <c r="FA85" s="457"/>
      <c r="FB85" s="457"/>
      <c r="FC85" s="457"/>
      <c r="FD85" s="457"/>
      <c r="FE85" s="457"/>
      <c r="FF85" s="457"/>
      <c r="FG85" s="457"/>
      <c r="FH85" s="457"/>
      <c r="FI85" s="457"/>
      <c r="FJ85" s="457"/>
      <c r="FK85" s="457"/>
      <c r="FL85" s="457"/>
      <c r="FM85" s="457"/>
      <c r="FN85" s="457"/>
      <c r="FO85" s="457"/>
      <c r="FP85" s="457"/>
      <c r="FQ85" s="457"/>
      <c r="FR85" s="457"/>
      <c r="FS85" s="457"/>
      <c r="FT85" s="457"/>
      <c r="FU85" s="457"/>
      <c r="FV85" s="457"/>
      <c r="FW85" s="457"/>
      <c r="FX85" s="457"/>
      <c r="FY85" s="457"/>
      <c r="FZ85" s="457"/>
      <c r="GA85" s="457"/>
      <c r="GB85" s="457"/>
      <c r="GC85" s="457"/>
      <c r="GD85" s="457"/>
      <c r="GE85" s="457"/>
      <c r="GF85" s="457"/>
      <c r="GG85" s="457"/>
      <c r="GH85" s="457"/>
      <c r="GI85" s="42"/>
    </row>
    <row r="86" spans="1:191" ht="11.4" customHeight="1" x14ac:dyDescent="0.3">
      <c r="A86" s="78" t="s">
        <v>203</v>
      </c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350"/>
      <c r="O86" s="350"/>
      <c r="P86" s="350"/>
      <c r="Q86" s="350"/>
      <c r="R86" s="350"/>
      <c r="S86" s="350"/>
      <c r="T86" s="350"/>
      <c r="U86" s="350"/>
      <c r="V86" s="350"/>
      <c r="W86" s="350"/>
      <c r="X86" s="350"/>
      <c r="Y86" s="78"/>
      <c r="Z86" s="78"/>
      <c r="AA86" s="402" t="str">
        <f>FI42</f>
        <v>Сундеев В.И.</v>
      </c>
      <c r="AB86" s="402"/>
      <c r="AC86" s="402"/>
      <c r="AD86" s="402"/>
      <c r="AE86" s="402"/>
      <c r="AF86" s="402"/>
      <c r="AG86" s="402"/>
      <c r="AH86" s="402"/>
      <c r="AI86" s="402"/>
      <c r="AJ86" s="402"/>
      <c r="AK86" s="402"/>
      <c r="AL86" s="402"/>
      <c r="AM86" s="402"/>
      <c r="AN86" s="402"/>
      <c r="AO86" s="402"/>
      <c r="AP86" s="402"/>
      <c r="AQ86" s="402"/>
      <c r="AR86" s="402"/>
      <c r="AS86" s="402"/>
      <c r="AT86" s="402"/>
      <c r="AU86" s="402"/>
      <c r="AV86" s="402"/>
      <c r="AW86" s="78"/>
      <c r="AX86" s="78"/>
      <c r="AY86" s="78"/>
      <c r="AZ86" s="78"/>
      <c r="BA86" s="78"/>
      <c r="BB86" s="78"/>
      <c r="BC86" s="108"/>
      <c r="BD86" s="108"/>
      <c r="BE86" s="458"/>
      <c r="BF86" s="458"/>
      <c r="BG86" s="458"/>
      <c r="BH86" s="458"/>
      <c r="BI86" s="458"/>
      <c r="BJ86" s="458"/>
      <c r="BK86" s="458"/>
      <c r="BL86" s="458"/>
      <c r="BM86" s="458"/>
      <c r="BN86" s="98"/>
      <c r="BO86" s="78"/>
      <c r="BP86" s="78" t="s">
        <v>204</v>
      </c>
      <c r="BQ86" s="78"/>
      <c r="BR86" s="78"/>
      <c r="BS86" s="78"/>
      <c r="BT86" s="78"/>
      <c r="BU86" s="78"/>
      <c r="BV86" s="78"/>
      <c r="BW86" s="78"/>
      <c r="BX86" s="78"/>
      <c r="BY86" s="362"/>
      <c r="BZ86" s="362"/>
      <c r="CA86" s="362"/>
      <c r="CB86" s="362"/>
      <c r="CC86" s="362"/>
      <c r="CD86" s="362"/>
      <c r="CE86" s="362"/>
      <c r="CF86" s="362"/>
      <c r="CG86" s="362"/>
      <c r="CH86" s="362"/>
      <c r="CI86" s="362"/>
      <c r="CJ86" s="362"/>
      <c r="CK86" s="362"/>
      <c r="CL86" s="78"/>
      <c r="CM86" s="362"/>
      <c r="CN86" s="362"/>
      <c r="CO86" s="362"/>
      <c r="CP86" s="362"/>
      <c r="CQ86" s="362"/>
      <c r="CR86" s="362"/>
      <c r="CS86" s="362"/>
      <c r="CT86" s="362"/>
      <c r="CU86" s="362"/>
      <c r="CV86" s="362"/>
      <c r="CW86" s="362"/>
      <c r="CX86" s="362"/>
      <c r="CY86" s="78"/>
      <c r="CZ86" s="362"/>
      <c r="DA86" s="362"/>
      <c r="DB86" s="362"/>
      <c r="DC86" s="362"/>
      <c r="DD86" s="362"/>
      <c r="DE86" s="362"/>
      <c r="DF86" s="362"/>
      <c r="DG86" s="362"/>
      <c r="DH86" s="362"/>
      <c r="DI86" s="362"/>
      <c r="DJ86" s="362"/>
      <c r="DK86" s="362"/>
      <c r="DL86" s="362"/>
      <c r="DM86" s="362"/>
      <c r="DN86" s="362"/>
      <c r="DO86" s="362"/>
      <c r="DP86" s="362"/>
      <c r="DQ86" s="109"/>
      <c r="DR86" s="458"/>
      <c r="DS86" s="458"/>
      <c r="DT86" s="458"/>
      <c r="DU86" s="458"/>
      <c r="DV86" s="458"/>
      <c r="DW86" s="458"/>
      <c r="DX86" s="458"/>
      <c r="DY86" s="458"/>
      <c r="DZ86" s="458"/>
      <c r="EA86" s="109"/>
      <c r="EB86" s="102"/>
      <c r="EC86" s="459"/>
      <c r="ED86" s="459"/>
      <c r="EE86" s="459"/>
      <c r="EF86" s="459"/>
      <c r="EG86" s="459"/>
      <c r="EH86" s="459"/>
      <c r="EI86" s="459"/>
      <c r="EJ86" s="459"/>
      <c r="EK86" s="459"/>
      <c r="EL86" s="459"/>
      <c r="EM86" s="459"/>
      <c r="EN86" s="459"/>
      <c r="EO86" s="459"/>
      <c r="EP86" s="459"/>
      <c r="EQ86" s="459"/>
      <c r="ER86" s="459"/>
      <c r="ES86" s="459"/>
      <c r="ET86" s="459"/>
      <c r="EU86" s="459"/>
      <c r="EV86" s="459"/>
      <c r="EW86" s="459"/>
      <c r="EX86" s="459"/>
      <c r="EY86" s="459"/>
      <c r="EZ86" s="459"/>
      <c r="FA86" s="459"/>
      <c r="FB86" s="459"/>
      <c r="FC86" s="459"/>
      <c r="FD86" s="459"/>
      <c r="FE86" s="459"/>
      <c r="FF86" s="459"/>
      <c r="FG86" s="459"/>
      <c r="FH86" s="459"/>
      <c r="FI86" s="459"/>
      <c r="FJ86" s="459"/>
      <c r="FK86" s="459"/>
      <c r="FL86" s="459"/>
      <c r="FM86" s="459"/>
      <c r="FN86" s="459"/>
      <c r="FO86" s="459"/>
      <c r="FP86" s="459"/>
      <c r="FQ86" s="459"/>
      <c r="FR86" s="459"/>
      <c r="FS86" s="459"/>
      <c r="FT86" s="459"/>
      <c r="FU86" s="459"/>
      <c r="FV86" s="459"/>
      <c r="FW86" s="459"/>
      <c r="FX86" s="459"/>
      <c r="FY86" s="459"/>
      <c r="FZ86" s="459"/>
      <c r="GA86" s="459"/>
      <c r="GB86" s="459"/>
      <c r="GC86" s="459"/>
      <c r="GD86" s="459"/>
      <c r="GE86" s="459"/>
      <c r="GF86" s="459"/>
      <c r="GG86" s="459"/>
      <c r="GH86" s="459"/>
      <c r="GI86" s="42"/>
    </row>
    <row r="87" spans="1:191" s="62" customFormat="1" ht="4.2" customHeight="1" x14ac:dyDescent="0.3">
      <c r="A87" s="96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389" t="s">
        <v>122</v>
      </c>
      <c r="O87" s="389"/>
      <c r="P87" s="389"/>
      <c r="Q87" s="389"/>
      <c r="R87" s="389"/>
      <c r="S87" s="389"/>
      <c r="T87" s="389"/>
      <c r="U87" s="389"/>
      <c r="V87" s="389"/>
      <c r="W87" s="389"/>
      <c r="X87" s="389"/>
      <c r="Y87" s="106"/>
      <c r="Z87" s="106"/>
      <c r="AA87" s="389"/>
      <c r="AB87" s="389"/>
      <c r="AC87" s="389"/>
      <c r="AD87" s="389"/>
      <c r="AE87" s="389"/>
      <c r="AF87" s="389"/>
      <c r="AG87" s="389"/>
      <c r="AH87" s="389"/>
      <c r="AI87" s="389"/>
      <c r="AJ87" s="389"/>
      <c r="AK87" s="389"/>
      <c r="AL87" s="389"/>
      <c r="AM87" s="389"/>
      <c r="AN87" s="389"/>
      <c r="AO87" s="389"/>
      <c r="AP87" s="389"/>
      <c r="AQ87" s="389"/>
      <c r="AR87" s="389"/>
      <c r="AS87" s="389"/>
      <c r="AT87" s="389"/>
      <c r="AU87" s="389"/>
      <c r="AV87" s="389"/>
      <c r="AW87" s="96"/>
      <c r="AX87" s="96"/>
      <c r="AY87" s="96"/>
      <c r="AZ87" s="96"/>
      <c r="BA87" s="96"/>
      <c r="BB87" s="96"/>
      <c r="BC87" s="110"/>
      <c r="BD87" s="110"/>
      <c r="BE87" s="458"/>
      <c r="BF87" s="458"/>
      <c r="BG87" s="458"/>
      <c r="BH87" s="458"/>
      <c r="BI87" s="458"/>
      <c r="BJ87" s="458"/>
      <c r="BK87" s="458"/>
      <c r="BL87" s="458"/>
      <c r="BM87" s="458"/>
      <c r="BN87" s="111"/>
      <c r="BO87" s="96"/>
      <c r="BP87" s="96"/>
      <c r="BQ87" s="96"/>
      <c r="BR87" s="96"/>
      <c r="BS87" s="96"/>
      <c r="BT87" s="96"/>
      <c r="BU87" s="96"/>
      <c r="BV87" s="96"/>
      <c r="BW87" s="96"/>
      <c r="BX87" s="96"/>
      <c r="BY87" s="461" t="s">
        <v>121</v>
      </c>
      <c r="BZ87" s="461"/>
      <c r="CA87" s="461"/>
      <c r="CB87" s="461"/>
      <c r="CC87" s="461"/>
      <c r="CD87" s="461"/>
      <c r="CE87" s="461"/>
      <c r="CF87" s="461"/>
      <c r="CG87" s="461"/>
      <c r="CH87" s="461"/>
      <c r="CI87" s="461"/>
      <c r="CJ87" s="461"/>
      <c r="CK87" s="461"/>
      <c r="CL87" s="106"/>
      <c r="CM87" s="461" t="s">
        <v>122</v>
      </c>
      <c r="CN87" s="461"/>
      <c r="CO87" s="461"/>
      <c r="CP87" s="461"/>
      <c r="CQ87" s="461"/>
      <c r="CR87" s="461"/>
      <c r="CS87" s="461"/>
      <c r="CT87" s="461"/>
      <c r="CU87" s="461"/>
      <c r="CV87" s="461"/>
      <c r="CW87" s="461"/>
      <c r="CX87" s="461"/>
      <c r="CY87" s="106"/>
      <c r="CZ87" s="461" t="s">
        <v>126</v>
      </c>
      <c r="DA87" s="461"/>
      <c r="DB87" s="461"/>
      <c r="DC87" s="461"/>
      <c r="DD87" s="461"/>
      <c r="DE87" s="461"/>
      <c r="DF87" s="461"/>
      <c r="DG87" s="461"/>
      <c r="DH87" s="461"/>
      <c r="DI87" s="461"/>
      <c r="DJ87" s="461"/>
      <c r="DK87" s="461"/>
      <c r="DL87" s="461"/>
      <c r="DM87" s="461"/>
      <c r="DN87" s="461"/>
      <c r="DO87" s="461"/>
      <c r="DP87" s="461"/>
      <c r="DQ87" s="112"/>
      <c r="DR87" s="458"/>
      <c r="DS87" s="458"/>
      <c r="DT87" s="458"/>
      <c r="DU87" s="458"/>
      <c r="DV87" s="458"/>
      <c r="DW87" s="458"/>
      <c r="DX87" s="458"/>
      <c r="DY87" s="458"/>
      <c r="DZ87" s="458"/>
      <c r="EA87" s="112"/>
      <c r="EB87" s="113"/>
      <c r="EC87" s="367"/>
      <c r="ED87" s="367"/>
      <c r="EE87" s="367"/>
      <c r="EF87" s="367"/>
      <c r="EG87" s="367"/>
      <c r="EH87" s="367"/>
      <c r="EI87" s="367"/>
      <c r="EJ87" s="367"/>
      <c r="EK87" s="367"/>
      <c r="EL87" s="367"/>
      <c r="EM87" s="367"/>
      <c r="EN87" s="367"/>
      <c r="EO87" s="367"/>
      <c r="EP87" s="367"/>
      <c r="EQ87" s="367"/>
      <c r="ER87" s="367"/>
      <c r="ES87" s="367"/>
      <c r="ET87" s="367"/>
      <c r="EU87" s="367"/>
      <c r="EV87" s="367"/>
      <c r="EW87" s="367"/>
      <c r="EX87" s="367"/>
      <c r="EY87" s="367"/>
      <c r="EZ87" s="367"/>
      <c r="FA87" s="367"/>
      <c r="FB87" s="367"/>
      <c r="FC87" s="367"/>
      <c r="FD87" s="367"/>
      <c r="FE87" s="367"/>
      <c r="FF87" s="367"/>
      <c r="FG87" s="367"/>
      <c r="FH87" s="367"/>
      <c r="FI87" s="367"/>
      <c r="FJ87" s="367"/>
      <c r="FK87" s="367"/>
      <c r="FL87" s="367"/>
      <c r="FM87" s="367"/>
      <c r="FN87" s="367"/>
      <c r="FO87" s="367"/>
      <c r="FP87" s="367"/>
      <c r="FQ87" s="367"/>
      <c r="FR87" s="367"/>
      <c r="FS87" s="367"/>
      <c r="FT87" s="367"/>
      <c r="FU87" s="367"/>
      <c r="FV87" s="367"/>
      <c r="FW87" s="367"/>
      <c r="FX87" s="367"/>
      <c r="FY87" s="367"/>
      <c r="FZ87" s="367"/>
      <c r="GA87" s="367"/>
      <c r="GB87" s="367"/>
      <c r="GC87" s="367"/>
      <c r="GD87" s="367"/>
      <c r="GE87" s="367"/>
      <c r="GF87" s="367"/>
      <c r="GG87" s="367"/>
      <c r="GH87" s="367"/>
      <c r="GI87" s="61"/>
    </row>
    <row r="88" spans="1:191" ht="4.2" customHeight="1" x14ac:dyDescent="0.3">
      <c r="A88" s="78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390"/>
      <c r="O88" s="390"/>
      <c r="P88" s="390"/>
      <c r="Q88" s="390"/>
      <c r="R88" s="390"/>
      <c r="S88" s="390"/>
      <c r="T88" s="390"/>
      <c r="U88" s="390"/>
      <c r="V88" s="390"/>
      <c r="W88" s="390"/>
      <c r="X88" s="390"/>
      <c r="Y88" s="114"/>
      <c r="Z88" s="114"/>
      <c r="AA88" s="390"/>
      <c r="AB88" s="390"/>
      <c r="AC88" s="390"/>
      <c r="AD88" s="390"/>
      <c r="AE88" s="390"/>
      <c r="AF88" s="390"/>
      <c r="AG88" s="390"/>
      <c r="AH88" s="390"/>
      <c r="AI88" s="390"/>
      <c r="AJ88" s="390"/>
      <c r="AK88" s="390"/>
      <c r="AL88" s="390"/>
      <c r="AM88" s="390"/>
      <c r="AN88" s="390"/>
      <c r="AO88" s="390"/>
      <c r="AP88" s="390"/>
      <c r="AQ88" s="390"/>
      <c r="AR88" s="390"/>
      <c r="AS88" s="390"/>
      <c r="AT88" s="390"/>
      <c r="AU88" s="390"/>
      <c r="AV88" s="390"/>
      <c r="AW88" s="78"/>
      <c r="AX88" s="78"/>
      <c r="AY88" s="78"/>
      <c r="AZ88" s="78"/>
      <c r="BA88" s="78"/>
      <c r="BB88" s="78"/>
      <c r="BC88" s="108"/>
      <c r="BD88" s="108"/>
      <c r="BE88" s="458"/>
      <c r="BF88" s="458"/>
      <c r="BG88" s="458"/>
      <c r="BH88" s="458"/>
      <c r="BI88" s="458"/>
      <c r="BJ88" s="458"/>
      <c r="BK88" s="458"/>
      <c r="BL88" s="458"/>
      <c r="BM88" s="45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462"/>
      <c r="BZ88" s="462"/>
      <c r="CA88" s="462"/>
      <c r="CB88" s="462"/>
      <c r="CC88" s="462"/>
      <c r="CD88" s="462"/>
      <c r="CE88" s="462"/>
      <c r="CF88" s="462"/>
      <c r="CG88" s="462"/>
      <c r="CH88" s="462"/>
      <c r="CI88" s="462"/>
      <c r="CJ88" s="462"/>
      <c r="CK88" s="462"/>
      <c r="CL88" s="114"/>
      <c r="CM88" s="462"/>
      <c r="CN88" s="462"/>
      <c r="CO88" s="462"/>
      <c r="CP88" s="462"/>
      <c r="CQ88" s="462"/>
      <c r="CR88" s="462"/>
      <c r="CS88" s="462"/>
      <c r="CT88" s="462"/>
      <c r="CU88" s="462"/>
      <c r="CV88" s="462"/>
      <c r="CW88" s="462"/>
      <c r="CX88" s="462"/>
      <c r="CY88" s="114"/>
      <c r="CZ88" s="462"/>
      <c r="DA88" s="462"/>
      <c r="DB88" s="462"/>
      <c r="DC88" s="462"/>
      <c r="DD88" s="462"/>
      <c r="DE88" s="462"/>
      <c r="DF88" s="462"/>
      <c r="DG88" s="462"/>
      <c r="DH88" s="462"/>
      <c r="DI88" s="462"/>
      <c r="DJ88" s="462"/>
      <c r="DK88" s="462"/>
      <c r="DL88" s="462"/>
      <c r="DM88" s="462"/>
      <c r="DN88" s="462"/>
      <c r="DO88" s="462"/>
      <c r="DP88" s="462"/>
      <c r="DQ88" s="109"/>
      <c r="DR88" s="458"/>
      <c r="DS88" s="458"/>
      <c r="DT88" s="458"/>
      <c r="DU88" s="458"/>
      <c r="DV88" s="458"/>
      <c r="DW88" s="458"/>
      <c r="DX88" s="458"/>
      <c r="DY88" s="458"/>
      <c r="DZ88" s="458"/>
      <c r="EA88" s="109"/>
      <c r="EB88" s="102"/>
      <c r="EC88" s="457"/>
      <c r="ED88" s="457"/>
      <c r="EE88" s="457"/>
      <c r="EF88" s="457"/>
      <c r="EG88" s="457"/>
      <c r="EH88" s="457"/>
      <c r="EI88" s="457"/>
      <c r="EJ88" s="457"/>
      <c r="EK88" s="457"/>
      <c r="EL88" s="457"/>
      <c r="EM88" s="457"/>
      <c r="EN88" s="457"/>
      <c r="EO88" s="457"/>
      <c r="EP88" s="457"/>
      <c r="EQ88" s="457"/>
      <c r="ER88" s="457"/>
      <c r="ES88" s="457"/>
      <c r="ET88" s="457"/>
      <c r="EU88" s="457"/>
      <c r="EV88" s="457"/>
      <c r="EW88" s="457"/>
      <c r="EX88" s="457"/>
      <c r="EY88" s="457"/>
      <c r="EZ88" s="457"/>
      <c r="FA88" s="457"/>
      <c r="FB88" s="457"/>
      <c r="FC88" s="457"/>
      <c r="FD88" s="457"/>
      <c r="FE88" s="457"/>
      <c r="FF88" s="457"/>
      <c r="FG88" s="457"/>
      <c r="FH88" s="457"/>
      <c r="FI88" s="457"/>
      <c r="FJ88" s="457"/>
      <c r="FK88" s="457"/>
      <c r="FL88" s="457"/>
      <c r="FM88" s="457"/>
      <c r="FN88" s="457"/>
      <c r="FO88" s="457"/>
      <c r="FP88" s="457"/>
      <c r="FQ88" s="457"/>
      <c r="FR88" s="457"/>
      <c r="FS88" s="457"/>
      <c r="FT88" s="457"/>
      <c r="FU88" s="457"/>
      <c r="FV88" s="457"/>
      <c r="FW88" s="457"/>
      <c r="FX88" s="457"/>
      <c r="FY88" s="457"/>
      <c r="FZ88" s="457"/>
      <c r="GA88" s="457"/>
      <c r="GB88" s="457"/>
      <c r="GC88" s="457"/>
      <c r="GD88" s="457"/>
      <c r="GE88" s="457"/>
      <c r="GF88" s="457"/>
      <c r="GG88" s="457"/>
      <c r="GH88" s="457"/>
      <c r="GI88" s="42"/>
    </row>
    <row r="89" spans="1:191" ht="4.2" customHeight="1" thickBot="1" x14ac:dyDescent="0.35">
      <c r="A89" s="78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460"/>
      <c r="O89" s="460"/>
      <c r="P89" s="460"/>
      <c r="Q89" s="460"/>
      <c r="R89" s="460"/>
      <c r="S89" s="460"/>
      <c r="T89" s="460"/>
      <c r="U89" s="460"/>
      <c r="V89" s="460"/>
      <c r="W89" s="460"/>
      <c r="X89" s="460"/>
      <c r="Y89" s="78"/>
      <c r="Z89" s="78"/>
      <c r="AA89" s="460"/>
      <c r="AB89" s="460"/>
      <c r="AC89" s="460"/>
      <c r="AD89" s="460"/>
      <c r="AE89" s="460"/>
      <c r="AF89" s="460"/>
      <c r="AG89" s="460"/>
      <c r="AH89" s="460"/>
      <c r="AI89" s="460"/>
      <c r="AJ89" s="460"/>
      <c r="AK89" s="460"/>
      <c r="AL89" s="460"/>
      <c r="AM89" s="460"/>
      <c r="AN89" s="460"/>
      <c r="AO89" s="460"/>
      <c r="AP89" s="460"/>
      <c r="AQ89" s="460"/>
      <c r="AR89" s="460"/>
      <c r="AS89" s="460"/>
      <c r="AT89" s="460"/>
      <c r="AU89" s="460"/>
      <c r="AV89" s="460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463"/>
      <c r="BZ89" s="463"/>
      <c r="CA89" s="463"/>
      <c r="CB89" s="463"/>
      <c r="CC89" s="463"/>
      <c r="CD89" s="463"/>
      <c r="CE89" s="463"/>
      <c r="CF89" s="463"/>
      <c r="CG89" s="463"/>
      <c r="CH89" s="463"/>
      <c r="CI89" s="463"/>
      <c r="CJ89" s="463"/>
      <c r="CK89" s="463"/>
      <c r="CL89" s="78"/>
      <c r="CM89" s="463"/>
      <c r="CN89" s="463"/>
      <c r="CO89" s="463"/>
      <c r="CP89" s="463"/>
      <c r="CQ89" s="463"/>
      <c r="CR89" s="463"/>
      <c r="CS89" s="463"/>
      <c r="CT89" s="463"/>
      <c r="CU89" s="463"/>
      <c r="CV89" s="463"/>
      <c r="CW89" s="463"/>
      <c r="CX89" s="463"/>
      <c r="CY89" s="78"/>
      <c r="CZ89" s="463"/>
      <c r="DA89" s="463"/>
      <c r="DB89" s="463"/>
      <c r="DC89" s="463"/>
      <c r="DD89" s="463"/>
      <c r="DE89" s="463"/>
      <c r="DF89" s="463"/>
      <c r="DG89" s="463"/>
      <c r="DH89" s="463"/>
      <c r="DI89" s="463"/>
      <c r="DJ89" s="463"/>
      <c r="DK89" s="463"/>
      <c r="DL89" s="463"/>
      <c r="DM89" s="463"/>
      <c r="DN89" s="463"/>
      <c r="DO89" s="463"/>
      <c r="DP89" s="463"/>
      <c r="DQ89" s="78"/>
      <c r="DR89" s="78"/>
      <c r="DS89" s="78"/>
      <c r="DT89" s="78"/>
      <c r="DU89" s="78"/>
      <c r="DV89" s="78"/>
      <c r="DW89" s="78"/>
      <c r="DX89" s="78"/>
      <c r="DY89" s="78"/>
      <c r="DZ89" s="78"/>
      <c r="EA89" s="78"/>
      <c r="EB89" s="78"/>
      <c r="EC89" s="78"/>
      <c r="ED89" s="78"/>
      <c r="EE89" s="78"/>
      <c r="EF89" s="78"/>
      <c r="EG89" s="78"/>
      <c r="EH89" s="78"/>
      <c r="EI89" s="78"/>
      <c r="EJ89" s="78"/>
      <c r="EK89" s="78"/>
      <c r="EL89" s="78"/>
      <c r="EM89" s="78"/>
      <c r="EN89" s="78"/>
      <c r="EO89" s="78"/>
      <c r="EP89" s="78"/>
      <c r="EQ89" s="78"/>
      <c r="ER89" s="78"/>
      <c r="ES89" s="78"/>
      <c r="ET89" s="78"/>
      <c r="EU89" s="78"/>
      <c r="EV89" s="78"/>
      <c r="EW89" s="78"/>
      <c r="EX89" s="78"/>
      <c r="EY89" s="78"/>
      <c r="EZ89" s="78"/>
      <c r="FA89" s="78"/>
      <c r="FB89" s="78"/>
      <c r="FC89" s="78"/>
      <c r="FD89" s="78"/>
      <c r="FE89" s="78"/>
      <c r="FF89" s="78"/>
      <c r="FG89" s="78"/>
      <c r="FH89" s="78"/>
      <c r="FI89" s="78"/>
      <c r="FJ89" s="78"/>
      <c r="FK89" s="78"/>
      <c r="FL89" s="78"/>
      <c r="FM89" s="78"/>
      <c r="FN89" s="78"/>
      <c r="FO89" s="78"/>
      <c r="FP89" s="78"/>
      <c r="FQ89" s="78"/>
      <c r="FR89" s="78"/>
      <c r="FS89" s="78"/>
      <c r="FT89" s="78"/>
      <c r="FU89" s="78"/>
      <c r="FV89" s="78"/>
      <c r="FW89" s="78"/>
      <c r="FX89" s="78"/>
      <c r="FY89" s="78"/>
      <c r="FZ89" s="78"/>
      <c r="GA89" s="78"/>
      <c r="GB89" s="78"/>
      <c r="GC89" s="78"/>
      <c r="GD89" s="78"/>
      <c r="GE89" s="78"/>
      <c r="GF89" s="78"/>
      <c r="GG89" s="78"/>
      <c r="GH89" s="78"/>
      <c r="GI89" s="42"/>
    </row>
    <row r="90" spans="1:191" ht="15" thickTop="1" x14ac:dyDescent="0.3">
      <c r="A90" s="464" t="s">
        <v>205</v>
      </c>
      <c r="B90" s="465"/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5"/>
      <c r="V90" s="465"/>
      <c r="W90" s="465"/>
      <c r="X90" s="465"/>
      <c r="Y90" s="465"/>
      <c r="Z90" s="465"/>
      <c r="AA90" s="465"/>
      <c r="AB90" s="465"/>
      <c r="AC90" s="465"/>
      <c r="AD90" s="465"/>
      <c r="AE90" s="465"/>
      <c r="AF90" s="465"/>
      <c r="AG90" s="465"/>
      <c r="AH90" s="465"/>
      <c r="AI90" s="465"/>
      <c r="AJ90" s="465"/>
      <c r="AK90" s="465"/>
      <c r="AL90" s="465"/>
      <c r="AM90" s="465"/>
      <c r="AN90" s="465"/>
      <c r="AO90" s="465"/>
      <c r="AP90" s="465"/>
      <c r="AQ90" s="465"/>
      <c r="AR90" s="465"/>
      <c r="AS90" s="465"/>
      <c r="AT90" s="465"/>
      <c r="AU90" s="465"/>
      <c r="AV90" s="465"/>
      <c r="AW90" s="465"/>
      <c r="AX90" s="465"/>
      <c r="AY90" s="465"/>
      <c r="AZ90" s="465"/>
      <c r="BA90" s="465"/>
      <c r="BB90" s="465"/>
      <c r="BC90" s="465"/>
      <c r="BD90" s="465"/>
      <c r="BE90" s="465"/>
      <c r="BF90" s="465"/>
      <c r="BG90" s="465"/>
      <c r="BH90" s="465"/>
      <c r="BI90" s="465"/>
      <c r="BJ90" s="465"/>
      <c r="BK90" s="465"/>
      <c r="BL90" s="465"/>
      <c r="BM90" s="465"/>
      <c r="BN90" s="465"/>
      <c r="BO90" s="465"/>
      <c r="BP90" s="465"/>
      <c r="BQ90" s="465"/>
      <c r="BR90" s="465"/>
      <c r="BS90" s="465"/>
      <c r="BT90" s="465"/>
      <c r="BU90" s="465"/>
      <c r="BV90" s="465"/>
      <c r="BW90" s="465"/>
      <c r="BX90" s="465"/>
      <c r="BY90" s="465"/>
      <c r="BZ90" s="465"/>
      <c r="CA90" s="465"/>
      <c r="CB90" s="465"/>
      <c r="CC90" s="465"/>
      <c r="CD90" s="465"/>
      <c r="CE90" s="465"/>
      <c r="CF90" s="465"/>
      <c r="CG90" s="465"/>
      <c r="CH90" s="465"/>
      <c r="CI90" s="465"/>
      <c r="CJ90" s="465"/>
      <c r="CK90" s="465"/>
      <c r="CL90" s="465"/>
      <c r="CM90" s="465"/>
      <c r="CN90" s="465"/>
      <c r="CO90" s="465"/>
      <c r="CP90" s="465"/>
      <c r="CQ90" s="465"/>
      <c r="CR90" s="465"/>
      <c r="CS90" s="465"/>
      <c r="CT90" s="465"/>
      <c r="CU90" s="465"/>
      <c r="CV90" s="465"/>
      <c r="CW90" s="465"/>
      <c r="CX90" s="465"/>
      <c r="CY90" s="465"/>
      <c r="CZ90" s="465"/>
      <c r="DA90" s="465"/>
      <c r="DB90" s="465"/>
      <c r="DC90" s="465"/>
      <c r="DD90" s="465"/>
      <c r="DE90" s="465"/>
      <c r="DF90" s="465"/>
      <c r="DG90" s="465"/>
      <c r="DH90" s="465"/>
      <c r="DI90" s="465"/>
      <c r="DJ90" s="465"/>
      <c r="DK90" s="465"/>
      <c r="DL90" s="465"/>
      <c r="DM90" s="465"/>
      <c r="DN90" s="465"/>
      <c r="DO90" s="465"/>
      <c r="DP90" s="465"/>
      <c r="DQ90" s="465"/>
      <c r="DR90" s="465"/>
      <c r="DS90" s="465"/>
      <c r="DT90" s="465"/>
      <c r="DU90" s="465"/>
      <c r="DV90" s="465"/>
      <c r="DW90" s="465"/>
      <c r="DX90" s="465"/>
      <c r="DY90" s="465"/>
      <c r="DZ90" s="465"/>
      <c r="EA90" s="465"/>
      <c r="EB90" s="465"/>
      <c r="EC90" s="465"/>
      <c r="ED90" s="465"/>
      <c r="EE90" s="465"/>
      <c r="EF90" s="465"/>
      <c r="EG90" s="465"/>
      <c r="EH90" s="465"/>
      <c r="EI90" s="465"/>
      <c r="EJ90" s="465"/>
      <c r="EK90" s="465"/>
      <c r="EL90" s="465"/>
      <c r="EM90" s="465"/>
      <c r="EN90" s="465"/>
      <c r="EO90" s="465"/>
      <c r="EP90" s="465"/>
      <c r="EQ90" s="465"/>
      <c r="ER90" s="465"/>
      <c r="ES90" s="465"/>
      <c r="ET90" s="465"/>
      <c r="EU90" s="465"/>
      <c r="EV90" s="465"/>
      <c r="EW90" s="465"/>
      <c r="EX90" s="465"/>
      <c r="EY90" s="465"/>
      <c r="EZ90" s="465"/>
      <c r="FA90" s="465"/>
      <c r="FB90" s="465"/>
      <c r="FC90" s="465"/>
      <c r="FD90" s="465"/>
      <c r="FE90" s="465"/>
      <c r="FF90" s="465"/>
      <c r="FG90" s="465"/>
      <c r="FH90" s="465"/>
      <c r="FI90" s="465"/>
      <c r="FJ90" s="465"/>
      <c r="FK90" s="465"/>
      <c r="FL90" s="465"/>
      <c r="FM90" s="465"/>
      <c r="FN90" s="465"/>
      <c r="FO90" s="465"/>
      <c r="FP90" s="465"/>
      <c r="FQ90" s="465"/>
      <c r="FR90" s="465"/>
      <c r="FS90" s="465"/>
      <c r="FT90" s="465"/>
      <c r="FU90" s="465"/>
      <c r="FV90" s="465"/>
      <c r="FW90" s="465"/>
      <c r="FX90" s="465"/>
      <c r="FY90" s="465"/>
      <c r="FZ90" s="465"/>
      <c r="GA90" s="465"/>
      <c r="GB90" s="465"/>
      <c r="GC90" s="465"/>
      <c r="GD90" s="465"/>
      <c r="GE90" s="465"/>
      <c r="GF90" s="465"/>
      <c r="GG90" s="465"/>
      <c r="GH90" s="466"/>
      <c r="GI90" s="42"/>
    </row>
    <row r="91" spans="1:191" x14ac:dyDescent="0.3">
      <c r="A91" s="467" t="s">
        <v>206</v>
      </c>
      <c r="B91" s="468"/>
      <c r="C91" s="468"/>
      <c r="D91" s="468"/>
      <c r="E91" s="468"/>
      <c r="F91" s="468"/>
      <c r="G91" s="468"/>
      <c r="H91" s="468"/>
      <c r="I91" s="468"/>
      <c r="J91" s="469"/>
      <c r="K91" s="473" t="s">
        <v>207</v>
      </c>
      <c r="L91" s="305"/>
      <c r="M91" s="305"/>
      <c r="N91" s="305"/>
      <c r="O91" s="305"/>
      <c r="P91" s="305"/>
      <c r="Q91" s="305"/>
      <c r="R91" s="305"/>
      <c r="S91" s="305"/>
      <c r="T91" s="305"/>
      <c r="U91" s="305"/>
      <c r="V91" s="305"/>
      <c r="W91" s="305"/>
      <c r="X91" s="305"/>
      <c r="Y91" s="305"/>
      <c r="Z91" s="305"/>
      <c r="AA91" s="305"/>
      <c r="AB91" s="305"/>
      <c r="AC91" s="305"/>
      <c r="AD91" s="305"/>
      <c r="AE91" s="305"/>
      <c r="AF91" s="305"/>
      <c r="AG91" s="305"/>
      <c r="AH91" s="305"/>
      <c r="AI91" s="305"/>
      <c r="AJ91" s="306"/>
      <c r="AK91" s="473" t="s">
        <v>208</v>
      </c>
      <c r="AL91" s="305"/>
      <c r="AM91" s="305"/>
      <c r="AN91" s="305"/>
      <c r="AO91" s="305"/>
      <c r="AP91" s="305"/>
      <c r="AQ91" s="305"/>
      <c r="AR91" s="305"/>
      <c r="AS91" s="305"/>
      <c r="AT91" s="305"/>
      <c r="AU91" s="305"/>
      <c r="AV91" s="305"/>
      <c r="AW91" s="305"/>
      <c r="AX91" s="305"/>
      <c r="AY91" s="305"/>
      <c r="AZ91" s="305"/>
      <c r="BA91" s="305"/>
      <c r="BB91" s="305"/>
      <c r="BC91" s="305"/>
      <c r="BD91" s="305"/>
      <c r="BE91" s="305"/>
      <c r="BF91" s="305"/>
      <c r="BG91" s="305"/>
      <c r="BH91" s="305"/>
      <c r="BI91" s="305"/>
      <c r="BJ91" s="306"/>
      <c r="BK91" s="473" t="s">
        <v>209</v>
      </c>
      <c r="BL91" s="305"/>
      <c r="BM91" s="305"/>
      <c r="BN91" s="305"/>
      <c r="BO91" s="305"/>
      <c r="BP91" s="305"/>
      <c r="BQ91" s="305"/>
      <c r="BR91" s="305"/>
      <c r="BS91" s="305"/>
      <c r="BT91" s="305"/>
      <c r="BU91" s="305"/>
      <c r="BV91" s="305"/>
      <c r="BW91" s="305"/>
      <c r="BX91" s="305"/>
      <c r="BY91" s="305"/>
      <c r="BZ91" s="305"/>
      <c r="CA91" s="305"/>
      <c r="CB91" s="305"/>
      <c r="CC91" s="305"/>
      <c r="CD91" s="305"/>
      <c r="CE91" s="305"/>
      <c r="CF91" s="305"/>
      <c r="CG91" s="305"/>
      <c r="CH91" s="305"/>
      <c r="CI91" s="305"/>
      <c r="CJ91" s="305"/>
      <c r="CK91" s="305"/>
      <c r="CL91" s="306"/>
      <c r="CM91" s="475" t="s">
        <v>210</v>
      </c>
      <c r="CN91" s="476"/>
      <c r="CO91" s="476"/>
      <c r="CP91" s="476"/>
      <c r="CQ91" s="476"/>
      <c r="CR91" s="476"/>
      <c r="CS91" s="476"/>
      <c r="CT91" s="476"/>
      <c r="CU91" s="476"/>
      <c r="CV91" s="476"/>
      <c r="CW91" s="476"/>
      <c r="CX91" s="476"/>
      <c r="CY91" s="476"/>
      <c r="CZ91" s="476"/>
      <c r="DA91" s="476"/>
      <c r="DB91" s="476"/>
      <c r="DC91" s="476"/>
      <c r="DD91" s="476"/>
      <c r="DE91" s="476"/>
      <c r="DF91" s="476"/>
      <c r="DG91" s="476"/>
      <c r="DH91" s="476"/>
      <c r="DI91" s="476"/>
      <c r="DJ91" s="476"/>
      <c r="DK91" s="476"/>
      <c r="DL91" s="476"/>
      <c r="DM91" s="476"/>
      <c r="DN91" s="476"/>
      <c r="DO91" s="476"/>
      <c r="DP91" s="476"/>
      <c r="DQ91" s="476"/>
      <c r="DR91" s="476"/>
      <c r="DS91" s="476"/>
      <c r="DT91" s="476"/>
      <c r="DU91" s="476"/>
      <c r="DV91" s="476"/>
      <c r="DW91" s="476"/>
      <c r="DX91" s="476"/>
      <c r="DY91" s="476"/>
      <c r="DZ91" s="476"/>
      <c r="EA91" s="477"/>
      <c r="EB91" s="478" t="s">
        <v>211</v>
      </c>
      <c r="EC91" s="479"/>
      <c r="ED91" s="479"/>
      <c r="EE91" s="479"/>
      <c r="EF91" s="479"/>
      <c r="EG91" s="479"/>
      <c r="EH91" s="479"/>
      <c r="EI91" s="479"/>
      <c r="EJ91" s="479"/>
      <c r="EK91" s="479"/>
      <c r="EL91" s="479"/>
      <c r="EM91" s="479"/>
      <c r="EN91" s="479"/>
      <c r="EO91" s="479"/>
      <c r="EP91" s="479"/>
      <c r="EQ91" s="479"/>
      <c r="ER91" s="479"/>
      <c r="ES91" s="479"/>
      <c r="ET91" s="479"/>
      <c r="EU91" s="479"/>
      <c r="EV91" s="479"/>
      <c r="EW91" s="479"/>
      <c r="EX91" s="479"/>
      <c r="EY91" s="479"/>
      <c r="EZ91" s="479"/>
      <c r="FA91" s="479"/>
      <c r="FB91" s="479"/>
      <c r="FC91" s="479"/>
      <c r="FD91" s="480"/>
      <c r="FE91" s="473" t="s">
        <v>212</v>
      </c>
      <c r="FF91" s="305"/>
      <c r="FG91" s="305"/>
      <c r="FH91" s="305"/>
      <c r="FI91" s="305"/>
      <c r="FJ91" s="305"/>
      <c r="FK91" s="305"/>
      <c r="FL91" s="305"/>
      <c r="FM91" s="305"/>
      <c r="FN91" s="305"/>
      <c r="FO91" s="305"/>
      <c r="FP91" s="305"/>
      <c r="FQ91" s="305"/>
      <c r="FR91" s="305"/>
      <c r="FS91" s="306"/>
      <c r="FT91" s="473" t="s">
        <v>213</v>
      </c>
      <c r="FU91" s="305"/>
      <c r="FV91" s="305"/>
      <c r="FW91" s="305"/>
      <c r="FX91" s="305"/>
      <c r="FY91" s="305"/>
      <c r="FZ91" s="305"/>
      <c r="GA91" s="305"/>
      <c r="GB91" s="305"/>
      <c r="GC91" s="305"/>
      <c r="GD91" s="305"/>
      <c r="GE91" s="305"/>
      <c r="GF91" s="305"/>
      <c r="GG91" s="305"/>
      <c r="GH91" s="481"/>
      <c r="GI91" s="42"/>
    </row>
    <row r="92" spans="1:191" x14ac:dyDescent="0.3">
      <c r="A92" s="470"/>
      <c r="B92" s="471"/>
      <c r="C92" s="471"/>
      <c r="D92" s="471"/>
      <c r="E92" s="471"/>
      <c r="F92" s="471"/>
      <c r="G92" s="471"/>
      <c r="H92" s="471"/>
      <c r="I92" s="471"/>
      <c r="J92" s="472"/>
      <c r="K92" s="474"/>
      <c r="L92" s="311"/>
      <c r="M92" s="311"/>
      <c r="N92" s="311"/>
      <c r="O92" s="311"/>
      <c r="P92" s="311"/>
      <c r="Q92" s="311"/>
      <c r="R92" s="311"/>
      <c r="S92" s="311"/>
      <c r="T92" s="311"/>
      <c r="U92" s="311"/>
      <c r="V92" s="311"/>
      <c r="W92" s="311"/>
      <c r="X92" s="311"/>
      <c r="Y92" s="311"/>
      <c r="Z92" s="311"/>
      <c r="AA92" s="311"/>
      <c r="AB92" s="311"/>
      <c r="AC92" s="311"/>
      <c r="AD92" s="311"/>
      <c r="AE92" s="311"/>
      <c r="AF92" s="311"/>
      <c r="AG92" s="311"/>
      <c r="AH92" s="311"/>
      <c r="AI92" s="311"/>
      <c r="AJ92" s="312"/>
      <c r="AK92" s="474"/>
      <c r="AL92" s="311"/>
      <c r="AM92" s="311"/>
      <c r="AN92" s="311"/>
      <c r="AO92" s="311"/>
      <c r="AP92" s="311"/>
      <c r="AQ92" s="311"/>
      <c r="AR92" s="311"/>
      <c r="AS92" s="311"/>
      <c r="AT92" s="311"/>
      <c r="AU92" s="311"/>
      <c r="AV92" s="311"/>
      <c r="AW92" s="311"/>
      <c r="AX92" s="311"/>
      <c r="AY92" s="311"/>
      <c r="AZ92" s="311"/>
      <c r="BA92" s="311"/>
      <c r="BB92" s="311"/>
      <c r="BC92" s="311"/>
      <c r="BD92" s="311"/>
      <c r="BE92" s="311"/>
      <c r="BF92" s="311"/>
      <c r="BG92" s="311"/>
      <c r="BH92" s="311"/>
      <c r="BI92" s="311"/>
      <c r="BJ92" s="312"/>
      <c r="BK92" s="474"/>
      <c r="BL92" s="311"/>
      <c r="BM92" s="311"/>
      <c r="BN92" s="311"/>
      <c r="BO92" s="311"/>
      <c r="BP92" s="311"/>
      <c r="BQ92" s="311"/>
      <c r="BR92" s="311"/>
      <c r="BS92" s="311"/>
      <c r="BT92" s="311"/>
      <c r="BU92" s="311"/>
      <c r="BV92" s="311"/>
      <c r="BW92" s="311"/>
      <c r="BX92" s="311"/>
      <c r="BY92" s="311"/>
      <c r="BZ92" s="311"/>
      <c r="CA92" s="311"/>
      <c r="CB92" s="311"/>
      <c r="CC92" s="311"/>
      <c r="CD92" s="311"/>
      <c r="CE92" s="311"/>
      <c r="CF92" s="311"/>
      <c r="CG92" s="311"/>
      <c r="CH92" s="311"/>
      <c r="CI92" s="311"/>
      <c r="CJ92" s="311"/>
      <c r="CK92" s="311"/>
      <c r="CL92" s="312"/>
      <c r="CM92" s="478" t="s">
        <v>214</v>
      </c>
      <c r="CN92" s="479"/>
      <c r="CO92" s="479"/>
      <c r="CP92" s="479"/>
      <c r="CQ92" s="479"/>
      <c r="CR92" s="479"/>
      <c r="CS92" s="479"/>
      <c r="CT92" s="479"/>
      <c r="CU92" s="479"/>
      <c r="CV92" s="479"/>
      <c r="CW92" s="479"/>
      <c r="CX92" s="479"/>
      <c r="CY92" s="479"/>
      <c r="CZ92" s="479"/>
      <c r="DA92" s="479"/>
      <c r="DB92" s="479"/>
      <c r="DC92" s="479"/>
      <c r="DD92" s="479"/>
      <c r="DE92" s="479"/>
      <c r="DF92" s="479"/>
      <c r="DG92" s="479"/>
      <c r="DH92" s="479"/>
      <c r="DI92" s="479"/>
      <c r="DJ92" s="479"/>
      <c r="DK92" s="479"/>
      <c r="DL92" s="479"/>
      <c r="DM92" s="479"/>
      <c r="DN92" s="479"/>
      <c r="DO92" s="479"/>
      <c r="DP92" s="479"/>
      <c r="DQ92" s="479"/>
      <c r="DR92" s="479"/>
      <c r="DS92" s="479"/>
      <c r="DT92" s="480"/>
      <c r="DU92" s="475" t="s">
        <v>215</v>
      </c>
      <c r="DV92" s="476"/>
      <c r="DW92" s="476"/>
      <c r="DX92" s="476"/>
      <c r="DY92" s="476"/>
      <c r="DZ92" s="476"/>
      <c r="EA92" s="477"/>
      <c r="EB92" s="475" t="s">
        <v>216</v>
      </c>
      <c r="EC92" s="476"/>
      <c r="ED92" s="476"/>
      <c r="EE92" s="476"/>
      <c r="EF92" s="476"/>
      <c r="EG92" s="476"/>
      <c r="EH92" s="476"/>
      <c r="EI92" s="476"/>
      <c r="EJ92" s="476"/>
      <c r="EK92" s="476"/>
      <c r="EL92" s="476"/>
      <c r="EM92" s="476"/>
      <c r="EN92" s="476"/>
      <c r="EO92" s="476"/>
      <c r="EP92" s="477"/>
      <c r="EQ92" s="475" t="s">
        <v>217</v>
      </c>
      <c r="ER92" s="476"/>
      <c r="ES92" s="476"/>
      <c r="ET92" s="476"/>
      <c r="EU92" s="476"/>
      <c r="EV92" s="476"/>
      <c r="EW92" s="476"/>
      <c r="EX92" s="476"/>
      <c r="EY92" s="476"/>
      <c r="EZ92" s="476"/>
      <c r="FA92" s="476"/>
      <c r="FB92" s="476"/>
      <c r="FC92" s="476"/>
      <c r="FD92" s="476"/>
      <c r="FE92" s="474"/>
      <c r="FF92" s="311"/>
      <c r="FG92" s="311"/>
      <c r="FH92" s="311"/>
      <c r="FI92" s="311"/>
      <c r="FJ92" s="311"/>
      <c r="FK92" s="311"/>
      <c r="FL92" s="311"/>
      <c r="FM92" s="311"/>
      <c r="FN92" s="311"/>
      <c r="FO92" s="311"/>
      <c r="FP92" s="311"/>
      <c r="FQ92" s="311"/>
      <c r="FR92" s="311"/>
      <c r="FS92" s="312"/>
      <c r="FT92" s="474"/>
      <c r="FU92" s="311"/>
      <c r="FV92" s="311"/>
      <c r="FW92" s="311"/>
      <c r="FX92" s="311"/>
      <c r="FY92" s="311"/>
      <c r="FZ92" s="311"/>
      <c r="GA92" s="311"/>
      <c r="GB92" s="311"/>
      <c r="GC92" s="311"/>
      <c r="GD92" s="311"/>
      <c r="GE92" s="311"/>
      <c r="GF92" s="311"/>
      <c r="GG92" s="311"/>
      <c r="GH92" s="482"/>
      <c r="GI92" s="42"/>
    </row>
    <row r="93" spans="1:191" ht="7.95" customHeight="1" thickBot="1" x14ac:dyDescent="0.35">
      <c r="A93" s="413">
        <v>10</v>
      </c>
      <c r="B93" s="416"/>
      <c r="C93" s="416"/>
      <c r="D93" s="416"/>
      <c r="E93" s="416"/>
      <c r="F93" s="416"/>
      <c r="G93" s="416"/>
      <c r="H93" s="416"/>
      <c r="I93" s="416"/>
      <c r="J93" s="501"/>
      <c r="K93" s="483">
        <v>11</v>
      </c>
      <c r="L93" s="416"/>
      <c r="M93" s="416"/>
      <c r="N93" s="416"/>
      <c r="O93" s="416"/>
      <c r="P93" s="416"/>
      <c r="Q93" s="416"/>
      <c r="R93" s="416"/>
      <c r="S93" s="416"/>
      <c r="T93" s="416"/>
      <c r="U93" s="416"/>
      <c r="V93" s="416"/>
      <c r="W93" s="416"/>
      <c r="X93" s="416"/>
      <c r="Y93" s="416"/>
      <c r="Z93" s="416"/>
      <c r="AA93" s="416"/>
      <c r="AB93" s="416"/>
      <c r="AC93" s="416"/>
      <c r="AD93" s="416"/>
      <c r="AE93" s="416"/>
      <c r="AF93" s="416"/>
      <c r="AG93" s="416"/>
      <c r="AH93" s="416"/>
      <c r="AI93" s="416"/>
      <c r="AJ93" s="501"/>
      <c r="AK93" s="483">
        <v>12</v>
      </c>
      <c r="AL93" s="416"/>
      <c r="AM93" s="416"/>
      <c r="AN93" s="416"/>
      <c r="AO93" s="416"/>
      <c r="AP93" s="416"/>
      <c r="AQ93" s="416"/>
      <c r="AR93" s="416"/>
      <c r="AS93" s="416"/>
      <c r="AT93" s="416"/>
      <c r="AU93" s="416"/>
      <c r="AV93" s="416"/>
      <c r="AW93" s="416"/>
      <c r="AX93" s="416"/>
      <c r="AY93" s="416"/>
      <c r="AZ93" s="416"/>
      <c r="BA93" s="416"/>
      <c r="BB93" s="416"/>
      <c r="BC93" s="416"/>
      <c r="BD93" s="416"/>
      <c r="BE93" s="416"/>
      <c r="BF93" s="416"/>
      <c r="BG93" s="416"/>
      <c r="BH93" s="416"/>
      <c r="BI93" s="416"/>
      <c r="BJ93" s="501"/>
      <c r="BK93" s="483">
        <v>6</v>
      </c>
      <c r="BL93" s="416"/>
      <c r="BM93" s="416"/>
      <c r="BN93" s="416"/>
      <c r="BO93" s="416"/>
      <c r="BP93" s="416"/>
      <c r="BQ93" s="416"/>
      <c r="BR93" s="416"/>
      <c r="BS93" s="416"/>
      <c r="BT93" s="416"/>
      <c r="BU93" s="416"/>
      <c r="BV93" s="416"/>
      <c r="BW93" s="416"/>
      <c r="BX93" s="416"/>
      <c r="BY93" s="416"/>
      <c r="BZ93" s="416"/>
      <c r="CA93" s="416"/>
      <c r="CB93" s="416"/>
      <c r="CC93" s="416"/>
      <c r="CD93" s="416"/>
      <c r="CE93" s="416"/>
      <c r="CF93" s="416"/>
      <c r="CG93" s="416"/>
      <c r="CH93" s="416"/>
      <c r="CI93" s="416"/>
      <c r="CJ93" s="416"/>
      <c r="CK93" s="416"/>
      <c r="CL93" s="501"/>
      <c r="CM93" s="483">
        <v>14</v>
      </c>
      <c r="CN93" s="416"/>
      <c r="CO93" s="416"/>
      <c r="CP93" s="416"/>
      <c r="CQ93" s="416"/>
      <c r="CR93" s="416"/>
      <c r="CS93" s="416"/>
      <c r="CT93" s="416"/>
      <c r="CU93" s="416"/>
      <c r="CV93" s="416"/>
      <c r="CW93" s="416"/>
      <c r="CX93" s="416"/>
      <c r="CY93" s="416"/>
      <c r="CZ93" s="416"/>
      <c r="DA93" s="416"/>
      <c r="DB93" s="416"/>
      <c r="DC93" s="416"/>
      <c r="DD93" s="416"/>
      <c r="DE93" s="416"/>
      <c r="DF93" s="416"/>
      <c r="DG93" s="416"/>
      <c r="DH93" s="416"/>
      <c r="DI93" s="416"/>
      <c r="DJ93" s="416"/>
      <c r="DK93" s="416"/>
      <c r="DL93" s="416"/>
      <c r="DM93" s="416"/>
      <c r="DN93" s="416"/>
      <c r="DO93" s="416"/>
      <c r="DP93" s="416"/>
      <c r="DQ93" s="416"/>
      <c r="DR93" s="416"/>
      <c r="DS93" s="416"/>
      <c r="DT93" s="501"/>
      <c r="DU93" s="483">
        <v>15</v>
      </c>
      <c r="DV93" s="416"/>
      <c r="DW93" s="416"/>
      <c r="DX93" s="416"/>
      <c r="DY93" s="416"/>
      <c r="DZ93" s="416"/>
      <c r="EA93" s="501"/>
      <c r="EB93" s="483">
        <v>16</v>
      </c>
      <c r="EC93" s="416"/>
      <c r="ED93" s="416"/>
      <c r="EE93" s="416"/>
      <c r="EF93" s="416"/>
      <c r="EG93" s="416"/>
      <c r="EH93" s="416"/>
      <c r="EI93" s="416"/>
      <c r="EJ93" s="416"/>
      <c r="EK93" s="416"/>
      <c r="EL93" s="416"/>
      <c r="EM93" s="416"/>
      <c r="EN93" s="416"/>
      <c r="EO93" s="416"/>
      <c r="EP93" s="501"/>
      <c r="EQ93" s="483">
        <v>17</v>
      </c>
      <c r="ER93" s="416"/>
      <c r="ES93" s="416"/>
      <c r="ET93" s="416"/>
      <c r="EU93" s="416"/>
      <c r="EV93" s="416"/>
      <c r="EW93" s="416"/>
      <c r="EX93" s="416"/>
      <c r="EY93" s="416"/>
      <c r="EZ93" s="416"/>
      <c r="FA93" s="416"/>
      <c r="FB93" s="416"/>
      <c r="FC93" s="416"/>
      <c r="FD93" s="501"/>
      <c r="FE93" s="483">
        <v>18</v>
      </c>
      <c r="FF93" s="416"/>
      <c r="FG93" s="416"/>
      <c r="FH93" s="416"/>
      <c r="FI93" s="416"/>
      <c r="FJ93" s="416"/>
      <c r="FK93" s="416"/>
      <c r="FL93" s="416"/>
      <c r="FM93" s="416"/>
      <c r="FN93" s="416"/>
      <c r="FO93" s="416"/>
      <c r="FP93" s="416"/>
      <c r="FQ93" s="416"/>
      <c r="FR93" s="416"/>
      <c r="FS93" s="501"/>
      <c r="FT93" s="483">
        <v>19</v>
      </c>
      <c r="FU93" s="416"/>
      <c r="FV93" s="416"/>
      <c r="FW93" s="416"/>
      <c r="FX93" s="416"/>
      <c r="FY93" s="416"/>
      <c r="FZ93" s="416"/>
      <c r="GA93" s="416"/>
      <c r="GB93" s="416"/>
      <c r="GC93" s="416"/>
      <c r="GD93" s="416"/>
      <c r="GE93" s="416"/>
      <c r="GF93" s="416"/>
      <c r="GG93" s="416"/>
      <c r="GH93" s="417"/>
      <c r="GI93" s="42"/>
    </row>
    <row r="94" spans="1:191" ht="13.2" customHeight="1" thickTop="1" x14ac:dyDescent="0.3">
      <c r="A94" s="484" t="s">
        <v>218</v>
      </c>
      <c r="B94" s="485"/>
      <c r="C94" s="485"/>
      <c r="D94" s="485"/>
      <c r="E94" s="485"/>
      <c r="F94" s="485"/>
      <c r="G94" s="485"/>
      <c r="H94" s="485"/>
      <c r="I94" s="485"/>
      <c r="J94" s="486"/>
      <c r="K94" s="487"/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9"/>
      <c r="AK94" s="487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8"/>
      <c r="AY94" s="488"/>
      <c r="AZ94" s="488"/>
      <c r="BA94" s="488"/>
      <c r="BB94" s="488"/>
      <c r="BC94" s="488"/>
      <c r="BD94" s="488"/>
      <c r="BE94" s="488"/>
      <c r="BF94" s="488"/>
      <c r="BG94" s="488"/>
      <c r="BH94" s="488"/>
      <c r="BI94" s="488"/>
      <c r="BJ94" s="489"/>
      <c r="BK94" s="487"/>
      <c r="BL94" s="488"/>
      <c r="BM94" s="488"/>
      <c r="BN94" s="488"/>
      <c r="BO94" s="488"/>
      <c r="BP94" s="488"/>
      <c r="BQ94" s="488"/>
      <c r="BR94" s="488"/>
      <c r="BS94" s="488"/>
      <c r="BT94" s="488"/>
      <c r="BU94" s="488"/>
      <c r="BV94" s="488"/>
      <c r="BW94" s="488"/>
      <c r="BX94" s="488"/>
      <c r="BY94" s="488"/>
      <c r="BZ94" s="488"/>
      <c r="CA94" s="488"/>
      <c r="CB94" s="488"/>
      <c r="CC94" s="488"/>
      <c r="CD94" s="488"/>
      <c r="CE94" s="488"/>
      <c r="CF94" s="488"/>
      <c r="CG94" s="488"/>
      <c r="CH94" s="488"/>
      <c r="CI94" s="488"/>
      <c r="CJ94" s="488"/>
      <c r="CK94" s="488"/>
      <c r="CL94" s="489"/>
      <c r="CM94" s="487"/>
      <c r="CN94" s="488"/>
      <c r="CO94" s="488"/>
      <c r="CP94" s="488"/>
      <c r="CQ94" s="488"/>
      <c r="CR94" s="488"/>
      <c r="CS94" s="488"/>
      <c r="CT94" s="488"/>
      <c r="CU94" s="488"/>
      <c r="CV94" s="488"/>
      <c r="CW94" s="488"/>
      <c r="CX94" s="488"/>
      <c r="CY94" s="488"/>
      <c r="CZ94" s="488"/>
      <c r="DA94" s="488"/>
      <c r="DB94" s="488"/>
      <c r="DC94" s="488"/>
      <c r="DD94" s="488"/>
      <c r="DE94" s="488"/>
      <c r="DF94" s="488"/>
      <c r="DG94" s="488"/>
      <c r="DH94" s="488"/>
      <c r="DI94" s="488"/>
      <c r="DJ94" s="488"/>
      <c r="DK94" s="488"/>
      <c r="DL94" s="488"/>
      <c r="DM94" s="488"/>
      <c r="DN94" s="488"/>
      <c r="DO94" s="488"/>
      <c r="DP94" s="488"/>
      <c r="DQ94" s="488"/>
      <c r="DR94" s="488"/>
      <c r="DS94" s="488"/>
      <c r="DT94" s="490"/>
      <c r="DU94" s="491"/>
      <c r="DV94" s="492"/>
      <c r="DW94" s="492"/>
      <c r="DX94" s="492"/>
      <c r="DY94" s="492"/>
      <c r="DZ94" s="492"/>
      <c r="EA94" s="493"/>
      <c r="EB94" s="494"/>
      <c r="EC94" s="492"/>
      <c r="ED94" s="492"/>
      <c r="EE94" s="492"/>
      <c r="EF94" s="492"/>
      <c r="EG94" s="492"/>
      <c r="EH94" s="492"/>
      <c r="EI94" s="492"/>
      <c r="EJ94" s="492"/>
      <c r="EK94" s="492"/>
      <c r="EL94" s="492"/>
      <c r="EM94" s="492"/>
      <c r="EN94" s="492"/>
      <c r="EO94" s="492"/>
      <c r="EP94" s="493"/>
      <c r="EQ94" s="494"/>
      <c r="ER94" s="492"/>
      <c r="ES94" s="492"/>
      <c r="ET94" s="492"/>
      <c r="EU94" s="492"/>
      <c r="EV94" s="492"/>
      <c r="EW94" s="492"/>
      <c r="EX94" s="492"/>
      <c r="EY94" s="492"/>
      <c r="EZ94" s="492"/>
      <c r="FA94" s="492"/>
      <c r="FB94" s="492"/>
      <c r="FC94" s="492"/>
      <c r="FD94" s="493"/>
      <c r="FE94" s="495"/>
      <c r="FF94" s="496"/>
      <c r="FG94" s="496"/>
      <c r="FH94" s="496"/>
      <c r="FI94" s="496"/>
      <c r="FJ94" s="496"/>
      <c r="FK94" s="496"/>
      <c r="FL94" s="496"/>
      <c r="FM94" s="496"/>
      <c r="FN94" s="496"/>
      <c r="FO94" s="496"/>
      <c r="FP94" s="496"/>
      <c r="FQ94" s="496"/>
      <c r="FR94" s="496"/>
      <c r="FS94" s="497"/>
      <c r="FT94" s="498"/>
      <c r="FU94" s="499"/>
      <c r="FV94" s="499"/>
      <c r="FW94" s="499"/>
      <c r="FX94" s="499"/>
      <c r="FY94" s="499"/>
      <c r="FZ94" s="499"/>
      <c r="GA94" s="499"/>
      <c r="GB94" s="499"/>
      <c r="GC94" s="499"/>
      <c r="GD94" s="499"/>
      <c r="GE94" s="499"/>
      <c r="GF94" s="499"/>
      <c r="GG94" s="499"/>
      <c r="GH94" s="500"/>
      <c r="GI94" s="42"/>
    </row>
    <row r="95" spans="1:191" ht="13.2" customHeight="1" thickBot="1" x14ac:dyDescent="0.35">
      <c r="A95" s="502" t="s">
        <v>219</v>
      </c>
      <c r="B95" s="503"/>
      <c r="C95" s="503"/>
      <c r="D95" s="503"/>
      <c r="E95" s="503"/>
      <c r="F95" s="503"/>
      <c r="G95" s="503"/>
      <c r="H95" s="503"/>
      <c r="I95" s="503"/>
      <c r="J95" s="504"/>
      <c r="K95" s="505"/>
      <c r="L95" s="506"/>
      <c r="M95" s="506"/>
      <c r="N95" s="506"/>
      <c r="O95" s="506"/>
      <c r="P95" s="506"/>
      <c r="Q95" s="506"/>
      <c r="R95" s="506"/>
      <c r="S95" s="506"/>
      <c r="T95" s="506"/>
      <c r="U95" s="506"/>
      <c r="V95" s="506"/>
      <c r="W95" s="506"/>
      <c r="X95" s="506"/>
      <c r="Y95" s="506"/>
      <c r="Z95" s="506"/>
      <c r="AA95" s="506"/>
      <c r="AB95" s="506"/>
      <c r="AC95" s="506"/>
      <c r="AD95" s="506"/>
      <c r="AE95" s="506"/>
      <c r="AF95" s="506"/>
      <c r="AG95" s="506"/>
      <c r="AH95" s="506"/>
      <c r="AI95" s="506"/>
      <c r="AJ95" s="507"/>
      <c r="AK95" s="508"/>
      <c r="AL95" s="509"/>
      <c r="AM95" s="509"/>
      <c r="AN95" s="509"/>
      <c r="AO95" s="509"/>
      <c r="AP95" s="509"/>
      <c r="AQ95" s="509"/>
      <c r="AR95" s="509"/>
      <c r="AS95" s="509"/>
      <c r="AT95" s="509"/>
      <c r="AU95" s="509"/>
      <c r="AV95" s="509"/>
      <c r="AW95" s="509"/>
      <c r="AX95" s="509"/>
      <c r="AY95" s="509"/>
      <c r="AZ95" s="509"/>
      <c r="BA95" s="509"/>
      <c r="BB95" s="509"/>
      <c r="BC95" s="509"/>
      <c r="BD95" s="509"/>
      <c r="BE95" s="509"/>
      <c r="BF95" s="509"/>
      <c r="BG95" s="509"/>
      <c r="BH95" s="509"/>
      <c r="BI95" s="509"/>
      <c r="BJ95" s="510"/>
      <c r="BK95" s="508"/>
      <c r="BL95" s="509"/>
      <c r="BM95" s="509"/>
      <c r="BN95" s="509"/>
      <c r="BO95" s="509"/>
      <c r="BP95" s="509"/>
      <c r="BQ95" s="509"/>
      <c r="BR95" s="509"/>
      <c r="BS95" s="509"/>
      <c r="BT95" s="509"/>
      <c r="BU95" s="509"/>
      <c r="BV95" s="509"/>
      <c r="BW95" s="509"/>
      <c r="BX95" s="509"/>
      <c r="BY95" s="509"/>
      <c r="BZ95" s="509"/>
      <c r="CA95" s="509"/>
      <c r="CB95" s="509"/>
      <c r="CC95" s="509"/>
      <c r="CD95" s="509"/>
      <c r="CE95" s="509"/>
      <c r="CF95" s="509"/>
      <c r="CG95" s="509"/>
      <c r="CH95" s="509"/>
      <c r="CI95" s="509"/>
      <c r="CJ95" s="509"/>
      <c r="CK95" s="509"/>
      <c r="CL95" s="510"/>
      <c r="CM95" s="508"/>
      <c r="CN95" s="509"/>
      <c r="CO95" s="509"/>
      <c r="CP95" s="509"/>
      <c r="CQ95" s="509"/>
      <c r="CR95" s="509"/>
      <c r="CS95" s="509"/>
      <c r="CT95" s="509"/>
      <c r="CU95" s="509"/>
      <c r="CV95" s="509"/>
      <c r="CW95" s="509"/>
      <c r="CX95" s="509"/>
      <c r="CY95" s="509"/>
      <c r="CZ95" s="509"/>
      <c r="DA95" s="509"/>
      <c r="DB95" s="509"/>
      <c r="DC95" s="509"/>
      <c r="DD95" s="509"/>
      <c r="DE95" s="509"/>
      <c r="DF95" s="509"/>
      <c r="DG95" s="509"/>
      <c r="DH95" s="509"/>
      <c r="DI95" s="509"/>
      <c r="DJ95" s="509"/>
      <c r="DK95" s="509"/>
      <c r="DL95" s="509"/>
      <c r="DM95" s="509"/>
      <c r="DN95" s="509"/>
      <c r="DO95" s="509"/>
      <c r="DP95" s="509"/>
      <c r="DQ95" s="509"/>
      <c r="DR95" s="509"/>
      <c r="DS95" s="509"/>
      <c r="DT95" s="511"/>
      <c r="DU95" s="512"/>
      <c r="DV95" s="513"/>
      <c r="DW95" s="513"/>
      <c r="DX95" s="513"/>
      <c r="DY95" s="513"/>
      <c r="DZ95" s="513"/>
      <c r="EA95" s="514"/>
      <c r="EB95" s="515"/>
      <c r="EC95" s="513"/>
      <c r="ED95" s="513"/>
      <c r="EE95" s="513"/>
      <c r="EF95" s="513"/>
      <c r="EG95" s="513"/>
      <c r="EH95" s="513"/>
      <c r="EI95" s="513"/>
      <c r="EJ95" s="513"/>
      <c r="EK95" s="513"/>
      <c r="EL95" s="513"/>
      <c r="EM95" s="513"/>
      <c r="EN95" s="513"/>
      <c r="EO95" s="513"/>
      <c r="EP95" s="514"/>
      <c r="EQ95" s="515"/>
      <c r="ER95" s="513"/>
      <c r="ES95" s="513"/>
      <c r="ET95" s="513"/>
      <c r="EU95" s="513"/>
      <c r="EV95" s="513"/>
      <c r="EW95" s="513"/>
      <c r="EX95" s="513"/>
      <c r="EY95" s="513"/>
      <c r="EZ95" s="513"/>
      <c r="FA95" s="513"/>
      <c r="FB95" s="513"/>
      <c r="FC95" s="513"/>
      <c r="FD95" s="514"/>
      <c r="FE95" s="516"/>
      <c r="FF95" s="517"/>
      <c r="FG95" s="517"/>
      <c r="FH95" s="517"/>
      <c r="FI95" s="517"/>
      <c r="FJ95" s="517"/>
      <c r="FK95" s="517"/>
      <c r="FL95" s="517"/>
      <c r="FM95" s="517"/>
      <c r="FN95" s="517"/>
      <c r="FO95" s="517"/>
      <c r="FP95" s="517"/>
      <c r="FQ95" s="517"/>
      <c r="FR95" s="517"/>
      <c r="FS95" s="518"/>
      <c r="FT95" s="519"/>
      <c r="FU95" s="520"/>
      <c r="FV95" s="520"/>
      <c r="FW95" s="520"/>
      <c r="FX95" s="520"/>
      <c r="FY95" s="520"/>
      <c r="FZ95" s="520"/>
      <c r="GA95" s="520"/>
      <c r="GB95" s="520"/>
      <c r="GC95" s="520"/>
      <c r="GD95" s="520"/>
      <c r="GE95" s="520"/>
      <c r="GF95" s="520"/>
      <c r="GG95" s="520"/>
      <c r="GH95" s="521"/>
      <c r="GI95" s="42"/>
    </row>
    <row r="96" spans="1:191" ht="5.4" customHeight="1" thickTop="1" thickBot="1" x14ac:dyDescent="0.35">
      <c r="A96" s="78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  <c r="CY96" s="78"/>
      <c r="CZ96" s="78"/>
      <c r="DA96" s="78"/>
      <c r="DB96" s="78"/>
      <c r="DC96" s="78"/>
      <c r="DD96" s="78"/>
      <c r="DE96" s="78"/>
      <c r="DF96" s="78"/>
      <c r="DG96" s="78"/>
      <c r="DH96" s="78"/>
      <c r="DI96" s="78"/>
      <c r="DJ96" s="78"/>
      <c r="DK96" s="78"/>
      <c r="DL96" s="78"/>
      <c r="DM96" s="78"/>
      <c r="DN96" s="78"/>
      <c r="DO96" s="78"/>
      <c r="DP96" s="78"/>
      <c r="DQ96" s="78"/>
      <c r="DR96" s="78"/>
      <c r="DS96" s="78"/>
      <c r="DT96" s="78"/>
      <c r="DU96" s="78"/>
      <c r="DV96" s="78"/>
      <c r="DW96" s="78"/>
      <c r="DX96" s="78"/>
      <c r="DY96" s="78"/>
      <c r="DZ96" s="78"/>
      <c r="EA96" s="78"/>
      <c r="EB96" s="78"/>
      <c r="EC96" s="78"/>
      <c r="ED96" s="78"/>
      <c r="EE96" s="78"/>
      <c r="EF96" s="78"/>
      <c r="EG96" s="78"/>
      <c r="EH96" s="78"/>
      <c r="EI96" s="78"/>
      <c r="EJ96" s="78"/>
      <c r="EK96" s="78"/>
      <c r="EL96" s="78"/>
      <c r="EM96" s="78"/>
      <c r="EN96" s="78"/>
      <c r="EO96" s="78"/>
      <c r="EP96" s="78"/>
      <c r="EQ96" s="78"/>
      <c r="ER96" s="78"/>
      <c r="ES96" s="78"/>
      <c r="ET96" s="78"/>
      <c r="EU96" s="78"/>
      <c r="EV96" s="78"/>
      <c r="EW96" s="78"/>
      <c r="EX96" s="78"/>
      <c r="EY96" s="78"/>
      <c r="EZ96" s="78"/>
      <c r="FA96" s="78"/>
      <c r="FB96" s="78"/>
      <c r="FC96" s="78"/>
      <c r="FD96" s="78"/>
      <c r="FE96" s="78"/>
      <c r="FF96" s="78"/>
      <c r="FG96" s="78"/>
      <c r="FH96" s="78"/>
      <c r="FI96" s="78"/>
      <c r="FJ96" s="78"/>
      <c r="FK96" s="78"/>
      <c r="FL96" s="78"/>
      <c r="FM96" s="78"/>
      <c r="FN96" s="78"/>
      <c r="FO96" s="78"/>
      <c r="FP96" s="78"/>
      <c r="FQ96" s="78"/>
      <c r="FR96" s="78"/>
      <c r="FS96" s="78"/>
      <c r="FT96" s="78"/>
      <c r="FU96" s="78"/>
      <c r="FV96" s="78"/>
      <c r="FW96" s="78"/>
      <c r="FX96" s="78"/>
      <c r="FY96" s="78"/>
      <c r="FZ96" s="78"/>
      <c r="GA96" s="78"/>
      <c r="GB96" s="78"/>
      <c r="GC96" s="78"/>
      <c r="GD96" s="78"/>
      <c r="GE96" s="78"/>
      <c r="GF96" s="78"/>
      <c r="GG96" s="78"/>
      <c r="GH96" s="78"/>
      <c r="GI96" s="42"/>
    </row>
    <row r="97" spans="1:193" ht="15" thickTop="1" x14ac:dyDescent="0.3">
      <c r="A97" s="522" t="s">
        <v>220</v>
      </c>
      <c r="B97" s="523"/>
      <c r="C97" s="523"/>
      <c r="D97" s="523"/>
      <c r="E97" s="523"/>
      <c r="F97" s="523"/>
      <c r="G97" s="523"/>
      <c r="H97" s="523"/>
      <c r="I97" s="523"/>
      <c r="J97" s="523"/>
      <c r="K97" s="523"/>
      <c r="L97" s="523"/>
      <c r="M97" s="523"/>
      <c r="N97" s="523"/>
      <c r="O97" s="523"/>
      <c r="P97" s="523"/>
      <c r="Q97" s="523"/>
      <c r="R97" s="523"/>
      <c r="S97" s="523"/>
      <c r="T97" s="523"/>
      <c r="U97" s="523"/>
      <c r="V97" s="523"/>
      <c r="W97" s="523"/>
      <c r="X97" s="523"/>
      <c r="Y97" s="523"/>
      <c r="Z97" s="523"/>
      <c r="AA97" s="523"/>
      <c r="AB97" s="523"/>
      <c r="AC97" s="523"/>
      <c r="AD97" s="523"/>
      <c r="AE97" s="523"/>
      <c r="AF97" s="523"/>
      <c r="AG97" s="523"/>
      <c r="AH97" s="523"/>
      <c r="AI97" s="523"/>
      <c r="AJ97" s="523"/>
      <c r="AK97" s="523"/>
      <c r="AL97" s="523"/>
      <c r="AM97" s="523"/>
      <c r="AN97" s="523"/>
      <c r="AO97" s="523"/>
      <c r="AP97" s="523"/>
      <c r="AQ97" s="523"/>
      <c r="AR97" s="523"/>
      <c r="AS97" s="523"/>
      <c r="AT97" s="523"/>
      <c r="AU97" s="523"/>
      <c r="AV97" s="523"/>
      <c r="AW97" s="523"/>
      <c r="AX97" s="523"/>
      <c r="AY97" s="523"/>
      <c r="AZ97" s="523"/>
      <c r="BA97" s="523"/>
      <c r="BB97" s="523"/>
      <c r="BC97" s="523"/>
      <c r="BD97" s="523"/>
      <c r="BE97" s="523"/>
      <c r="BF97" s="523"/>
      <c r="BG97" s="523"/>
      <c r="BH97" s="523"/>
      <c r="BI97" s="523"/>
      <c r="BJ97" s="523"/>
      <c r="BK97" s="523"/>
      <c r="BL97" s="523"/>
      <c r="BM97" s="523"/>
      <c r="BN97" s="523"/>
      <c r="BO97" s="523"/>
      <c r="BP97" s="523"/>
      <c r="BQ97" s="523"/>
      <c r="BR97" s="523"/>
      <c r="BS97" s="523"/>
      <c r="BT97" s="523"/>
      <c r="BU97" s="523"/>
      <c r="BV97" s="523"/>
      <c r="BW97" s="523"/>
      <c r="BX97" s="523"/>
      <c r="BY97" s="523"/>
      <c r="BZ97" s="523"/>
      <c r="CA97" s="523"/>
      <c r="CB97" s="523"/>
      <c r="CC97" s="523"/>
      <c r="CD97" s="523"/>
      <c r="CE97" s="523"/>
      <c r="CF97" s="523"/>
      <c r="CG97" s="523"/>
      <c r="CH97" s="523"/>
      <c r="CI97" s="523"/>
      <c r="CJ97" s="523"/>
      <c r="CK97" s="523"/>
      <c r="CL97" s="523"/>
      <c r="CM97" s="523"/>
      <c r="CN97" s="523"/>
      <c r="CO97" s="523"/>
      <c r="CP97" s="523"/>
      <c r="CQ97" s="523"/>
      <c r="CR97" s="523"/>
      <c r="CS97" s="523"/>
      <c r="CT97" s="523"/>
      <c r="CU97" s="523"/>
      <c r="CV97" s="523"/>
      <c r="CW97" s="523"/>
      <c r="CX97" s="523"/>
      <c r="CY97" s="523"/>
      <c r="CZ97" s="523"/>
      <c r="DA97" s="523"/>
      <c r="DB97" s="523"/>
      <c r="DC97" s="523"/>
      <c r="DD97" s="523"/>
      <c r="DE97" s="523"/>
      <c r="DF97" s="523"/>
      <c r="DG97" s="523"/>
      <c r="DH97" s="523"/>
      <c r="DI97" s="523"/>
      <c r="DJ97" s="523"/>
      <c r="DK97" s="523"/>
      <c r="DL97" s="523"/>
      <c r="DM97" s="523"/>
      <c r="DN97" s="523"/>
      <c r="DO97" s="523"/>
      <c r="DP97" s="523"/>
      <c r="DQ97" s="523"/>
      <c r="DR97" s="523"/>
      <c r="DS97" s="523"/>
      <c r="DT97" s="523"/>
      <c r="DU97" s="523"/>
      <c r="DV97" s="523"/>
      <c r="DW97" s="523"/>
      <c r="DX97" s="523"/>
      <c r="DY97" s="523"/>
      <c r="DZ97" s="523"/>
      <c r="EA97" s="523"/>
      <c r="EB97" s="523"/>
      <c r="EC97" s="523"/>
      <c r="ED97" s="523"/>
      <c r="EE97" s="523"/>
      <c r="EF97" s="523"/>
      <c r="EG97" s="523"/>
      <c r="EH97" s="523"/>
      <c r="EI97" s="523"/>
      <c r="EJ97" s="523"/>
      <c r="EK97" s="523"/>
      <c r="EL97" s="523"/>
      <c r="EM97" s="523"/>
      <c r="EN97" s="523"/>
      <c r="EO97" s="524"/>
      <c r="EP97" s="78"/>
      <c r="EQ97" s="78"/>
      <c r="ER97" s="78"/>
      <c r="ES97" s="78"/>
      <c r="ET97" s="78"/>
      <c r="EU97" s="78"/>
      <c r="EV97" s="78"/>
      <c r="EW97" s="78"/>
      <c r="EX97" s="78"/>
      <c r="EY97" s="78"/>
      <c r="EZ97" s="78"/>
      <c r="FA97" s="78"/>
      <c r="FB97" s="78"/>
      <c r="FC97" s="78"/>
      <c r="FD97" s="78"/>
      <c r="FE97" s="78"/>
      <c r="FF97" s="78"/>
      <c r="FG97" s="78"/>
      <c r="FH97" s="78"/>
      <c r="FI97" s="78"/>
      <c r="FJ97" s="78"/>
      <c r="FK97" s="78"/>
      <c r="FL97" s="78"/>
      <c r="FM97" s="78"/>
      <c r="FN97" s="78"/>
      <c r="FO97" s="78"/>
      <c r="FP97" s="78"/>
      <c r="FQ97" s="78"/>
      <c r="FR97" s="78"/>
      <c r="FS97" s="78"/>
      <c r="FT97" s="78"/>
      <c r="FU97" s="78"/>
      <c r="FV97" s="78"/>
      <c r="FW97" s="78"/>
      <c r="FX97" s="78"/>
      <c r="FY97" s="78"/>
      <c r="FZ97" s="78"/>
      <c r="GA97" s="78"/>
      <c r="GB97" s="78"/>
      <c r="GC97" s="78"/>
      <c r="GD97" s="78"/>
      <c r="GE97" s="78"/>
      <c r="GF97" s="78"/>
      <c r="GG97" s="78"/>
      <c r="GH97" s="78"/>
      <c r="GI97" s="42"/>
    </row>
    <row r="98" spans="1:193" ht="9.6" customHeight="1" x14ac:dyDescent="0.3">
      <c r="A98" s="525" t="s">
        <v>221</v>
      </c>
      <c r="B98" s="476"/>
      <c r="C98" s="476"/>
      <c r="D98" s="476"/>
      <c r="E98" s="476"/>
      <c r="F98" s="476"/>
      <c r="G98" s="476"/>
      <c r="H98" s="476"/>
      <c r="I98" s="476"/>
      <c r="J98" s="476"/>
      <c r="K98" s="476"/>
      <c r="L98" s="476"/>
      <c r="M98" s="476"/>
      <c r="N98" s="476"/>
      <c r="O98" s="476"/>
      <c r="P98" s="476"/>
      <c r="Q98" s="476"/>
      <c r="R98" s="476"/>
      <c r="S98" s="476"/>
      <c r="T98" s="476"/>
      <c r="U98" s="476"/>
      <c r="V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  <c r="AG98" s="476"/>
      <c r="AH98" s="476"/>
      <c r="AI98" s="476"/>
      <c r="AJ98" s="476"/>
      <c r="AK98" s="476"/>
      <c r="AL98" s="476"/>
      <c r="AM98" s="476"/>
      <c r="AN98" s="477"/>
      <c r="AO98" s="526" t="s">
        <v>215</v>
      </c>
      <c r="AP98" s="527"/>
      <c r="AQ98" s="527"/>
      <c r="AR98" s="527"/>
      <c r="AS98" s="527"/>
      <c r="AT98" s="527"/>
      <c r="AU98" s="527"/>
      <c r="AV98" s="527"/>
      <c r="AW98" s="528"/>
      <c r="AX98" s="475" t="s">
        <v>222</v>
      </c>
      <c r="AY98" s="476"/>
      <c r="AZ98" s="476"/>
      <c r="BA98" s="476"/>
      <c r="BB98" s="476"/>
      <c r="BC98" s="476"/>
      <c r="BD98" s="476"/>
      <c r="BE98" s="476"/>
      <c r="BF98" s="476"/>
      <c r="BG98" s="476"/>
      <c r="BH98" s="476"/>
      <c r="BI98" s="476"/>
      <c r="BJ98" s="476"/>
      <c r="BK98" s="476"/>
      <c r="BL98" s="476"/>
      <c r="BM98" s="476"/>
      <c r="BN98" s="476"/>
      <c r="BO98" s="476"/>
      <c r="BP98" s="476"/>
      <c r="BQ98" s="476"/>
      <c r="BR98" s="476"/>
      <c r="BS98" s="476"/>
      <c r="BT98" s="476"/>
      <c r="BU98" s="476"/>
      <c r="BV98" s="477"/>
      <c r="BW98" s="473" t="s">
        <v>223</v>
      </c>
      <c r="BX98" s="305"/>
      <c r="BY98" s="305"/>
      <c r="BZ98" s="305"/>
      <c r="CA98" s="305"/>
      <c r="CB98" s="305"/>
      <c r="CC98" s="305"/>
      <c r="CD98" s="305"/>
      <c r="CE98" s="305"/>
      <c r="CF98" s="305"/>
      <c r="CG98" s="305"/>
      <c r="CH98" s="305"/>
      <c r="CI98" s="305"/>
      <c r="CJ98" s="305"/>
      <c r="CK98" s="305"/>
      <c r="CL98" s="305"/>
      <c r="CM98" s="305"/>
      <c r="CN98" s="305"/>
      <c r="CO98" s="305"/>
      <c r="CP98" s="306"/>
      <c r="CQ98" s="475" t="s">
        <v>224</v>
      </c>
      <c r="CR98" s="476"/>
      <c r="CS98" s="476"/>
      <c r="CT98" s="476"/>
      <c r="CU98" s="476"/>
      <c r="CV98" s="476"/>
      <c r="CW98" s="476"/>
      <c r="CX98" s="476"/>
      <c r="CY98" s="476"/>
      <c r="CZ98" s="476"/>
      <c r="DA98" s="476"/>
      <c r="DB98" s="476"/>
      <c r="DC98" s="476"/>
      <c r="DD98" s="476"/>
      <c r="DE98" s="476"/>
      <c r="DF98" s="476"/>
      <c r="DG98" s="476"/>
      <c r="DH98" s="476"/>
      <c r="DI98" s="476"/>
      <c r="DJ98" s="476"/>
      <c r="DK98" s="476"/>
      <c r="DL98" s="476"/>
      <c r="DM98" s="476"/>
      <c r="DN98" s="476"/>
      <c r="DO98" s="476"/>
      <c r="DP98" s="476"/>
      <c r="DQ98" s="477"/>
      <c r="DR98" s="475" t="s">
        <v>225</v>
      </c>
      <c r="DS98" s="476"/>
      <c r="DT98" s="476"/>
      <c r="DU98" s="476"/>
      <c r="DV98" s="476"/>
      <c r="DW98" s="476"/>
      <c r="DX98" s="476"/>
      <c r="DY98" s="476"/>
      <c r="DZ98" s="476"/>
      <c r="EA98" s="476"/>
      <c r="EB98" s="476"/>
      <c r="EC98" s="476"/>
      <c r="ED98" s="476"/>
      <c r="EE98" s="476"/>
      <c r="EF98" s="476"/>
      <c r="EG98" s="476"/>
      <c r="EH98" s="476"/>
      <c r="EI98" s="476"/>
      <c r="EJ98" s="476"/>
      <c r="EK98" s="476"/>
      <c r="EL98" s="476"/>
      <c r="EM98" s="476"/>
      <c r="EN98" s="476"/>
      <c r="EO98" s="530"/>
      <c r="EP98" s="78"/>
      <c r="EQ98" s="78"/>
      <c r="ER98" s="78"/>
      <c r="ES98" s="78" t="s">
        <v>226</v>
      </c>
      <c r="ET98" s="78"/>
      <c r="EU98" s="78"/>
      <c r="EV98" s="78"/>
      <c r="EW98" s="78"/>
      <c r="EX98" s="78"/>
      <c r="EY98" s="78"/>
      <c r="EZ98" s="78"/>
      <c r="FA98" s="78"/>
      <c r="FB98" s="78"/>
      <c r="FC98" s="78"/>
      <c r="FD98" s="78"/>
      <c r="FE98" s="78"/>
      <c r="FF98" s="452"/>
      <c r="FG98" s="452"/>
      <c r="FH98" s="452"/>
      <c r="FI98" s="452"/>
      <c r="FJ98" s="452"/>
      <c r="FK98" s="452"/>
      <c r="FL98" s="452"/>
      <c r="FM98" s="452"/>
      <c r="FN98" s="452"/>
      <c r="FO98" s="452"/>
      <c r="FP98" s="452"/>
      <c r="FQ98" s="452"/>
      <c r="FR98" s="452"/>
      <c r="FS98" s="452"/>
      <c r="FT98" s="452"/>
      <c r="FU98" s="452"/>
      <c r="FV98" s="452"/>
      <c r="FW98" s="452"/>
      <c r="FX98" s="452"/>
      <c r="FY98" s="452"/>
      <c r="FZ98" s="452"/>
      <c r="GA98" s="452"/>
      <c r="GB98" s="452"/>
      <c r="GC98" s="452"/>
      <c r="GD98" s="452"/>
      <c r="GE98" s="452"/>
      <c r="GF98" s="452"/>
      <c r="GG98" s="452"/>
      <c r="GH98" s="452"/>
      <c r="GI98" s="42"/>
    </row>
    <row r="99" spans="1:193" ht="8.4" customHeight="1" x14ac:dyDescent="0.3">
      <c r="A99" s="531" t="s">
        <v>227</v>
      </c>
      <c r="B99" s="532"/>
      <c r="C99" s="532"/>
      <c r="D99" s="532"/>
      <c r="E99" s="532"/>
      <c r="F99" s="532"/>
      <c r="G99" s="532"/>
      <c r="H99" s="533"/>
      <c r="I99" s="540" t="s">
        <v>228</v>
      </c>
      <c r="J99" s="532"/>
      <c r="K99" s="532"/>
      <c r="L99" s="532"/>
      <c r="M99" s="532"/>
      <c r="N99" s="532"/>
      <c r="O99" s="532"/>
      <c r="P99" s="533"/>
      <c r="Q99" s="540" t="s">
        <v>229</v>
      </c>
      <c r="R99" s="532"/>
      <c r="S99" s="532"/>
      <c r="T99" s="532"/>
      <c r="U99" s="532"/>
      <c r="V99" s="532"/>
      <c r="W99" s="532"/>
      <c r="X99" s="533"/>
      <c r="Y99" s="540" t="s">
        <v>230</v>
      </c>
      <c r="Z99" s="532"/>
      <c r="AA99" s="532"/>
      <c r="AB99" s="532"/>
      <c r="AC99" s="532"/>
      <c r="AD99" s="532"/>
      <c r="AE99" s="532"/>
      <c r="AF99" s="533"/>
      <c r="AG99" s="540" t="s">
        <v>231</v>
      </c>
      <c r="AH99" s="532"/>
      <c r="AI99" s="532"/>
      <c r="AJ99" s="532"/>
      <c r="AK99" s="532"/>
      <c r="AL99" s="532"/>
      <c r="AM99" s="532"/>
      <c r="AN99" s="533"/>
      <c r="AO99" s="543" t="s">
        <v>232</v>
      </c>
      <c r="AP99" s="544"/>
      <c r="AQ99" s="544"/>
      <c r="AR99" s="544"/>
      <c r="AS99" s="544"/>
      <c r="AT99" s="544"/>
      <c r="AU99" s="544"/>
      <c r="AV99" s="544"/>
      <c r="AW99" s="545"/>
      <c r="AX99" s="540" t="s">
        <v>233</v>
      </c>
      <c r="AY99" s="532"/>
      <c r="AZ99" s="532"/>
      <c r="BA99" s="532"/>
      <c r="BB99" s="532"/>
      <c r="BC99" s="532"/>
      <c r="BD99" s="532"/>
      <c r="BE99" s="532"/>
      <c r="BF99" s="532"/>
      <c r="BG99" s="532"/>
      <c r="BH99" s="533"/>
      <c r="BI99" s="546" t="s">
        <v>234</v>
      </c>
      <c r="BJ99" s="547"/>
      <c r="BK99" s="547"/>
      <c r="BL99" s="547"/>
      <c r="BM99" s="547"/>
      <c r="BN99" s="547"/>
      <c r="BO99" s="547"/>
      <c r="BP99" s="547"/>
      <c r="BQ99" s="547"/>
      <c r="BR99" s="547"/>
      <c r="BS99" s="547"/>
      <c r="BT99" s="547"/>
      <c r="BU99" s="547"/>
      <c r="BV99" s="548"/>
      <c r="BW99" s="529"/>
      <c r="BX99" s="308"/>
      <c r="BY99" s="308"/>
      <c r="BZ99" s="308"/>
      <c r="CA99" s="308"/>
      <c r="CB99" s="308"/>
      <c r="CC99" s="308"/>
      <c r="CD99" s="308"/>
      <c r="CE99" s="308"/>
      <c r="CF99" s="308"/>
      <c r="CG99" s="308"/>
      <c r="CH99" s="308"/>
      <c r="CI99" s="308"/>
      <c r="CJ99" s="308"/>
      <c r="CK99" s="308"/>
      <c r="CL99" s="308"/>
      <c r="CM99" s="308"/>
      <c r="CN99" s="308"/>
      <c r="CO99" s="308"/>
      <c r="CP99" s="309"/>
      <c r="CQ99" s="546" t="s">
        <v>235</v>
      </c>
      <c r="CR99" s="547"/>
      <c r="CS99" s="547"/>
      <c r="CT99" s="547"/>
      <c r="CU99" s="547"/>
      <c r="CV99" s="547"/>
      <c r="CW99" s="547"/>
      <c r="CX99" s="547"/>
      <c r="CY99" s="547"/>
      <c r="CZ99" s="547"/>
      <c r="DA99" s="547"/>
      <c r="DB99" s="547"/>
      <c r="DC99" s="548"/>
      <c r="DD99" s="546" t="s">
        <v>236</v>
      </c>
      <c r="DE99" s="547"/>
      <c r="DF99" s="547"/>
      <c r="DG99" s="547"/>
      <c r="DH99" s="547"/>
      <c r="DI99" s="547"/>
      <c r="DJ99" s="547"/>
      <c r="DK99" s="547"/>
      <c r="DL99" s="547"/>
      <c r="DM99" s="547"/>
      <c r="DN99" s="547"/>
      <c r="DO99" s="547"/>
      <c r="DP99" s="547"/>
      <c r="DQ99" s="548"/>
      <c r="DR99" s="546" t="s">
        <v>237</v>
      </c>
      <c r="DS99" s="547"/>
      <c r="DT99" s="547"/>
      <c r="DU99" s="547"/>
      <c r="DV99" s="547"/>
      <c r="DW99" s="547"/>
      <c r="DX99" s="547"/>
      <c r="DY99" s="547"/>
      <c r="DZ99" s="547"/>
      <c r="EA99" s="547"/>
      <c r="EB99" s="547"/>
      <c r="EC99" s="547"/>
      <c r="ED99" s="547"/>
      <c r="EE99" s="548"/>
      <c r="EF99" s="546" t="s">
        <v>238</v>
      </c>
      <c r="EG99" s="547"/>
      <c r="EH99" s="547"/>
      <c r="EI99" s="547"/>
      <c r="EJ99" s="547"/>
      <c r="EK99" s="547"/>
      <c r="EL99" s="547"/>
      <c r="EM99" s="547"/>
      <c r="EN99" s="547"/>
      <c r="EO99" s="555"/>
      <c r="EP99" s="78"/>
      <c r="EQ99" s="78"/>
      <c r="ER99" s="367"/>
      <c r="ES99" s="367"/>
      <c r="ET99" s="367"/>
      <c r="EU99" s="367"/>
      <c r="EV99" s="367"/>
      <c r="EW99" s="367"/>
      <c r="EX99" s="367"/>
      <c r="EY99" s="367"/>
      <c r="EZ99" s="367"/>
      <c r="FA99" s="367"/>
      <c r="FB99" s="367"/>
      <c r="FC99" s="367"/>
      <c r="FD99" s="367"/>
      <c r="FE99" s="367"/>
      <c r="FF99" s="367"/>
      <c r="FG99" s="367"/>
      <c r="FH99" s="367"/>
      <c r="FI99" s="367"/>
      <c r="FJ99" s="367"/>
      <c r="FK99" s="367"/>
      <c r="FL99" s="367"/>
      <c r="FM99" s="367"/>
      <c r="FN99" s="367"/>
      <c r="FO99" s="367"/>
      <c r="FP99" s="367"/>
      <c r="FQ99" s="367"/>
      <c r="FR99" s="367"/>
      <c r="FS99" s="367"/>
      <c r="FT99" s="367"/>
      <c r="FU99" s="367"/>
      <c r="FV99" s="367"/>
      <c r="FW99" s="367"/>
      <c r="FX99" s="367"/>
      <c r="FY99" s="367"/>
      <c r="FZ99" s="367"/>
      <c r="GA99" s="367"/>
      <c r="GB99" s="367"/>
      <c r="GC99" s="367"/>
      <c r="GD99" s="367"/>
      <c r="GE99" s="367"/>
      <c r="GF99" s="367"/>
      <c r="GG99" s="367"/>
      <c r="GH99" s="367"/>
      <c r="GI99" s="42"/>
    </row>
    <row r="100" spans="1:193" ht="8.4" customHeight="1" x14ac:dyDescent="0.3">
      <c r="A100" s="534"/>
      <c r="B100" s="535"/>
      <c r="C100" s="535"/>
      <c r="D100" s="535"/>
      <c r="E100" s="535"/>
      <c r="F100" s="535"/>
      <c r="G100" s="535"/>
      <c r="H100" s="536"/>
      <c r="I100" s="541"/>
      <c r="J100" s="535"/>
      <c r="K100" s="535"/>
      <c r="L100" s="535"/>
      <c r="M100" s="535"/>
      <c r="N100" s="535"/>
      <c r="O100" s="535"/>
      <c r="P100" s="536"/>
      <c r="Q100" s="541"/>
      <c r="R100" s="535"/>
      <c r="S100" s="535"/>
      <c r="T100" s="535"/>
      <c r="U100" s="535"/>
      <c r="V100" s="535"/>
      <c r="W100" s="535"/>
      <c r="X100" s="536"/>
      <c r="Y100" s="541"/>
      <c r="Z100" s="535"/>
      <c r="AA100" s="535"/>
      <c r="AB100" s="535"/>
      <c r="AC100" s="535"/>
      <c r="AD100" s="535"/>
      <c r="AE100" s="535"/>
      <c r="AF100" s="536"/>
      <c r="AG100" s="541"/>
      <c r="AH100" s="535"/>
      <c r="AI100" s="535"/>
      <c r="AJ100" s="535"/>
      <c r="AK100" s="535"/>
      <c r="AL100" s="535"/>
      <c r="AM100" s="535"/>
      <c r="AN100" s="536"/>
      <c r="AO100" s="543" t="s">
        <v>239</v>
      </c>
      <c r="AP100" s="544"/>
      <c r="AQ100" s="544"/>
      <c r="AR100" s="544"/>
      <c r="AS100" s="544"/>
      <c r="AT100" s="544"/>
      <c r="AU100" s="544"/>
      <c r="AV100" s="544"/>
      <c r="AW100" s="545"/>
      <c r="AX100" s="541"/>
      <c r="AY100" s="535"/>
      <c r="AZ100" s="535"/>
      <c r="BA100" s="535"/>
      <c r="BB100" s="535"/>
      <c r="BC100" s="535"/>
      <c r="BD100" s="535"/>
      <c r="BE100" s="535"/>
      <c r="BF100" s="535"/>
      <c r="BG100" s="535"/>
      <c r="BH100" s="536"/>
      <c r="BI100" s="549"/>
      <c r="BJ100" s="550"/>
      <c r="BK100" s="550"/>
      <c r="BL100" s="550"/>
      <c r="BM100" s="550"/>
      <c r="BN100" s="550"/>
      <c r="BO100" s="550"/>
      <c r="BP100" s="550"/>
      <c r="BQ100" s="550"/>
      <c r="BR100" s="550"/>
      <c r="BS100" s="550"/>
      <c r="BT100" s="550"/>
      <c r="BU100" s="550"/>
      <c r="BV100" s="551"/>
      <c r="BW100" s="529"/>
      <c r="BX100" s="308"/>
      <c r="BY100" s="308"/>
      <c r="BZ100" s="308"/>
      <c r="CA100" s="308"/>
      <c r="CB100" s="308"/>
      <c r="CC100" s="308"/>
      <c r="CD100" s="308"/>
      <c r="CE100" s="308"/>
      <c r="CF100" s="308"/>
      <c r="CG100" s="308"/>
      <c r="CH100" s="308"/>
      <c r="CI100" s="308"/>
      <c r="CJ100" s="308"/>
      <c r="CK100" s="308"/>
      <c r="CL100" s="308"/>
      <c r="CM100" s="308"/>
      <c r="CN100" s="308"/>
      <c r="CO100" s="308"/>
      <c r="CP100" s="309"/>
      <c r="CQ100" s="549"/>
      <c r="CR100" s="550"/>
      <c r="CS100" s="550"/>
      <c r="CT100" s="550"/>
      <c r="CU100" s="550"/>
      <c r="CV100" s="550"/>
      <c r="CW100" s="550"/>
      <c r="CX100" s="550"/>
      <c r="CY100" s="550"/>
      <c r="CZ100" s="550"/>
      <c r="DA100" s="550"/>
      <c r="DB100" s="550"/>
      <c r="DC100" s="551"/>
      <c r="DD100" s="549"/>
      <c r="DE100" s="550"/>
      <c r="DF100" s="550"/>
      <c r="DG100" s="550"/>
      <c r="DH100" s="550"/>
      <c r="DI100" s="550"/>
      <c r="DJ100" s="550"/>
      <c r="DK100" s="550"/>
      <c r="DL100" s="550"/>
      <c r="DM100" s="550"/>
      <c r="DN100" s="550"/>
      <c r="DO100" s="550"/>
      <c r="DP100" s="550"/>
      <c r="DQ100" s="551"/>
      <c r="DR100" s="549"/>
      <c r="DS100" s="550"/>
      <c r="DT100" s="550"/>
      <c r="DU100" s="550"/>
      <c r="DV100" s="550"/>
      <c r="DW100" s="550"/>
      <c r="DX100" s="550"/>
      <c r="DY100" s="550"/>
      <c r="DZ100" s="550"/>
      <c r="EA100" s="550"/>
      <c r="EB100" s="550"/>
      <c r="EC100" s="550"/>
      <c r="ED100" s="550"/>
      <c r="EE100" s="551"/>
      <c r="EF100" s="549"/>
      <c r="EG100" s="550"/>
      <c r="EH100" s="550"/>
      <c r="EI100" s="550"/>
      <c r="EJ100" s="550"/>
      <c r="EK100" s="550"/>
      <c r="EL100" s="550"/>
      <c r="EM100" s="550"/>
      <c r="EN100" s="550"/>
      <c r="EO100" s="556"/>
      <c r="EP100" s="78"/>
      <c r="EQ100" s="78"/>
      <c r="ER100" s="457"/>
      <c r="ES100" s="457"/>
      <c r="ET100" s="457"/>
      <c r="EU100" s="457"/>
      <c r="EV100" s="457"/>
      <c r="EW100" s="457"/>
      <c r="EX100" s="457"/>
      <c r="EY100" s="457"/>
      <c r="EZ100" s="457"/>
      <c r="FA100" s="457"/>
      <c r="FB100" s="457"/>
      <c r="FC100" s="457"/>
      <c r="FD100" s="457"/>
      <c r="FE100" s="457"/>
      <c r="FF100" s="457"/>
      <c r="FG100" s="457"/>
      <c r="FH100" s="457"/>
      <c r="FI100" s="457"/>
      <c r="FJ100" s="457"/>
      <c r="FK100" s="457"/>
      <c r="FL100" s="457"/>
      <c r="FM100" s="457"/>
      <c r="FN100" s="457"/>
      <c r="FO100" s="457"/>
      <c r="FP100" s="457"/>
      <c r="FQ100" s="457"/>
      <c r="FR100" s="457"/>
      <c r="FS100" s="457"/>
      <c r="FT100" s="457"/>
      <c r="FU100" s="457"/>
      <c r="FV100" s="457"/>
      <c r="FW100" s="457"/>
      <c r="FX100" s="457"/>
      <c r="FY100" s="457"/>
      <c r="FZ100" s="457"/>
      <c r="GA100" s="457"/>
      <c r="GB100" s="457"/>
      <c r="GC100" s="457"/>
      <c r="GD100" s="457"/>
      <c r="GE100" s="457"/>
      <c r="GF100" s="457"/>
      <c r="GG100" s="457"/>
      <c r="GH100" s="457"/>
      <c r="GI100" s="42"/>
    </row>
    <row r="101" spans="1:193" ht="8.4" customHeight="1" x14ac:dyDescent="0.3">
      <c r="A101" s="537"/>
      <c r="B101" s="538"/>
      <c r="C101" s="538"/>
      <c r="D101" s="538"/>
      <c r="E101" s="538"/>
      <c r="F101" s="538"/>
      <c r="G101" s="538"/>
      <c r="H101" s="539"/>
      <c r="I101" s="542"/>
      <c r="J101" s="538"/>
      <c r="K101" s="538"/>
      <c r="L101" s="538"/>
      <c r="M101" s="538"/>
      <c r="N101" s="538"/>
      <c r="O101" s="538"/>
      <c r="P101" s="539"/>
      <c r="Q101" s="542"/>
      <c r="R101" s="538"/>
      <c r="S101" s="538"/>
      <c r="T101" s="538"/>
      <c r="U101" s="538"/>
      <c r="V101" s="538"/>
      <c r="W101" s="538"/>
      <c r="X101" s="539"/>
      <c r="Y101" s="542"/>
      <c r="Z101" s="538"/>
      <c r="AA101" s="538"/>
      <c r="AB101" s="538"/>
      <c r="AC101" s="538"/>
      <c r="AD101" s="538"/>
      <c r="AE101" s="538"/>
      <c r="AF101" s="539"/>
      <c r="AG101" s="542"/>
      <c r="AH101" s="538"/>
      <c r="AI101" s="538"/>
      <c r="AJ101" s="538"/>
      <c r="AK101" s="538"/>
      <c r="AL101" s="538"/>
      <c r="AM101" s="538"/>
      <c r="AN101" s="539"/>
      <c r="AO101" s="558" t="s">
        <v>240</v>
      </c>
      <c r="AP101" s="559"/>
      <c r="AQ101" s="559"/>
      <c r="AR101" s="559"/>
      <c r="AS101" s="559"/>
      <c r="AT101" s="559"/>
      <c r="AU101" s="559"/>
      <c r="AV101" s="559"/>
      <c r="AW101" s="560"/>
      <c r="AX101" s="542"/>
      <c r="AY101" s="538"/>
      <c r="AZ101" s="538"/>
      <c r="BA101" s="538"/>
      <c r="BB101" s="538"/>
      <c r="BC101" s="538"/>
      <c r="BD101" s="538"/>
      <c r="BE101" s="538"/>
      <c r="BF101" s="538"/>
      <c r="BG101" s="538"/>
      <c r="BH101" s="539"/>
      <c r="BI101" s="552"/>
      <c r="BJ101" s="553"/>
      <c r="BK101" s="553"/>
      <c r="BL101" s="553"/>
      <c r="BM101" s="553"/>
      <c r="BN101" s="553"/>
      <c r="BO101" s="553"/>
      <c r="BP101" s="553"/>
      <c r="BQ101" s="553"/>
      <c r="BR101" s="553"/>
      <c r="BS101" s="553"/>
      <c r="BT101" s="553"/>
      <c r="BU101" s="553"/>
      <c r="BV101" s="554"/>
      <c r="BW101" s="474"/>
      <c r="BX101" s="311"/>
      <c r="BY101" s="311"/>
      <c r="BZ101" s="311"/>
      <c r="CA101" s="311"/>
      <c r="CB101" s="311"/>
      <c r="CC101" s="311"/>
      <c r="CD101" s="311"/>
      <c r="CE101" s="311"/>
      <c r="CF101" s="311"/>
      <c r="CG101" s="311"/>
      <c r="CH101" s="311"/>
      <c r="CI101" s="311"/>
      <c r="CJ101" s="311"/>
      <c r="CK101" s="311"/>
      <c r="CL101" s="311"/>
      <c r="CM101" s="311"/>
      <c r="CN101" s="311"/>
      <c r="CO101" s="311"/>
      <c r="CP101" s="312"/>
      <c r="CQ101" s="552"/>
      <c r="CR101" s="553"/>
      <c r="CS101" s="553"/>
      <c r="CT101" s="553"/>
      <c r="CU101" s="553"/>
      <c r="CV101" s="553"/>
      <c r="CW101" s="553"/>
      <c r="CX101" s="553"/>
      <c r="CY101" s="553"/>
      <c r="CZ101" s="553"/>
      <c r="DA101" s="553"/>
      <c r="DB101" s="553"/>
      <c r="DC101" s="554"/>
      <c r="DD101" s="552"/>
      <c r="DE101" s="553"/>
      <c r="DF101" s="553"/>
      <c r="DG101" s="553"/>
      <c r="DH101" s="553"/>
      <c r="DI101" s="553"/>
      <c r="DJ101" s="553"/>
      <c r="DK101" s="553"/>
      <c r="DL101" s="553"/>
      <c r="DM101" s="553"/>
      <c r="DN101" s="553"/>
      <c r="DO101" s="553"/>
      <c r="DP101" s="553"/>
      <c r="DQ101" s="554"/>
      <c r="DR101" s="552"/>
      <c r="DS101" s="553"/>
      <c r="DT101" s="553"/>
      <c r="DU101" s="553"/>
      <c r="DV101" s="553"/>
      <c r="DW101" s="553"/>
      <c r="DX101" s="553"/>
      <c r="DY101" s="553"/>
      <c r="DZ101" s="553"/>
      <c r="EA101" s="553"/>
      <c r="EB101" s="553"/>
      <c r="EC101" s="553"/>
      <c r="ED101" s="553"/>
      <c r="EE101" s="554"/>
      <c r="EF101" s="552"/>
      <c r="EG101" s="553"/>
      <c r="EH101" s="553"/>
      <c r="EI101" s="553"/>
      <c r="EJ101" s="553"/>
      <c r="EK101" s="553"/>
      <c r="EL101" s="553"/>
      <c r="EM101" s="553"/>
      <c r="EN101" s="553"/>
      <c r="EO101" s="557"/>
      <c r="EP101" s="78"/>
      <c r="EQ101" s="78"/>
      <c r="ER101" s="459"/>
      <c r="ES101" s="459"/>
      <c r="ET101" s="459"/>
      <c r="EU101" s="459"/>
      <c r="EV101" s="459"/>
      <c r="EW101" s="459"/>
      <c r="EX101" s="459"/>
      <c r="EY101" s="459"/>
      <c r="EZ101" s="459"/>
      <c r="FA101" s="459"/>
      <c r="FB101" s="459"/>
      <c r="FC101" s="459"/>
      <c r="FD101" s="459"/>
      <c r="FE101" s="459"/>
      <c r="FF101" s="459"/>
      <c r="FG101" s="459"/>
      <c r="FH101" s="459"/>
      <c r="FI101" s="459"/>
      <c r="FJ101" s="459"/>
      <c r="FK101" s="459"/>
      <c r="FL101" s="459"/>
      <c r="FM101" s="459"/>
      <c r="FN101" s="459"/>
      <c r="FO101" s="459"/>
      <c r="FP101" s="459"/>
      <c r="FQ101" s="459"/>
      <c r="FR101" s="459"/>
      <c r="FS101" s="459"/>
      <c r="FT101" s="459"/>
      <c r="FU101" s="459"/>
      <c r="FV101" s="459"/>
      <c r="FW101" s="459"/>
      <c r="FX101" s="459"/>
      <c r="FY101" s="459"/>
      <c r="FZ101" s="459"/>
      <c r="GA101" s="459"/>
      <c r="GB101" s="459"/>
      <c r="GC101" s="459"/>
      <c r="GD101" s="459"/>
      <c r="GE101" s="459"/>
      <c r="GF101" s="459"/>
      <c r="GG101" s="459"/>
      <c r="GH101" s="459"/>
      <c r="GI101" s="42"/>
    </row>
    <row r="102" spans="1:193" ht="9.6" customHeight="1" thickBot="1" x14ac:dyDescent="0.35">
      <c r="A102" s="413">
        <v>20</v>
      </c>
      <c r="B102" s="416"/>
      <c r="C102" s="416"/>
      <c r="D102" s="416"/>
      <c r="E102" s="416"/>
      <c r="F102" s="416"/>
      <c r="G102" s="416"/>
      <c r="H102" s="501"/>
      <c r="I102" s="483">
        <v>21</v>
      </c>
      <c r="J102" s="416"/>
      <c r="K102" s="416"/>
      <c r="L102" s="416"/>
      <c r="M102" s="416"/>
      <c r="N102" s="416"/>
      <c r="O102" s="416"/>
      <c r="P102" s="501"/>
      <c r="Q102" s="483">
        <v>22</v>
      </c>
      <c r="R102" s="416"/>
      <c r="S102" s="416"/>
      <c r="T102" s="416"/>
      <c r="U102" s="416"/>
      <c r="V102" s="416"/>
      <c r="W102" s="416"/>
      <c r="X102" s="501"/>
      <c r="Y102" s="483">
        <v>23</v>
      </c>
      <c r="Z102" s="416"/>
      <c r="AA102" s="416"/>
      <c r="AB102" s="416"/>
      <c r="AC102" s="416"/>
      <c r="AD102" s="416"/>
      <c r="AE102" s="416"/>
      <c r="AF102" s="501"/>
      <c r="AG102" s="483">
        <v>24</v>
      </c>
      <c r="AH102" s="416"/>
      <c r="AI102" s="416"/>
      <c r="AJ102" s="416"/>
      <c r="AK102" s="416"/>
      <c r="AL102" s="416"/>
      <c r="AM102" s="416"/>
      <c r="AN102" s="501"/>
      <c r="AO102" s="483">
        <v>25</v>
      </c>
      <c r="AP102" s="416"/>
      <c r="AQ102" s="416"/>
      <c r="AR102" s="416"/>
      <c r="AS102" s="416"/>
      <c r="AT102" s="416"/>
      <c r="AU102" s="416"/>
      <c r="AV102" s="416"/>
      <c r="AW102" s="501"/>
      <c r="AX102" s="483">
        <v>26</v>
      </c>
      <c r="AY102" s="416"/>
      <c r="AZ102" s="416"/>
      <c r="BA102" s="416"/>
      <c r="BB102" s="416"/>
      <c r="BC102" s="416"/>
      <c r="BD102" s="416"/>
      <c r="BE102" s="416"/>
      <c r="BF102" s="416"/>
      <c r="BG102" s="416"/>
      <c r="BH102" s="501"/>
      <c r="BI102" s="483">
        <v>27</v>
      </c>
      <c r="BJ102" s="416"/>
      <c r="BK102" s="416"/>
      <c r="BL102" s="416"/>
      <c r="BM102" s="416"/>
      <c r="BN102" s="416"/>
      <c r="BO102" s="416"/>
      <c r="BP102" s="416"/>
      <c r="BQ102" s="416"/>
      <c r="BR102" s="416"/>
      <c r="BS102" s="416"/>
      <c r="BT102" s="416"/>
      <c r="BU102" s="416"/>
      <c r="BV102" s="501"/>
      <c r="BW102" s="483">
        <v>28</v>
      </c>
      <c r="BX102" s="416"/>
      <c r="BY102" s="416"/>
      <c r="BZ102" s="416"/>
      <c r="CA102" s="416"/>
      <c r="CB102" s="416"/>
      <c r="CC102" s="416"/>
      <c r="CD102" s="416"/>
      <c r="CE102" s="416"/>
      <c r="CF102" s="416"/>
      <c r="CG102" s="416"/>
      <c r="CH102" s="416"/>
      <c r="CI102" s="416"/>
      <c r="CJ102" s="416"/>
      <c r="CK102" s="416"/>
      <c r="CL102" s="416"/>
      <c r="CM102" s="416"/>
      <c r="CN102" s="416"/>
      <c r="CO102" s="416"/>
      <c r="CP102" s="501"/>
      <c r="CQ102" s="483">
        <v>29</v>
      </c>
      <c r="CR102" s="416"/>
      <c r="CS102" s="416"/>
      <c r="CT102" s="416"/>
      <c r="CU102" s="416"/>
      <c r="CV102" s="416"/>
      <c r="CW102" s="416"/>
      <c r="CX102" s="416"/>
      <c r="CY102" s="416"/>
      <c r="CZ102" s="416"/>
      <c r="DA102" s="416"/>
      <c r="DB102" s="416"/>
      <c r="DC102" s="501"/>
      <c r="DD102" s="483">
        <v>30</v>
      </c>
      <c r="DE102" s="416"/>
      <c r="DF102" s="416"/>
      <c r="DG102" s="416"/>
      <c r="DH102" s="416"/>
      <c r="DI102" s="416"/>
      <c r="DJ102" s="416"/>
      <c r="DK102" s="416"/>
      <c r="DL102" s="416"/>
      <c r="DM102" s="416"/>
      <c r="DN102" s="416"/>
      <c r="DO102" s="416"/>
      <c r="DP102" s="416"/>
      <c r="DQ102" s="501"/>
      <c r="DR102" s="483">
        <v>31</v>
      </c>
      <c r="DS102" s="416"/>
      <c r="DT102" s="416"/>
      <c r="DU102" s="416"/>
      <c r="DV102" s="416"/>
      <c r="DW102" s="416"/>
      <c r="DX102" s="416"/>
      <c r="DY102" s="416"/>
      <c r="DZ102" s="416"/>
      <c r="EA102" s="416"/>
      <c r="EB102" s="416"/>
      <c r="EC102" s="416"/>
      <c r="ED102" s="416"/>
      <c r="EE102" s="501"/>
      <c r="EF102" s="483">
        <v>32</v>
      </c>
      <c r="EG102" s="416"/>
      <c r="EH102" s="416"/>
      <c r="EI102" s="416"/>
      <c r="EJ102" s="416"/>
      <c r="EK102" s="416"/>
      <c r="EL102" s="416"/>
      <c r="EM102" s="416"/>
      <c r="EN102" s="416"/>
      <c r="EO102" s="417"/>
      <c r="EP102" s="78"/>
      <c r="EQ102" s="78"/>
      <c r="ER102" s="457"/>
      <c r="ES102" s="457"/>
      <c r="ET102" s="457"/>
      <c r="EU102" s="457"/>
      <c r="EV102" s="457"/>
      <c r="EW102" s="457"/>
      <c r="EX102" s="457"/>
      <c r="EY102" s="457"/>
      <c r="EZ102" s="457"/>
      <c r="FA102" s="457"/>
      <c r="FB102" s="457"/>
      <c r="FC102" s="457"/>
      <c r="FD102" s="457"/>
      <c r="FE102" s="457"/>
      <c r="FF102" s="457"/>
      <c r="FG102" s="457"/>
      <c r="FH102" s="457"/>
      <c r="FI102" s="457"/>
      <c r="FJ102" s="457"/>
      <c r="FK102" s="457"/>
      <c r="FL102" s="457"/>
      <c r="FM102" s="457"/>
      <c r="FN102" s="457"/>
      <c r="FO102" s="457"/>
      <c r="FP102" s="457"/>
      <c r="FQ102" s="457"/>
      <c r="FR102" s="457"/>
      <c r="FS102" s="457"/>
      <c r="FT102" s="457"/>
      <c r="FU102" s="457"/>
      <c r="FV102" s="457"/>
      <c r="FW102" s="457"/>
      <c r="FX102" s="457"/>
      <c r="FY102" s="457"/>
      <c r="FZ102" s="457"/>
      <c r="GA102" s="457"/>
      <c r="GB102" s="457"/>
      <c r="GC102" s="457"/>
      <c r="GD102" s="457"/>
      <c r="GE102" s="457"/>
      <c r="GF102" s="457"/>
      <c r="GG102" s="457"/>
      <c r="GH102" s="457"/>
      <c r="GI102" s="42"/>
    </row>
    <row r="103" spans="1:193" ht="11.4" customHeight="1" thickBot="1" x14ac:dyDescent="0.35">
      <c r="A103" s="561"/>
      <c r="B103" s="562"/>
      <c r="C103" s="562"/>
      <c r="D103" s="562"/>
      <c r="E103" s="562"/>
      <c r="F103" s="562"/>
      <c r="G103" s="562"/>
      <c r="H103" s="563"/>
      <c r="I103" s="564"/>
      <c r="J103" s="562"/>
      <c r="K103" s="562"/>
      <c r="L103" s="562"/>
      <c r="M103" s="562"/>
      <c r="N103" s="562"/>
      <c r="O103" s="562"/>
      <c r="P103" s="563"/>
      <c r="Q103" s="564"/>
      <c r="R103" s="562"/>
      <c r="S103" s="562"/>
      <c r="T103" s="562"/>
      <c r="U103" s="562"/>
      <c r="V103" s="562"/>
      <c r="W103" s="562"/>
      <c r="X103" s="563"/>
      <c r="Y103" s="564"/>
      <c r="Z103" s="562"/>
      <c r="AA103" s="562"/>
      <c r="AB103" s="562"/>
      <c r="AC103" s="562"/>
      <c r="AD103" s="562"/>
      <c r="AE103" s="562"/>
      <c r="AF103" s="563"/>
      <c r="AG103" s="564"/>
      <c r="AH103" s="562"/>
      <c r="AI103" s="562"/>
      <c r="AJ103" s="562"/>
      <c r="AK103" s="562"/>
      <c r="AL103" s="562"/>
      <c r="AM103" s="562"/>
      <c r="AN103" s="563"/>
      <c r="AO103" s="565"/>
      <c r="AP103" s="566"/>
      <c r="AQ103" s="566"/>
      <c r="AR103" s="566"/>
      <c r="AS103" s="566"/>
      <c r="AT103" s="566"/>
      <c r="AU103" s="566"/>
      <c r="AV103" s="566"/>
      <c r="AW103" s="567"/>
      <c r="AX103" s="564"/>
      <c r="AY103" s="562"/>
      <c r="AZ103" s="562"/>
      <c r="BA103" s="562"/>
      <c r="BB103" s="562"/>
      <c r="BC103" s="562"/>
      <c r="BD103" s="562"/>
      <c r="BE103" s="562"/>
      <c r="BF103" s="562"/>
      <c r="BG103" s="562"/>
      <c r="BH103" s="563"/>
      <c r="BI103" s="564"/>
      <c r="BJ103" s="562"/>
      <c r="BK103" s="562"/>
      <c r="BL103" s="562"/>
      <c r="BM103" s="562"/>
      <c r="BN103" s="562"/>
      <c r="BO103" s="562"/>
      <c r="BP103" s="562"/>
      <c r="BQ103" s="562"/>
      <c r="BR103" s="562"/>
      <c r="BS103" s="562"/>
      <c r="BT103" s="562"/>
      <c r="BU103" s="562"/>
      <c r="BV103" s="563"/>
      <c r="BW103" s="564"/>
      <c r="BX103" s="562"/>
      <c r="BY103" s="562"/>
      <c r="BZ103" s="562"/>
      <c r="CA103" s="562"/>
      <c r="CB103" s="562"/>
      <c r="CC103" s="562"/>
      <c r="CD103" s="562"/>
      <c r="CE103" s="562"/>
      <c r="CF103" s="562"/>
      <c r="CG103" s="562"/>
      <c r="CH103" s="562"/>
      <c r="CI103" s="562"/>
      <c r="CJ103" s="562"/>
      <c r="CK103" s="562"/>
      <c r="CL103" s="562"/>
      <c r="CM103" s="562"/>
      <c r="CN103" s="562"/>
      <c r="CO103" s="562"/>
      <c r="CP103" s="563"/>
      <c r="CQ103" s="564"/>
      <c r="CR103" s="562"/>
      <c r="CS103" s="562"/>
      <c r="CT103" s="562"/>
      <c r="CU103" s="562"/>
      <c r="CV103" s="562"/>
      <c r="CW103" s="562"/>
      <c r="CX103" s="562"/>
      <c r="CY103" s="562"/>
      <c r="CZ103" s="562"/>
      <c r="DA103" s="562"/>
      <c r="DB103" s="562"/>
      <c r="DC103" s="563"/>
      <c r="DD103" s="564"/>
      <c r="DE103" s="562"/>
      <c r="DF103" s="562"/>
      <c r="DG103" s="562"/>
      <c r="DH103" s="562"/>
      <c r="DI103" s="562"/>
      <c r="DJ103" s="562"/>
      <c r="DK103" s="562"/>
      <c r="DL103" s="562"/>
      <c r="DM103" s="562"/>
      <c r="DN103" s="562"/>
      <c r="DO103" s="562"/>
      <c r="DP103" s="562"/>
      <c r="DQ103" s="563"/>
      <c r="DR103" s="564"/>
      <c r="DS103" s="562"/>
      <c r="DT103" s="562"/>
      <c r="DU103" s="562"/>
      <c r="DV103" s="562"/>
      <c r="DW103" s="562"/>
      <c r="DX103" s="562"/>
      <c r="DY103" s="562"/>
      <c r="DZ103" s="562"/>
      <c r="EA103" s="562"/>
      <c r="EB103" s="562"/>
      <c r="EC103" s="562"/>
      <c r="ED103" s="562"/>
      <c r="EE103" s="563"/>
      <c r="EF103" s="564"/>
      <c r="EG103" s="562"/>
      <c r="EH103" s="562"/>
      <c r="EI103" s="562"/>
      <c r="EJ103" s="562"/>
      <c r="EK103" s="562"/>
      <c r="EL103" s="562"/>
      <c r="EM103" s="562"/>
      <c r="EN103" s="562"/>
      <c r="EO103" s="568"/>
      <c r="EP103" s="78"/>
      <c r="EQ103" s="78"/>
      <c r="ER103" s="569"/>
      <c r="ES103" s="569"/>
      <c r="ET103" s="569"/>
      <c r="EU103" s="569"/>
      <c r="EV103" s="569"/>
      <c r="EW103" s="569"/>
      <c r="EX103" s="569"/>
      <c r="EY103" s="569"/>
      <c r="EZ103" s="569"/>
      <c r="FA103" s="569"/>
      <c r="FB103" s="569"/>
      <c r="FC103" s="569"/>
      <c r="FD103" s="569"/>
      <c r="FE103" s="569"/>
      <c r="FF103" s="569"/>
      <c r="FG103" s="569"/>
      <c r="FH103" s="569"/>
      <c r="FI103" s="569"/>
      <c r="FJ103" s="569"/>
      <c r="FK103" s="569"/>
      <c r="FL103" s="569"/>
      <c r="FM103" s="569"/>
      <c r="FN103" s="569"/>
      <c r="FO103" s="569"/>
      <c r="FP103" s="569"/>
      <c r="FQ103" s="569"/>
      <c r="FR103" s="569"/>
      <c r="FS103" s="569"/>
      <c r="FT103" s="569"/>
      <c r="FU103" s="569"/>
      <c r="FV103" s="569"/>
      <c r="FW103" s="569"/>
      <c r="FX103" s="569"/>
      <c r="FY103" s="569"/>
      <c r="FZ103" s="569"/>
      <c r="GA103" s="569"/>
      <c r="GB103" s="569"/>
      <c r="GC103" s="569"/>
      <c r="GD103" s="569"/>
      <c r="GE103" s="569"/>
      <c r="GF103" s="569"/>
      <c r="GG103" s="569"/>
      <c r="GH103" s="569"/>
      <c r="GI103" s="42"/>
    </row>
    <row r="104" spans="1:193" ht="1.95" customHeight="1" thickBot="1" x14ac:dyDescent="0.35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  <c r="CW104" s="78"/>
      <c r="CX104" s="78"/>
      <c r="CY104" s="78"/>
      <c r="CZ104" s="78"/>
      <c r="DA104" s="78"/>
      <c r="DB104" s="78"/>
      <c r="DC104" s="78"/>
      <c r="DD104" s="78"/>
      <c r="DE104" s="78"/>
      <c r="DF104" s="78"/>
      <c r="DG104" s="78"/>
      <c r="DH104" s="78"/>
      <c r="DI104" s="78"/>
      <c r="DJ104" s="78"/>
      <c r="DK104" s="78"/>
      <c r="DL104" s="78"/>
      <c r="DM104" s="78"/>
      <c r="DN104" s="78"/>
      <c r="DO104" s="78"/>
      <c r="DP104" s="78"/>
      <c r="DQ104" s="78"/>
      <c r="DR104" s="78"/>
      <c r="DS104" s="78"/>
      <c r="DT104" s="78"/>
      <c r="DU104" s="78"/>
      <c r="DV104" s="78"/>
      <c r="DW104" s="78"/>
      <c r="DX104" s="78"/>
      <c r="DY104" s="78"/>
      <c r="DZ104" s="78"/>
      <c r="EA104" s="78"/>
      <c r="EB104" s="78"/>
      <c r="EC104" s="78"/>
      <c r="ED104" s="78"/>
      <c r="EE104" s="78"/>
      <c r="EF104" s="78"/>
      <c r="EG104" s="78"/>
      <c r="EH104" s="78"/>
      <c r="EI104" s="78"/>
      <c r="EJ104" s="78"/>
      <c r="EK104" s="78"/>
      <c r="EL104" s="78"/>
      <c r="EM104" s="78"/>
      <c r="EN104" s="78"/>
      <c r="EO104" s="78"/>
      <c r="EP104" s="78"/>
      <c r="EQ104" s="78"/>
      <c r="ER104" s="362"/>
      <c r="ES104" s="362"/>
      <c r="ET104" s="362"/>
      <c r="EU104" s="362"/>
      <c r="EV104" s="362"/>
      <c r="EW104" s="362"/>
      <c r="EX104" s="362"/>
      <c r="EY104" s="362"/>
      <c r="EZ104" s="362"/>
      <c r="FA104" s="362"/>
      <c r="FB104" s="362"/>
      <c r="FC104" s="362"/>
      <c r="FD104" s="362"/>
      <c r="FE104" s="362"/>
      <c r="FF104" s="362"/>
      <c r="FG104" s="362"/>
      <c r="FH104" s="362"/>
      <c r="FI104" s="362"/>
      <c r="FJ104" s="362"/>
      <c r="FK104" s="362"/>
      <c r="FL104" s="362"/>
      <c r="FM104" s="362"/>
      <c r="FN104" s="362"/>
      <c r="FO104" s="362"/>
      <c r="FP104" s="362"/>
      <c r="FQ104" s="362"/>
      <c r="FR104" s="362"/>
      <c r="FS104" s="362"/>
      <c r="FT104" s="362"/>
      <c r="FU104" s="362"/>
      <c r="FV104" s="362"/>
      <c r="FW104" s="362"/>
      <c r="FX104" s="362"/>
      <c r="FY104" s="362"/>
      <c r="FZ104" s="362"/>
      <c r="GA104" s="362"/>
      <c r="GB104" s="362"/>
      <c r="GC104" s="362"/>
      <c r="GD104" s="362"/>
      <c r="GE104" s="362"/>
      <c r="GF104" s="362"/>
      <c r="GG104" s="362"/>
      <c r="GH104" s="362"/>
      <c r="GI104" s="42"/>
    </row>
    <row r="105" spans="1:193" ht="9" customHeight="1" thickTop="1" x14ac:dyDescent="0.3">
      <c r="A105" s="570" t="s">
        <v>241</v>
      </c>
      <c r="B105" s="571"/>
      <c r="C105" s="571"/>
      <c r="D105" s="571"/>
      <c r="E105" s="571"/>
      <c r="F105" s="571"/>
      <c r="G105" s="571"/>
      <c r="H105" s="571"/>
      <c r="I105" s="571"/>
      <c r="J105" s="571"/>
      <c r="K105" s="571"/>
      <c r="L105" s="571"/>
      <c r="M105" s="571"/>
      <c r="N105" s="571"/>
      <c r="O105" s="571"/>
      <c r="P105" s="571"/>
      <c r="Q105" s="572"/>
      <c r="R105" s="574" t="s">
        <v>242</v>
      </c>
      <c r="S105" s="574"/>
      <c r="T105" s="574"/>
      <c r="U105" s="574"/>
      <c r="V105" s="574"/>
      <c r="W105" s="574"/>
      <c r="X105" s="574"/>
      <c r="Y105" s="574"/>
      <c r="Z105" s="574" t="s">
        <v>243</v>
      </c>
      <c r="AA105" s="574"/>
      <c r="AB105" s="574"/>
      <c r="AC105" s="574"/>
      <c r="AD105" s="574"/>
      <c r="AE105" s="574"/>
      <c r="AF105" s="574"/>
      <c r="AG105" s="574"/>
      <c r="AH105" s="574"/>
      <c r="AI105" s="574" t="s">
        <v>244</v>
      </c>
      <c r="AJ105" s="574"/>
      <c r="AK105" s="574"/>
      <c r="AL105" s="574"/>
      <c r="AM105" s="574"/>
      <c r="AN105" s="574"/>
      <c r="AO105" s="574"/>
      <c r="AP105" s="574"/>
      <c r="AQ105" s="574"/>
      <c r="AR105" s="574"/>
      <c r="AS105" s="574"/>
      <c r="AT105" s="574"/>
      <c r="AU105" s="574"/>
      <c r="AV105" s="574"/>
      <c r="AW105" s="574" t="s">
        <v>245</v>
      </c>
      <c r="AX105" s="574"/>
      <c r="AY105" s="574"/>
      <c r="AZ105" s="574"/>
      <c r="BA105" s="574"/>
      <c r="BB105" s="574"/>
      <c r="BC105" s="574"/>
      <c r="BD105" s="574"/>
      <c r="BE105" s="574"/>
      <c r="BF105" s="574"/>
      <c r="BG105" s="574"/>
      <c r="BH105" s="574"/>
      <c r="BI105" s="574"/>
      <c r="BJ105" s="574"/>
      <c r="BK105" s="574" t="s">
        <v>246</v>
      </c>
      <c r="BL105" s="574"/>
      <c r="BM105" s="574"/>
      <c r="BN105" s="574"/>
      <c r="BO105" s="574"/>
      <c r="BP105" s="574"/>
      <c r="BQ105" s="574"/>
      <c r="BR105" s="574"/>
      <c r="BS105" s="574"/>
      <c r="BT105" s="574"/>
      <c r="BU105" s="574"/>
      <c r="BV105" s="577" t="s">
        <v>247</v>
      </c>
      <c r="BW105" s="578"/>
      <c r="BX105" s="578"/>
      <c r="BY105" s="578"/>
      <c r="BZ105" s="578"/>
      <c r="CA105" s="578"/>
      <c r="CB105" s="578"/>
      <c r="CC105" s="578"/>
      <c r="CD105" s="578"/>
      <c r="CE105" s="578"/>
      <c r="CF105" s="578"/>
      <c r="CG105" s="578"/>
      <c r="CH105" s="578"/>
      <c r="CI105" s="578"/>
      <c r="CJ105" s="578"/>
      <c r="CK105" s="578"/>
      <c r="CL105" s="578"/>
      <c r="CM105" s="578"/>
      <c r="CN105" s="578"/>
      <c r="CO105" s="578"/>
      <c r="CP105" s="579"/>
      <c r="CQ105" s="574" t="s">
        <v>248</v>
      </c>
      <c r="CR105" s="574"/>
      <c r="CS105" s="574"/>
      <c r="CT105" s="574"/>
      <c r="CU105" s="574"/>
      <c r="CV105" s="574"/>
      <c r="CW105" s="574"/>
      <c r="CX105" s="574"/>
      <c r="CY105" s="574"/>
      <c r="CZ105" s="574" t="s">
        <v>249</v>
      </c>
      <c r="DA105" s="574"/>
      <c r="DB105" s="574"/>
      <c r="DC105" s="574"/>
      <c r="DD105" s="574"/>
      <c r="DE105" s="574"/>
      <c r="DF105" s="574"/>
      <c r="DG105" s="574"/>
      <c r="DH105" s="574"/>
      <c r="DI105" s="574"/>
      <c r="DJ105" s="574"/>
      <c r="DK105" s="574" t="s">
        <v>250</v>
      </c>
      <c r="DL105" s="574"/>
      <c r="DM105" s="574"/>
      <c r="DN105" s="574"/>
      <c r="DO105" s="574"/>
      <c r="DP105" s="574"/>
      <c r="DQ105" s="574"/>
      <c r="DR105" s="574"/>
      <c r="DS105" s="574"/>
      <c r="DT105" s="574" t="s">
        <v>251</v>
      </c>
      <c r="DU105" s="574"/>
      <c r="DV105" s="574"/>
      <c r="DW105" s="574"/>
      <c r="DX105" s="574"/>
      <c r="DY105" s="574"/>
      <c r="DZ105" s="574"/>
      <c r="EA105" s="574"/>
      <c r="EB105" s="574"/>
      <c r="EC105" s="78"/>
      <c r="ED105" s="78"/>
      <c r="EE105" s="457"/>
      <c r="EF105" s="457"/>
      <c r="EG105" s="457"/>
      <c r="EH105" s="457"/>
      <c r="EI105" s="457"/>
      <c r="EJ105" s="457"/>
      <c r="EK105" s="457"/>
      <c r="EL105" s="457"/>
      <c r="EM105" s="457"/>
      <c r="EN105" s="457"/>
      <c r="EO105" s="457"/>
      <c r="EP105" s="457"/>
      <c r="EQ105" s="457"/>
      <c r="ER105" s="457"/>
      <c r="ES105" s="457"/>
      <c r="ET105" s="457"/>
      <c r="EU105" s="457"/>
      <c r="EV105" s="457"/>
      <c r="EW105" s="457"/>
      <c r="EX105" s="457"/>
      <c r="EY105" s="457"/>
      <c r="EZ105" s="457"/>
      <c r="FA105" s="457"/>
      <c r="FB105" s="457"/>
      <c r="FC105" s="457"/>
      <c r="FD105" s="457"/>
      <c r="FE105" s="457"/>
      <c r="FF105" s="457"/>
      <c r="FG105" s="457"/>
      <c r="FH105" s="457"/>
      <c r="FI105" s="457"/>
      <c r="FJ105" s="457"/>
      <c r="FK105" s="457"/>
      <c r="FL105" s="457"/>
      <c r="FM105" s="457"/>
      <c r="FN105" s="457"/>
      <c r="FO105" s="457"/>
      <c r="FP105" s="457"/>
      <c r="FQ105" s="457"/>
      <c r="FR105" s="457"/>
      <c r="FS105" s="457"/>
      <c r="FT105" s="457"/>
      <c r="FU105" s="457"/>
      <c r="FV105" s="457"/>
      <c r="FW105" s="457"/>
      <c r="FX105" s="457"/>
      <c r="FY105" s="457"/>
      <c r="FZ105" s="457"/>
      <c r="GA105" s="457"/>
      <c r="GB105" s="457"/>
      <c r="GC105" s="457"/>
      <c r="GD105" s="457"/>
      <c r="GE105" s="457"/>
      <c r="GF105" s="457"/>
      <c r="GG105" s="457"/>
      <c r="GH105" s="457"/>
      <c r="GI105" s="42"/>
    </row>
    <row r="106" spans="1:193" ht="9" customHeight="1" x14ac:dyDescent="0.3">
      <c r="A106" s="307"/>
      <c r="B106" s="308"/>
      <c r="C106" s="308"/>
      <c r="D106" s="308"/>
      <c r="E106" s="308"/>
      <c r="F106" s="308"/>
      <c r="G106" s="308"/>
      <c r="H106" s="308"/>
      <c r="I106" s="308"/>
      <c r="J106" s="308"/>
      <c r="K106" s="308"/>
      <c r="L106" s="308"/>
      <c r="M106" s="308"/>
      <c r="N106" s="308"/>
      <c r="O106" s="308"/>
      <c r="P106" s="308"/>
      <c r="Q106" s="573"/>
      <c r="R106" s="575"/>
      <c r="S106" s="575"/>
      <c r="T106" s="575"/>
      <c r="U106" s="575"/>
      <c r="V106" s="575"/>
      <c r="W106" s="575"/>
      <c r="X106" s="575"/>
      <c r="Y106" s="575"/>
      <c r="Z106" s="575"/>
      <c r="AA106" s="575"/>
      <c r="AB106" s="575"/>
      <c r="AC106" s="575"/>
      <c r="AD106" s="575"/>
      <c r="AE106" s="575"/>
      <c r="AF106" s="575"/>
      <c r="AG106" s="575"/>
      <c r="AH106" s="575"/>
      <c r="AI106" s="575"/>
      <c r="AJ106" s="575"/>
      <c r="AK106" s="575"/>
      <c r="AL106" s="575"/>
      <c r="AM106" s="575"/>
      <c r="AN106" s="575"/>
      <c r="AO106" s="575"/>
      <c r="AP106" s="575"/>
      <c r="AQ106" s="575"/>
      <c r="AR106" s="575"/>
      <c r="AS106" s="575"/>
      <c r="AT106" s="575"/>
      <c r="AU106" s="575"/>
      <c r="AV106" s="575"/>
      <c r="AW106" s="575"/>
      <c r="AX106" s="575"/>
      <c r="AY106" s="575"/>
      <c r="AZ106" s="575"/>
      <c r="BA106" s="575"/>
      <c r="BB106" s="575"/>
      <c r="BC106" s="575"/>
      <c r="BD106" s="575"/>
      <c r="BE106" s="575"/>
      <c r="BF106" s="575"/>
      <c r="BG106" s="575"/>
      <c r="BH106" s="575"/>
      <c r="BI106" s="575"/>
      <c r="BJ106" s="575"/>
      <c r="BK106" s="575"/>
      <c r="BL106" s="575"/>
      <c r="BM106" s="575"/>
      <c r="BN106" s="575"/>
      <c r="BO106" s="575"/>
      <c r="BP106" s="575"/>
      <c r="BQ106" s="575"/>
      <c r="BR106" s="575"/>
      <c r="BS106" s="575"/>
      <c r="BT106" s="575"/>
      <c r="BU106" s="575"/>
      <c r="BV106" s="580"/>
      <c r="BW106" s="553"/>
      <c r="BX106" s="553"/>
      <c r="BY106" s="553"/>
      <c r="BZ106" s="553"/>
      <c r="CA106" s="553"/>
      <c r="CB106" s="553"/>
      <c r="CC106" s="553"/>
      <c r="CD106" s="553"/>
      <c r="CE106" s="553"/>
      <c r="CF106" s="553"/>
      <c r="CG106" s="553"/>
      <c r="CH106" s="553"/>
      <c r="CI106" s="553"/>
      <c r="CJ106" s="553"/>
      <c r="CK106" s="553"/>
      <c r="CL106" s="553"/>
      <c r="CM106" s="553"/>
      <c r="CN106" s="553"/>
      <c r="CO106" s="553"/>
      <c r="CP106" s="557"/>
      <c r="CQ106" s="575"/>
      <c r="CR106" s="575"/>
      <c r="CS106" s="575"/>
      <c r="CT106" s="575"/>
      <c r="CU106" s="575"/>
      <c r="CV106" s="575"/>
      <c r="CW106" s="575"/>
      <c r="CX106" s="575"/>
      <c r="CY106" s="575"/>
      <c r="CZ106" s="575"/>
      <c r="DA106" s="575"/>
      <c r="DB106" s="575"/>
      <c r="DC106" s="575"/>
      <c r="DD106" s="575"/>
      <c r="DE106" s="575"/>
      <c r="DF106" s="575"/>
      <c r="DG106" s="575"/>
      <c r="DH106" s="575"/>
      <c r="DI106" s="575"/>
      <c r="DJ106" s="575"/>
      <c r="DK106" s="575"/>
      <c r="DL106" s="575"/>
      <c r="DM106" s="575"/>
      <c r="DN106" s="575"/>
      <c r="DO106" s="575"/>
      <c r="DP106" s="575"/>
      <c r="DQ106" s="575"/>
      <c r="DR106" s="575"/>
      <c r="DS106" s="575"/>
      <c r="DT106" s="575"/>
      <c r="DU106" s="575"/>
      <c r="DV106" s="575"/>
      <c r="DW106" s="575"/>
      <c r="DX106" s="575"/>
      <c r="DY106" s="575"/>
      <c r="DZ106" s="575"/>
      <c r="EA106" s="575"/>
      <c r="EB106" s="575"/>
      <c r="EC106" s="78"/>
      <c r="ED106" s="78"/>
      <c r="EE106" s="457"/>
      <c r="EF106" s="457"/>
      <c r="EG106" s="457"/>
      <c r="EH106" s="457"/>
      <c r="EI106" s="457"/>
      <c r="EJ106" s="457"/>
      <c r="EK106" s="457"/>
      <c r="EL106" s="457"/>
      <c r="EM106" s="457"/>
      <c r="EN106" s="457"/>
      <c r="EO106" s="457"/>
      <c r="EP106" s="457"/>
      <c r="EQ106" s="457"/>
      <c r="ER106" s="457"/>
      <c r="ES106" s="457"/>
      <c r="ET106" s="457"/>
      <c r="EU106" s="457"/>
      <c r="EV106" s="457"/>
      <c r="EW106" s="457"/>
      <c r="EX106" s="457"/>
      <c r="EY106" s="457"/>
      <c r="EZ106" s="457"/>
      <c r="FA106" s="457"/>
      <c r="FB106" s="457"/>
      <c r="FC106" s="457"/>
      <c r="FD106" s="457"/>
      <c r="FE106" s="457"/>
      <c r="FF106" s="457"/>
      <c r="FG106" s="457"/>
      <c r="FH106" s="457"/>
      <c r="FI106" s="457"/>
      <c r="FJ106" s="457"/>
      <c r="FK106" s="457"/>
      <c r="FL106" s="457"/>
      <c r="FM106" s="457"/>
      <c r="FN106" s="457"/>
      <c r="FO106" s="457"/>
      <c r="FP106" s="457"/>
      <c r="FQ106" s="457"/>
      <c r="FR106" s="457"/>
      <c r="FS106" s="457"/>
      <c r="FT106" s="457"/>
      <c r="FU106" s="457"/>
      <c r="FV106" s="457"/>
      <c r="FW106" s="457"/>
      <c r="FX106" s="457"/>
      <c r="FY106" s="457"/>
      <c r="FZ106" s="457"/>
      <c r="GA106" s="457"/>
      <c r="GB106" s="457"/>
      <c r="GC106" s="457"/>
      <c r="GD106" s="457"/>
      <c r="GE106" s="457"/>
      <c r="GF106" s="457"/>
      <c r="GG106" s="457"/>
      <c r="GH106" s="457"/>
      <c r="GI106" s="42"/>
    </row>
    <row r="107" spans="1:193" ht="9" customHeight="1" x14ac:dyDescent="0.3">
      <c r="A107" s="307"/>
      <c r="B107" s="308"/>
      <c r="C107" s="308"/>
      <c r="D107" s="308"/>
      <c r="E107" s="308"/>
      <c r="F107" s="308"/>
      <c r="G107" s="308"/>
      <c r="H107" s="308"/>
      <c r="I107" s="308"/>
      <c r="J107" s="308"/>
      <c r="K107" s="308"/>
      <c r="L107" s="308"/>
      <c r="M107" s="308"/>
      <c r="N107" s="308"/>
      <c r="O107" s="308"/>
      <c r="P107" s="308"/>
      <c r="Q107" s="573"/>
      <c r="R107" s="576"/>
      <c r="S107" s="576"/>
      <c r="T107" s="576"/>
      <c r="U107" s="576"/>
      <c r="V107" s="576"/>
      <c r="W107" s="576"/>
      <c r="X107" s="576"/>
      <c r="Y107" s="576"/>
      <c r="Z107" s="576"/>
      <c r="AA107" s="576"/>
      <c r="AB107" s="576"/>
      <c r="AC107" s="576"/>
      <c r="AD107" s="576"/>
      <c r="AE107" s="576"/>
      <c r="AF107" s="576"/>
      <c r="AG107" s="576"/>
      <c r="AH107" s="576"/>
      <c r="AI107" s="576"/>
      <c r="AJ107" s="576"/>
      <c r="AK107" s="576"/>
      <c r="AL107" s="576"/>
      <c r="AM107" s="576"/>
      <c r="AN107" s="576"/>
      <c r="AO107" s="576"/>
      <c r="AP107" s="576"/>
      <c r="AQ107" s="576"/>
      <c r="AR107" s="576"/>
      <c r="AS107" s="576"/>
      <c r="AT107" s="576"/>
      <c r="AU107" s="576"/>
      <c r="AV107" s="576"/>
      <c r="AW107" s="576"/>
      <c r="AX107" s="576"/>
      <c r="AY107" s="576"/>
      <c r="AZ107" s="576"/>
      <c r="BA107" s="576"/>
      <c r="BB107" s="576"/>
      <c r="BC107" s="576"/>
      <c r="BD107" s="576"/>
      <c r="BE107" s="576"/>
      <c r="BF107" s="576"/>
      <c r="BG107" s="576"/>
      <c r="BH107" s="576"/>
      <c r="BI107" s="576"/>
      <c r="BJ107" s="576"/>
      <c r="BK107" s="576"/>
      <c r="BL107" s="576"/>
      <c r="BM107" s="576"/>
      <c r="BN107" s="576"/>
      <c r="BO107" s="576"/>
      <c r="BP107" s="576"/>
      <c r="BQ107" s="576"/>
      <c r="BR107" s="576"/>
      <c r="BS107" s="576"/>
      <c r="BT107" s="576"/>
      <c r="BU107" s="576"/>
      <c r="BV107" s="586" t="s">
        <v>252</v>
      </c>
      <c r="BW107" s="587"/>
      <c r="BX107" s="587"/>
      <c r="BY107" s="587"/>
      <c r="BZ107" s="587"/>
      <c r="CA107" s="587"/>
      <c r="CB107" s="587"/>
      <c r="CC107" s="587"/>
      <c r="CD107" s="587"/>
      <c r="CE107" s="587"/>
      <c r="CF107" s="588"/>
      <c r="CG107" s="587" t="s">
        <v>253</v>
      </c>
      <c r="CH107" s="587"/>
      <c r="CI107" s="587"/>
      <c r="CJ107" s="587"/>
      <c r="CK107" s="587"/>
      <c r="CL107" s="587"/>
      <c r="CM107" s="587"/>
      <c r="CN107" s="587"/>
      <c r="CO107" s="587"/>
      <c r="CP107" s="587"/>
      <c r="CQ107" s="576"/>
      <c r="CR107" s="576"/>
      <c r="CS107" s="576"/>
      <c r="CT107" s="576"/>
      <c r="CU107" s="576"/>
      <c r="CV107" s="576"/>
      <c r="CW107" s="576"/>
      <c r="CX107" s="576"/>
      <c r="CY107" s="576"/>
      <c r="CZ107" s="576"/>
      <c r="DA107" s="576"/>
      <c r="DB107" s="576"/>
      <c r="DC107" s="576"/>
      <c r="DD107" s="576"/>
      <c r="DE107" s="576"/>
      <c r="DF107" s="576"/>
      <c r="DG107" s="576"/>
      <c r="DH107" s="576"/>
      <c r="DI107" s="576"/>
      <c r="DJ107" s="576"/>
      <c r="DK107" s="576"/>
      <c r="DL107" s="576"/>
      <c r="DM107" s="576"/>
      <c r="DN107" s="576"/>
      <c r="DO107" s="576"/>
      <c r="DP107" s="576"/>
      <c r="DQ107" s="576"/>
      <c r="DR107" s="576"/>
      <c r="DS107" s="576"/>
      <c r="DT107" s="576"/>
      <c r="DU107" s="576"/>
      <c r="DV107" s="576"/>
      <c r="DW107" s="576"/>
      <c r="DX107" s="576"/>
      <c r="DY107" s="576"/>
      <c r="DZ107" s="576"/>
      <c r="EA107" s="576"/>
      <c r="EB107" s="576"/>
      <c r="EC107" s="78"/>
      <c r="ED107" s="78"/>
      <c r="EE107" s="581"/>
      <c r="EF107" s="581"/>
      <c r="EG107" s="581"/>
      <c r="EH107" s="581"/>
      <c r="EI107" s="581"/>
      <c r="EJ107" s="581"/>
      <c r="EK107" s="581"/>
      <c r="EL107" s="581"/>
      <c r="EM107" s="581"/>
      <c r="EN107" s="581"/>
      <c r="EO107" s="581"/>
      <c r="EP107" s="581"/>
      <c r="EQ107" s="581"/>
      <c r="ER107" s="581"/>
      <c r="ES107" s="581"/>
      <c r="ET107" s="581"/>
      <c r="EU107" s="581"/>
      <c r="EV107" s="581"/>
      <c r="EW107" s="581"/>
      <c r="EX107" s="581"/>
      <c r="EY107" s="581"/>
      <c r="EZ107" s="581"/>
      <c r="FA107" s="581"/>
      <c r="FB107" s="581"/>
      <c r="FC107" s="581"/>
      <c r="FD107" s="581"/>
      <c r="FE107" s="581"/>
      <c r="FF107" s="581"/>
      <c r="FG107" s="581"/>
      <c r="FH107" s="581"/>
      <c r="FI107" s="581"/>
      <c r="FJ107" s="581"/>
      <c r="FK107" s="581"/>
      <c r="FL107" s="581"/>
      <c r="FM107" s="581"/>
      <c r="FN107" s="581"/>
      <c r="FO107" s="581"/>
      <c r="FP107" s="581"/>
      <c r="FQ107" s="581"/>
      <c r="FR107" s="581"/>
      <c r="FS107" s="581"/>
      <c r="FT107" s="581"/>
      <c r="FU107" s="581"/>
      <c r="FV107" s="581"/>
      <c r="FW107" s="581"/>
      <c r="FX107" s="581"/>
      <c r="FY107" s="581"/>
      <c r="FZ107" s="581"/>
      <c r="GA107" s="581"/>
      <c r="GB107" s="581"/>
      <c r="GC107" s="581"/>
      <c r="GD107" s="581"/>
      <c r="GE107" s="581"/>
      <c r="GF107" s="581"/>
      <c r="GG107" s="581"/>
      <c r="GH107" s="581"/>
      <c r="GI107" s="42"/>
    </row>
    <row r="108" spans="1:193" ht="9" customHeight="1" thickBot="1" x14ac:dyDescent="0.35">
      <c r="A108" s="310"/>
      <c r="B108" s="311"/>
      <c r="C108" s="311"/>
      <c r="D108" s="311"/>
      <c r="E108" s="311"/>
      <c r="F108" s="311"/>
      <c r="G108" s="311"/>
      <c r="H108" s="311"/>
      <c r="I108" s="311"/>
      <c r="J108" s="311"/>
      <c r="K108" s="311"/>
      <c r="L108" s="311"/>
      <c r="M108" s="311"/>
      <c r="N108" s="311"/>
      <c r="O108" s="311"/>
      <c r="P108" s="311"/>
      <c r="Q108" s="482"/>
      <c r="R108" s="582">
        <v>33</v>
      </c>
      <c r="S108" s="582"/>
      <c r="T108" s="582"/>
      <c r="U108" s="582"/>
      <c r="V108" s="582"/>
      <c r="W108" s="582"/>
      <c r="X108" s="582"/>
      <c r="Y108" s="582"/>
      <c r="Z108" s="582">
        <v>34</v>
      </c>
      <c r="AA108" s="582"/>
      <c r="AB108" s="582"/>
      <c r="AC108" s="582"/>
      <c r="AD108" s="582"/>
      <c r="AE108" s="582"/>
      <c r="AF108" s="582"/>
      <c r="AG108" s="582"/>
      <c r="AH108" s="582"/>
      <c r="AI108" s="582">
        <v>35</v>
      </c>
      <c r="AJ108" s="582"/>
      <c r="AK108" s="582"/>
      <c r="AL108" s="582"/>
      <c r="AM108" s="582"/>
      <c r="AN108" s="582"/>
      <c r="AO108" s="582"/>
      <c r="AP108" s="582"/>
      <c r="AQ108" s="582"/>
      <c r="AR108" s="582"/>
      <c r="AS108" s="582"/>
      <c r="AT108" s="582"/>
      <c r="AU108" s="582"/>
      <c r="AV108" s="582"/>
      <c r="AW108" s="582">
        <v>36</v>
      </c>
      <c r="AX108" s="582"/>
      <c r="AY108" s="582"/>
      <c r="AZ108" s="582"/>
      <c r="BA108" s="582"/>
      <c r="BB108" s="582"/>
      <c r="BC108" s="582"/>
      <c r="BD108" s="582"/>
      <c r="BE108" s="582"/>
      <c r="BF108" s="582"/>
      <c r="BG108" s="582"/>
      <c r="BH108" s="582"/>
      <c r="BI108" s="582"/>
      <c r="BJ108" s="582"/>
      <c r="BK108" s="582">
        <v>37</v>
      </c>
      <c r="BL108" s="582"/>
      <c r="BM108" s="582"/>
      <c r="BN108" s="582"/>
      <c r="BO108" s="582"/>
      <c r="BP108" s="582"/>
      <c r="BQ108" s="582"/>
      <c r="BR108" s="582"/>
      <c r="BS108" s="582"/>
      <c r="BT108" s="582"/>
      <c r="BU108" s="582"/>
      <c r="BV108" s="583">
        <v>38</v>
      </c>
      <c r="BW108" s="584"/>
      <c r="BX108" s="584"/>
      <c r="BY108" s="584"/>
      <c r="BZ108" s="584"/>
      <c r="CA108" s="584"/>
      <c r="CB108" s="584"/>
      <c r="CC108" s="584"/>
      <c r="CD108" s="584"/>
      <c r="CE108" s="584"/>
      <c r="CF108" s="585"/>
      <c r="CG108" s="584">
        <v>39</v>
      </c>
      <c r="CH108" s="584"/>
      <c r="CI108" s="584"/>
      <c r="CJ108" s="584"/>
      <c r="CK108" s="584"/>
      <c r="CL108" s="584"/>
      <c r="CM108" s="584"/>
      <c r="CN108" s="584"/>
      <c r="CO108" s="584"/>
      <c r="CP108" s="584"/>
      <c r="CQ108" s="582">
        <v>40</v>
      </c>
      <c r="CR108" s="582"/>
      <c r="CS108" s="582"/>
      <c r="CT108" s="582"/>
      <c r="CU108" s="582"/>
      <c r="CV108" s="582"/>
      <c r="CW108" s="582"/>
      <c r="CX108" s="582"/>
      <c r="CY108" s="582"/>
      <c r="CZ108" s="582">
        <v>41</v>
      </c>
      <c r="DA108" s="582"/>
      <c r="DB108" s="582"/>
      <c r="DC108" s="582"/>
      <c r="DD108" s="582"/>
      <c r="DE108" s="582"/>
      <c r="DF108" s="582"/>
      <c r="DG108" s="582"/>
      <c r="DH108" s="582"/>
      <c r="DI108" s="582"/>
      <c r="DJ108" s="582"/>
      <c r="DK108" s="582">
        <v>42</v>
      </c>
      <c r="DL108" s="582"/>
      <c r="DM108" s="582"/>
      <c r="DN108" s="582"/>
      <c r="DO108" s="582"/>
      <c r="DP108" s="582"/>
      <c r="DQ108" s="582"/>
      <c r="DR108" s="582"/>
      <c r="DS108" s="582"/>
      <c r="DT108" s="582">
        <v>43</v>
      </c>
      <c r="DU108" s="582"/>
      <c r="DV108" s="582"/>
      <c r="DW108" s="582"/>
      <c r="DX108" s="582"/>
      <c r="DY108" s="582"/>
      <c r="DZ108" s="582"/>
      <c r="EA108" s="582"/>
      <c r="EB108" s="582"/>
      <c r="EC108" s="78"/>
      <c r="ED108" s="78"/>
      <c r="EE108" s="581"/>
      <c r="EF108" s="581"/>
      <c r="EG108" s="581"/>
      <c r="EH108" s="581"/>
      <c r="EI108" s="581"/>
      <c r="EJ108" s="581"/>
      <c r="EK108" s="581"/>
      <c r="EL108" s="581"/>
      <c r="EM108" s="581"/>
      <c r="EN108" s="581"/>
      <c r="EO108" s="581"/>
      <c r="EP108" s="581"/>
      <c r="EQ108" s="581"/>
      <c r="ER108" s="581"/>
      <c r="ES108" s="581"/>
      <c r="ET108" s="581"/>
      <c r="EU108" s="581"/>
      <c r="EV108" s="581"/>
      <c r="EW108" s="581"/>
      <c r="EX108" s="581"/>
      <c r="EY108" s="581"/>
      <c r="EZ108" s="581"/>
      <c r="FA108" s="581"/>
      <c r="FB108" s="581"/>
      <c r="FC108" s="581"/>
      <c r="FD108" s="581"/>
      <c r="FE108" s="581"/>
      <c r="FF108" s="581"/>
      <c r="FG108" s="581"/>
      <c r="FH108" s="581"/>
      <c r="FI108" s="581"/>
      <c r="FJ108" s="581"/>
      <c r="FK108" s="581"/>
      <c r="FL108" s="581"/>
      <c r="FM108" s="581"/>
      <c r="FN108" s="581"/>
      <c r="FO108" s="581"/>
      <c r="FP108" s="581"/>
      <c r="FQ108" s="581"/>
      <c r="FR108" s="581"/>
      <c r="FS108" s="581"/>
      <c r="FT108" s="581"/>
      <c r="FU108" s="581"/>
      <c r="FV108" s="581"/>
      <c r="FW108" s="581"/>
      <c r="FX108" s="581"/>
      <c r="FY108" s="581"/>
      <c r="FZ108" s="581"/>
      <c r="GA108" s="581"/>
      <c r="GB108" s="581"/>
      <c r="GC108" s="581"/>
      <c r="GD108" s="581"/>
      <c r="GE108" s="581"/>
      <c r="GF108" s="581"/>
      <c r="GG108" s="581"/>
      <c r="GH108" s="581"/>
      <c r="GI108" s="42"/>
    </row>
    <row r="109" spans="1:193" ht="12.6" customHeight="1" x14ac:dyDescent="0.3">
      <c r="A109" s="525" t="s">
        <v>254</v>
      </c>
      <c r="B109" s="476"/>
      <c r="C109" s="476"/>
      <c r="D109" s="476"/>
      <c r="E109" s="476"/>
      <c r="F109" s="476"/>
      <c r="G109" s="476"/>
      <c r="H109" s="476"/>
      <c r="I109" s="476"/>
      <c r="J109" s="476"/>
      <c r="K109" s="476"/>
      <c r="L109" s="476"/>
      <c r="M109" s="476"/>
      <c r="N109" s="476"/>
      <c r="O109" s="476"/>
      <c r="P109" s="476"/>
      <c r="Q109" s="600"/>
      <c r="R109" s="601"/>
      <c r="S109" s="589"/>
      <c r="T109" s="589"/>
      <c r="U109" s="589"/>
      <c r="V109" s="589"/>
      <c r="W109" s="589"/>
      <c r="X109" s="589"/>
      <c r="Y109" s="589"/>
      <c r="Z109" s="589"/>
      <c r="AA109" s="589"/>
      <c r="AB109" s="589"/>
      <c r="AC109" s="589"/>
      <c r="AD109" s="589"/>
      <c r="AE109" s="589"/>
      <c r="AF109" s="589"/>
      <c r="AG109" s="589"/>
      <c r="AH109" s="589"/>
      <c r="AI109" s="589"/>
      <c r="AJ109" s="589"/>
      <c r="AK109" s="589"/>
      <c r="AL109" s="589"/>
      <c r="AM109" s="589"/>
      <c r="AN109" s="589"/>
      <c r="AO109" s="589"/>
      <c r="AP109" s="589"/>
      <c r="AQ109" s="589"/>
      <c r="AR109" s="589"/>
      <c r="AS109" s="589"/>
      <c r="AT109" s="589"/>
      <c r="AU109" s="589"/>
      <c r="AV109" s="589"/>
      <c r="AW109" s="589"/>
      <c r="AX109" s="589"/>
      <c r="AY109" s="589"/>
      <c r="AZ109" s="589"/>
      <c r="BA109" s="589"/>
      <c r="BB109" s="589"/>
      <c r="BC109" s="589"/>
      <c r="BD109" s="589"/>
      <c r="BE109" s="589"/>
      <c r="BF109" s="589"/>
      <c r="BG109" s="589"/>
      <c r="BH109" s="589"/>
      <c r="BI109" s="589"/>
      <c r="BJ109" s="589"/>
      <c r="BK109" s="589"/>
      <c r="BL109" s="589"/>
      <c r="BM109" s="589"/>
      <c r="BN109" s="589"/>
      <c r="BO109" s="589"/>
      <c r="BP109" s="589"/>
      <c r="BQ109" s="589"/>
      <c r="BR109" s="589"/>
      <c r="BS109" s="589"/>
      <c r="BT109" s="589"/>
      <c r="BU109" s="589"/>
      <c r="BV109" s="597"/>
      <c r="BW109" s="496"/>
      <c r="BX109" s="496"/>
      <c r="BY109" s="496"/>
      <c r="BZ109" s="496"/>
      <c r="CA109" s="496"/>
      <c r="CB109" s="496"/>
      <c r="CC109" s="496"/>
      <c r="CD109" s="496"/>
      <c r="CE109" s="496"/>
      <c r="CF109" s="598"/>
      <c r="CG109" s="496"/>
      <c r="CH109" s="496"/>
      <c r="CI109" s="496"/>
      <c r="CJ109" s="496"/>
      <c r="CK109" s="496"/>
      <c r="CL109" s="496"/>
      <c r="CM109" s="496"/>
      <c r="CN109" s="496"/>
      <c r="CO109" s="496"/>
      <c r="CP109" s="496"/>
      <c r="CQ109" s="589"/>
      <c r="CR109" s="589"/>
      <c r="CS109" s="589"/>
      <c r="CT109" s="589"/>
      <c r="CU109" s="589"/>
      <c r="CV109" s="589"/>
      <c r="CW109" s="589"/>
      <c r="CX109" s="589"/>
      <c r="CY109" s="589"/>
      <c r="CZ109" s="589"/>
      <c r="DA109" s="589"/>
      <c r="DB109" s="589"/>
      <c r="DC109" s="589"/>
      <c r="DD109" s="589"/>
      <c r="DE109" s="589"/>
      <c r="DF109" s="589"/>
      <c r="DG109" s="589"/>
      <c r="DH109" s="589"/>
      <c r="DI109" s="589"/>
      <c r="DJ109" s="589"/>
      <c r="DK109" s="589"/>
      <c r="DL109" s="589"/>
      <c r="DM109" s="589"/>
      <c r="DN109" s="589"/>
      <c r="DO109" s="589"/>
      <c r="DP109" s="589"/>
      <c r="DQ109" s="589"/>
      <c r="DR109" s="589"/>
      <c r="DS109" s="589"/>
      <c r="DT109" s="589"/>
      <c r="DU109" s="589"/>
      <c r="DV109" s="589"/>
      <c r="DW109" s="589"/>
      <c r="DX109" s="589"/>
      <c r="DY109" s="589"/>
      <c r="DZ109" s="589"/>
      <c r="EA109" s="589"/>
      <c r="EB109" s="599"/>
      <c r="EC109" s="78"/>
      <c r="ED109" s="78"/>
      <c r="EE109" s="115" t="s">
        <v>255</v>
      </c>
      <c r="EF109" s="78"/>
      <c r="EG109" s="116"/>
      <c r="EH109" s="116"/>
      <c r="EI109" s="116"/>
      <c r="EJ109" s="116"/>
      <c r="EK109" s="116"/>
      <c r="EL109" s="116"/>
      <c r="EM109" s="116"/>
      <c r="EN109" s="116"/>
      <c r="EO109" s="116"/>
      <c r="EP109" s="116"/>
      <c r="EQ109" s="116"/>
      <c r="ER109" s="116"/>
      <c r="ES109" s="116"/>
      <c r="ET109" s="592"/>
      <c r="EU109" s="592"/>
      <c r="EV109" s="592"/>
      <c r="EW109" s="592"/>
      <c r="EX109" s="592"/>
      <c r="EY109" s="592"/>
      <c r="EZ109" s="592"/>
      <c r="FA109" s="592"/>
      <c r="FB109" s="592"/>
      <c r="FC109" s="592"/>
      <c r="FD109" s="592"/>
      <c r="FE109" s="592"/>
      <c r="FF109" s="96"/>
      <c r="FG109" s="96"/>
      <c r="FH109" s="592"/>
      <c r="FI109" s="592"/>
      <c r="FJ109" s="592"/>
      <c r="FK109" s="592"/>
      <c r="FL109" s="592"/>
      <c r="FM109" s="592"/>
      <c r="FN109" s="592"/>
      <c r="FO109" s="592"/>
      <c r="FP109" s="592"/>
      <c r="FQ109" s="592"/>
      <c r="FR109" s="592"/>
      <c r="FS109" s="592"/>
      <c r="FT109" s="592"/>
      <c r="FU109" s="592"/>
      <c r="FV109" s="592"/>
      <c r="FW109" s="592"/>
      <c r="FX109" s="592"/>
      <c r="FY109" s="592"/>
      <c r="FZ109" s="592"/>
      <c r="GA109" s="592"/>
      <c r="GB109" s="592"/>
      <c r="GC109" s="592"/>
      <c r="GD109" s="592"/>
      <c r="GE109" s="592"/>
      <c r="GF109" s="592"/>
      <c r="GG109" s="592"/>
      <c r="GH109" s="592"/>
      <c r="GI109" s="42"/>
    </row>
    <row r="110" spans="1:193" ht="12.6" customHeight="1" x14ac:dyDescent="0.3">
      <c r="A110" s="593" t="s">
        <v>256</v>
      </c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5"/>
      <c r="S110" s="590"/>
      <c r="T110" s="590"/>
      <c r="U110" s="590"/>
      <c r="V110" s="590"/>
      <c r="W110" s="590"/>
      <c r="X110" s="590"/>
      <c r="Y110" s="590"/>
      <c r="Z110" s="590"/>
      <c r="AA110" s="590"/>
      <c r="AB110" s="590"/>
      <c r="AC110" s="590"/>
      <c r="AD110" s="590"/>
      <c r="AE110" s="590"/>
      <c r="AF110" s="590"/>
      <c r="AG110" s="590"/>
      <c r="AH110" s="590"/>
      <c r="AI110" s="590"/>
      <c r="AJ110" s="590"/>
      <c r="AK110" s="590"/>
      <c r="AL110" s="590"/>
      <c r="AM110" s="590"/>
      <c r="AN110" s="590"/>
      <c r="AO110" s="590"/>
      <c r="AP110" s="590"/>
      <c r="AQ110" s="590"/>
      <c r="AR110" s="590"/>
      <c r="AS110" s="590"/>
      <c r="AT110" s="590"/>
      <c r="AU110" s="590"/>
      <c r="AV110" s="590"/>
      <c r="AW110" s="590"/>
      <c r="AX110" s="590"/>
      <c r="AY110" s="590"/>
      <c r="AZ110" s="590"/>
      <c r="BA110" s="590"/>
      <c r="BB110" s="590"/>
      <c r="BC110" s="590"/>
      <c r="BD110" s="590"/>
      <c r="BE110" s="590"/>
      <c r="BF110" s="590"/>
      <c r="BG110" s="590"/>
      <c r="BH110" s="590"/>
      <c r="BI110" s="590"/>
      <c r="BJ110" s="590"/>
      <c r="BK110" s="590"/>
      <c r="BL110" s="590"/>
      <c r="BM110" s="590"/>
      <c r="BN110" s="590"/>
      <c r="BO110" s="590"/>
      <c r="BP110" s="590"/>
      <c r="BQ110" s="590"/>
      <c r="BR110" s="590"/>
      <c r="BS110" s="590"/>
      <c r="BT110" s="590"/>
      <c r="BU110" s="590"/>
      <c r="BV110" s="593"/>
      <c r="BW110" s="594"/>
      <c r="BX110" s="594"/>
      <c r="BY110" s="594"/>
      <c r="BZ110" s="594"/>
      <c r="CA110" s="594"/>
      <c r="CB110" s="594"/>
      <c r="CC110" s="594"/>
      <c r="CD110" s="594"/>
      <c r="CE110" s="594"/>
      <c r="CF110" s="596"/>
      <c r="CG110" s="594"/>
      <c r="CH110" s="594"/>
      <c r="CI110" s="594"/>
      <c r="CJ110" s="594"/>
      <c r="CK110" s="594"/>
      <c r="CL110" s="594"/>
      <c r="CM110" s="594"/>
      <c r="CN110" s="594"/>
      <c r="CO110" s="594"/>
      <c r="CP110" s="594"/>
      <c r="CQ110" s="590"/>
      <c r="CR110" s="590"/>
      <c r="CS110" s="590"/>
      <c r="CT110" s="590"/>
      <c r="CU110" s="590"/>
      <c r="CV110" s="590"/>
      <c r="CW110" s="590"/>
      <c r="CX110" s="590"/>
      <c r="CY110" s="590"/>
      <c r="CZ110" s="590"/>
      <c r="DA110" s="590"/>
      <c r="DB110" s="590"/>
      <c r="DC110" s="590"/>
      <c r="DD110" s="590"/>
      <c r="DE110" s="590"/>
      <c r="DF110" s="590"/>
      <c r="DG110" s="590"/>
      <c r="DH110" s="590"/>
      <c r="DI110" s="590"/>
      <c r="DJ110" s="590"/>
      <c r="DK110" s="590"/>
      <c r="DL110" s="590"/>
      <c r="DM110" s="590"/>
      <c r="DN110" s="590"/>
      <c r="DO110" s="590"/>
      <c r="DP110" s="590"/>
      <c r="DQ110" s="590"/>
      <c r="DR110" s="590"/>
      <c r="DS110" s="590"/>
      <c r="DT110" s="590"/>
      <c r="DU110" s="590"/>
      <c r="DV110" s="590"/>
      <c r="DW110" s="590"/>
      <c r="DX110" s="590"/>
      <c r="DY110" s="590"/>
      <c r="DZ110" s="590"/>
      <c r="EA110" s="590"/>
      <c r="EB110" s="591"/>
      <c r="EC110" s="78"/>
      <c r="ED110" s="78"/>
      <c r="EE110" s="78"/>
      <c r="EF110" s="78"/>
      <c r="EG110" s="78"/>
      <c r="EH110" s="78"/>
      <c r="EI110" s="78"/>
      <c r="EJ110" s="78"/>
      <c r="EK110" s="78"/>
      <c r="EL110" s="78"/>
      <c r="EM110" s="78"/>
      <c r="EN110" s="78"/>
      <c r="EO110" s="78"/>
      <c r="EP110" s="78"/>
      <c r="EQ110" s="78"/>
      <c r="ER110" s="78"/>
      <c r="ES110" s="78"/>
      <c r="ET110" s="461" t="s">
        <v>122</v>
      </c>
      <c r="EU110" s="461"/>
      <c r="EV110" s="461"/>
      <c r="EW110" s="461"/>
      <c r="EX110" s="461"/>
      <c r="EY110" s="461"/>
      <c r="EZ110" s="461"/>
      <c r="FA110" s="461"/>
      <c r="FB110" s="461"/>
      <c r="FC110" s="461"/>
      <c r="FD110" s="461"/>
      <c r="FE110" s="461"/>
      <c r="FF110" s="107"/>
      <c r="FG110" s="107"/>
      <c r="FH110" s="461" t="s">
        <v>126</v>
      </c>
      <c r="FI110" s="461"/>
      <c r="FJ110" s="461"/>
      <c r="FK110" s="461"/>
      <c r="FL110" s="461"/>
      <c r="FM110" s="461"/>
      <c r="FN110" s="461"/>
      <c r="FO110" s="461"/>
      <c r="FP110" s="461"/>
      <c r="FQ110" s="461"/>
      <c r="FR110" s="461"/>
      <c r="FS110" s="461"/>
      <c r="FT110" s="461"/>
      <c r="FU110" s="461"/>
      <c r="FV110" s="461"/>
      <c r="FW110" s="461"/>
      <c r="FX110" s="461"/>
      <c r="FY110" s="461"/>
      <c r="FZ110" s="461"/>
      <c r="GA110" s="461"/>
      <c r="GB110" s="461"/>
      <c r="GC110" s="461"/>
      <c r="GD110" s="461"/>
      <c r="GE110" s="461"/>
      <c r="GF110" s="461"/>
      <c r="GG110" s="461"/>
      <c r="GH110" s="461"/>
      <c r="GI110" s="42"/>
    </row>
    <row r="111" spans="1:193" ht="12.6" customHeight="1" thickBot="1" x14ac:dyDescent="0.35">
      <c r="A111" s="525" t="s">
        <v>257</v>
      </c>
      <c r="B111" s="476"/>
      <c r="C111" s="476"/>
      <c r="D111" s="476"/>
      <c r="E111" s="476"/>
      <c r="F111" s="476"/>
      <c r="G111" s="476"/>
      <c r="H111" s="476"/>
      <c r="I111" s="476"/>
      <c r="J111" s="476"/>
      <c r="K111" s="476"/>
      <c r="L111" s="476"/>
      <c r="M111" s="476"/>
      <c r="N111" s="476"/>
      <c r="O111" s="476"/>
      <c r="P111" s="476"/>
      <c r="Q111" s="600"/>
      <c r="R111" s="606"/>
      <c r="S111" s="604"/>
      <c r="T111" s="604"/>
      <c r="U111" s="604"/>
      <c r="V111" s="604"/>
      <c r="W111" s="604"/>
      <c r="X111" s="604"/>
      <c r="Y111" s="604"/>
      <c r="Z111" s="604"/>
      <c r="AA111" s="604"/>
      <c r="AB111" s="604"/>
      <c r="AC111" s="604"/>
      <c r="AD111" s="604"/>
      <c r="AE111" s="604"/>
      <c r="AF111" s="604"/>
      <c r="AG111" s="604"/>
      <c r="AH111" s="604"/>
      <c r="AI111" s="604"/>
      <c r="AJ111" s="604"/>
      <c r="AK111" s="604"/>
      <c r="AL111" s="604"/>
      <c r="AM111" s="604"/>
      <c r="AN111" s="604"/>
      <c r="AO111" s="604"/>
      <c r="AP111" s="604"/>
      <c r="AQ111" s="604"/>
      <c r="AR111" s="604"/>
      <c r="AS111" s="604"/>
      <c r="AT111" s="604"/>
      <c r="AU111" s="604"/>
      <c r="AV111" s="604"/>
      <c r="AW111" s="604"/>
      <c r="AX111" s="604"/>
      <c r="AY111" s="604"/>
      <c r="AZ111" s="604"/>
      <c r="BA111" s="604"/>
      <c r="BB111" s="604"/>
      <c r="BC111" s="604"/>
      <c r="BD111" s="604"/>
      <c r="BE111" s="604"/>
      <c r="BF111" s="604"/>
      <c r="BG111" s="604"/>
      <c r="BH111" s="604"/>
      <c r="BI111" s="604"/>
      <c r="BJ111" s="604"/>
      <c r="BK111" s="604"/>
      <c r="BL111" s="604"/>
      <c r="BM111" s="604"/>
      <c r="BN111" s="604"/>
      <c r="BO111" s="604"/>
      <c r="BP111" s="604"/>
      <c r="BQ111" s="604"/>
      <c r="BR111" s="604"/>
      <c r="BS111" s="604"/>
      <c r="BT111" s="604"/>
      <c r="BU111" s="604"/>
      <c r="BV111" s="602"/>
      <c r="BW111" s="517"/>
      <c r="BX111" s="517"/>
      <c r="BY111" s="517"/>
      <c r="BZ111" s="517"/>
      <c r="CA111" s="517"/>
      <c r="CB111" s="517"/>
      <c r="CC111" s="517"/>
      <c r="CD111" s="517"/>
      <c r="CE111" s="517"/>
      <c r="CF111" s="603"/>
      <c r="CG111" s="517"/>
      <c r="CH111" s="517"/>
      <c r="CI111" s="517"/>
      <c r="CJ111" s="517"/>
      <c r="CK111" s="517"/>
      <c r="CL111" s="517"/>
      <c r="CM111" s="517"/>
      <c r="CN111" s="517"/>
      <c r="CO111" s="517"/>
      <c r="CP111" s="517"/>
      <c r="CQ111" s="604"/>
      <c r="CR111" s="604"/>
      <c r="CS111" s="604"/>
      <c r="CT111" s="604"/>
      <c r="CU111" s="604"/>
      <c r="CV111" s="604"/>
      <c r="CW111" s="604"/>
      <c r="CX111" s="604"/>
      <c r="CY111" s="604"/>
      <c r="CZ111" s="604"/>
      <c r="DA111" s="604"/>
      <c r="DB111" s="604"/>
      <c r="DC111" s="604"/>
      <c r="DD111" s="604"/>
      <c r="DE111" s="604"/>
      <c r="DF111" s="604"/>
      <c r="DG111" s="604"/>
      <c r="DH111" s="604"/>
      <c r="DI111" s="604"/>
      <c r="DJ111" s="604"/>
      <c r="DK111" s="604"/>
      <c r="DL111" s="604"/>
      <c r="DM111" s="604"/>
      <c r="DN111" s="604"/>
      <c r="DO111" s="604"/>
      <c r="DP111" s="604"/>
      <c r="DQ111" s="604"/>
      <c r="DR111" s="604"/>
      <c r="DS111" s="604"/>
      <c r="DT111" s="604"/>
      <c r="DU111" s="604"/>
      <c r="DV111" s="604"/>
      <c r="DW111" s="604"/>
      <c r="DX111" s="604"/>
      <c r="DY111" s="604"/>
      <c r="DZ111" s="604"/>
      <c r="EA111" s="604"/>
      <c r="EB111" s="605"/>
      <c r="EC111" s="78"/>
      <c r="ED111" s="78"/>
      <c r="EE111" s="78"/>
      <c r="EF111" s="78"/>
      <c r="EG111" s="78"/>
      <c r="EH111" s="78"/>
      <c r="EI111" s="78"/>
      <c r="EJ111" s="78"/>
      <c r="EK111" s="78"/>
      <c r="EL111" s="78"/>
      <c r="EM111" s="78"/>
      <c r="EN111" s="78"/>
      <c r="EO111" s="78"/>
      <c r="EP111" s="78"/>
      <c r="EQ111" s="78"/>
      <c r="ER111" s="78"/>
      <c r="ES111" s="78"/>
      <c r="ET111" s="78"/>
      <c r="EU111" s="78"/>
      <c r="EV111" s="78"/>
      <c r="EW111" s="78"/>
      <c r="EX111" s="78"/>
      <c r="EY111" s="78"/>
      <c r="EZ111" s="78"/>
      <c r="FA111" s="78"/>
      <c r="FB111" s="78"/>
      <c r="FC111" s="78"/>
      <c r="FD111" s="78"/>
      <c r="FE111" s="78"/>
      <c r="FF111" s="78"/>
      <c r="FG111" s="78"/>
      <c r="FH111" s="78"/>
      <c r="FI111" s="78"/>
      <c r="FJ111" s="78"/>
      <c r="FK111" s="78"/>
      <c r="FL111" s="78"/>
      <c r="FM111" s="78"/>
      <c r="FN111" s="78"/>
      <c r="FO111" s="78"/>
      <c r="FP111" s="78"/>
      <c r="FQ111" s="78"/>
      <c r="FR111" s="78"/>
      <c r="FS111" s="78"/>
      <c r="FT111" s="78"/>
      <c r="FU111" s="78"/>
      <c r="FV111" s="78"/>
      <c r="FW111" s="78"/>
      <c r="FX111" s="78"/>
      <c r="FY111" s="78"/>
      <c r="FZ111" s="78"/>
      <c r="GA111" s="78"/>
      <c r="GB111" s="78"/>
      <c r="GC111" s="78"/>
      <c r="GD111" s="78"/>
      <c r="GE111" s="78"/>
      <c r="GF111" s="78"/>
      <c r="GG111" s="78"/>
      <c r="GH111" s="78"/>
      <c r="GI111" s="42"/>
    </row>
    <row r="112" spans="1:193" x14ac:dyDescent="0.3">
      <c r="GJ112" s="117" t="s">
        <v>258</v>
      </c>
      <c r="GK112" s="118" t="s">
        <v>259</v>
      </c>
    </row>
    <row r="113" spans="192:193" x14ac:dyDescent="0.3">
      <c r="GJ113" s="117" t="s">
        <v>260</v>
      </c>
      <c r="GK113" s="118" t="s">
        <v>261</v>
      </c>
    </row>
    <row r="114" spans="192:193" x14ac:dyDescent="0.3">
      <c r="GJ114" s="117" t="s">
        <v>262</v>
      </c>
      <c r="GK114" s="118" t="s">
        <v>263</v>
      </c>
    </row>
    <row r="115" spans="192:193" x14ac:dyDescent="0.3">
      <c r="GJ115" s="117" t="s">
        <v>264</v>
      </c>
      <c r="GK115" s="118" t="s">
        <v>265</v>
      </c>
    </row>
    <row r="116" spans="192:193" x14ac:dyDescent="0.3">
      <c r="GJ116" s="117" t="s">
        <v>266</v>
      </c>
      <c r="GK116" s="118" t="s">
        <v>267</v>
      </c>
    </row>
    <row r="117" spans="192:193" x14ac:dyDescent="0.3">
      <c r="GJ117" s="117" t="s">
        <v>268</v>
      </c>
      <c r="GK117" s="118" t="s">
        <v>269</v>
      </c>
    </row>
    <row r="118" spans="192:193" x14ac:dyDescent="0.3">
      <c r="GJ118" s="117" t="s">
        <v>58</v>
      </c>
      <c r="GK118" s="118" t="s">
        <v>270</v>
      </c>
    </row>
    <row r="119" spans="192:193" x14ac:dyDescent="0.3">
      <c r="GJ119" s="117" t="s">
        <v>271</v>
      </c>
      <c r="GK119" s="118" t="s">
        <v>272</v>
      </c>
    </row>
    <row r="120" spans="192:193" x14ac:dyDescent="0.3">
      <c r="GJ120" s="117" t="s">
        <v>273</v>
      </c>
      <c r="GK120" s="118" t="s">
        <v>274</v>
      </c>
    </row>
    <row r="121" spans="192:193" x14ac:dyDescent="0.3">
      <c r="GJ121" s="117">
        <v>10</v>
      </c>
      <c r="GK121" s="118" t="s">
        <v>275</v>
      </c>
    </row>
    <row r="122" spans="192:193" x14ac:dyDescent="0.3">
      <c r="GJ122" s="117">
        <v>11</v>
      </c>
      <c r="GK122" s="118" t="s">
        <v>276</v>
      </c>
    </row>
    <row r="123" spans="192:193" x14ac:dyDescent="0.3">
      <c r="GJ123" s="117">
        <v>12</v>
      </c>
      <c r="GK123" s="118" t="s">
        <v>277</v>
      </c>
    </row>
  </sheetData>
  <mergeCells count="582">
    <mergeCell ref="A11:O11"/>
    <mergeCell ref="P11:EZ11"/>
    <mergeCell ref="P9:EZ9"/>
    <mergeCell ref="FA9:FL9"/>
    <mergeCell ref="FM9:GE9"/>
    <mergeCell ref="V10:EZ10"/>
    <mergeCell ref="FA10:FL11"/>
    <mergeCell ref="FM10:GE11"/>
    <mergeCell ref="FM4:GE4"/>
    <mergeCell ref="FM5:GE5"/>
    <mergeCell ref="DR6:FG6"/>
    <mergeCell ref="FM6:GE6"/>
    <mergeCell ref="DR7:FG7"/>
    <mergeCell ref="FM7:FR8"/>
    <mergeCell ref="FS7:FY8"/>
    <mergeCell ref="FZ7:GE8"/>
    <mergeCell ref="ED16:EN16"/>
    <mergeCell ref="EO16:FB16"/>
    <mergeCell ref="A12:O13"/>
    <mergeCell ref="V12:EZ12"/>
    <mergeCell ref="FA12:FL13"/>
    <mergeCell ref="FM12:GE13"/>
    <mergeCell ref="P13:EZ13"/>
    <mergeCell ref="V14:EZ14"/>
    <mergeCell ref="A15:GE15"/>
    <mergeCell ref="A16:K16"/>
    <mergeCell ref="L16:AE16"/>
    <mergeCell ref="AF16:AR16"/>
    <mergeCell ref="AS16:BD16"/>
    <mergeCell ref="BE16:BT16"/>
    <mergeCell ref="BU16:DG16"/>
    <mergeCell ref="DH16:DR16"/>
    <mergeCell ref="DS16:EC16"/>
    <mergeCell ref="FC16:FM16"/>
    <mergeCell ref="FN16:GE16"/>
    <mergeCell ref="FC17:FM17"/>
    <mergeCell ref="FN17:GE17"/>
    <mergeCell ref="A17:K17"/>
    <mergeCell ref="L17:AE17"/>
    <mergeCell ref="AF17:AR17"/>
    <mergeCell ref="AS17:BD17"/>
    <mergeCell ref="BE17:BT17"/>
    <mergeCell ref="BU17:DG17"/>
    <mergeCell ref="DH17:DR17"/>
    <mergeCell ref="DS17:EC17"/>
    <mergeCell ref="ED17:EN17"/>
    <mergeCell ref="EO17:FB17"/>
    <mergeCell ref="DH18:DR18"/>
    <mergeCell ref="DS18:EC18"/>
    <mergeCell ref="ED18:EN18"/>
    <mergeCell ref="EO18:FB18"/>
    <mergeCell ref="FC19:FM19"/>
    <mergeCell ref="FC18:FM18"/>
    <mergeCell ref="FN18:GE18"/>
    <mergeCell ref="A18:K18"/>
    <mergeCell ref="L18:AE18"/>
    <mergeCell ref="AF18:AR18"/>
    <mergeCell ref="AS18:BD18"/>
    <mergeCell ref="BE18:BT18"/>
    <mergeCell ref="BU18:DG18"/>
    <mergeCell ref="FN19:GE19"/>
    <mergeCell ref="A19:K19"/>
    <mergeCell ref="L19:AE19"/>
    <mergeCell ref="AF19:AR19"/>
    <mergeCell ref="AS19:BD19"/>
    <mergeCell ref="BE19:BT19"/>
    <mergeCell ref="BU19:DG19"/>
    <mergeCell ref="DH19:DR19"/>
    <mergeCell ref="DS19:EC19"/>
    <mergeCell ref="ED19:EN19"/>
    <mergeCell ref="EO19:FB19"/>
    <mergeCell ref="DH20:DR20"/>
    <mergeCell ref="DS20:EC20"/>
    <mergeCell ref="ED20:EN20"/>
    <mergeCell ref="EO20:FB20"/>
    <mergeCell ref="FC20:FM20"/>
    <mergeCell ref="FN20:GE20"/>
    <mergeCell ref="A20:K20"/>
    <mergeCell ref="L20:AE20"/>
    <mergeCell ref="AF20:AR20"/>
    <mergeCell ref="AS20:BD20"/>
    <mergeCell ref="BE20:BT20"/>
    <mergeCell ref="BU20:DG20"/>
    <mergeCell ref="DH21:DR21"/>
    <mergeCell ref="DS21:EC21"/>
    <mergeCell ref="ED21:EN21"/>
    <mergeCell ref="EO21:FB21"/>
    <mergeCell ref="FC21:FM21"/>
    <mergeCell ref="FN21:GE21"/>
    <mergeCell ref="A21:K21"/>
    <mergeCell ref="L21:AE21"/>
    <mergeCell ref="AF21:AR21"/>
    <mergeCell ref="AS21:BD21"/>
    <mergeCell ref="BE21:BT21"/>
    <mergeCell ref="BU21:DG21"/>
    <mergeCell ref="DH22:DR22"/>
    <mergeCell ref="DS22:EC22"/>
    <mergeCell ref="ED22:EN22"/>
    <mergeCell ref="EO22:FB22"/>
    <mergeCell ref="FC22:FM22"/>
    <mergeCell ref="FN22:GE22"/>
    <mergeCell ref="A22:K22"/>
    <mergeCell ref="L22:AE22"/>
    <mergeCell ref="AF22:AR22"/>
    <mergeCell ref="AS22:BD22"/>
    <mergeCell ref="BE22:BT22"/>
    <mergeCell ref="BU22:DG22"/>
    <mergeCell ref="DH23:DR23"/>
    <mergeCell ref="DS23:EC23"/>
    <mergeCell ref="ED23:EN23"/>
    <mergeCell ref="EO23:FB23"/>
    <mergeCell ref="FC23:FM23"/>
    <mergeCell ref="FN23:GE23"/>
    <mergeCell ref="A23:K23"/>
    <mergeCell ref="L23:AE23"/>
    <mergeCell ref="AF23:AR23"/>
    <mergeCell ref="AS23:BD23"/>
    <mergeCell ref="BE23:BT23"/>
    <mergeCell ref="BU23:DG23"/>
    <mergeCell ref="DH24:DR24"/>
    <mergeCell ref="DS24:EC24"/>
    <mergeCell ref="ED24:EN24"/>
    <mergeCell ref="EO24:FB24"/>
    <mergeCell ref="FC24:FM24"/>
    <mergeCell ref="FN24:GE24"/>
    <mergeCell ref="A24:K24"/>
    <mergeCell ref="L24:AE24"/>
    <mergeCell ref="AF24:AR24"/>
    <mergeCell ref="AS24:BD24"/>
    <mergeCell ref="BE24:BT24"/>
    <mergeCell ref="BU24:DG24"/>
    <mergeCell ref="DH25:DR25"/>
    <mergeCell ref="DS25:EC25"/>
    <mergeCell ref="ED25:EN25"/>
    <mergeCell ref="EO25:FB25"/>
    <mergeCell ref="FC25:FM25"/>
    <mergeCell ref="FN25:GE25"/>
    <mergeCell ref="A25:K25"/>
    <mergeCell ref="L25:AE25"/>
    <mergeCell ref="AF25:AR25"/>
    <mergeCell ref="AS25:BD25"/>
    <mergeCell ref="BE25:BT25"/>
    <mergeCell ref="BU25:DG25"/>
    <mergeCell ref="DH26:DR26"/>
    <mergeCell ref="DS26:EC26"/>
    <mergeCell ref="ED26:EN26"/>
    <mergeCell ref="EO26:FB26"/>
    <mergeCell ref="FC26:FM26"/>
    <mergeCell ref="FN26:GE26"/>
    <mergeCell ref="A26:K26"/>
    <mergeCell ref="L26:AE26"/>
    <mergeCell ref="AF26:AR26"/>
    <mergeCell ref="AS26:BD26"/>
    <mergeCell ref="BE26:BT26"/>
    <mergeCell ref="BU26:DG26"/>
    <mergeCell ref="DH27:DR27"/>
    <mergeCell ref="DS27:EC27"/>
    <mergeCell ref="ED27:EN27"/>
    <mergeCell ref="EO27:FB27"/>
    <mergeCell ref="FC27:FM27"/>
    <mergeCell ref="FN27:GE27"/>
    <mergeCell ref="A27:K27"/>
    <mergeCell ref="L27:AE27"/>
    <mergeCell ref="AF27:AR27"/>
    <mergeCell ref="AS27:BD27"/>
    <mergeCell ref="BE27:BT27"/>
    <mergeCell ref="BU27:DG27"/>
    <mergeCell ref="DH28:DR28"/>
    <mergeCell ref="DS28:EC28"/>
    <mergeCell ref="ED28:EN28"/>
    <mergeCell ref="EO28:FB28"/>
    <mergeCell ref="FC28:FM28"/>
    <mergeCell ref="FN28:GE28"/>
    <mergeCell ref="A28:K28"/>
    <mergeCell ref="L28:AE28"/>
    <mergeCell ref="AF28:AR28"/>
    <mergeCell ref="AS28:BD28"/>
    <mergeCell ref="BE28:BT28"/>
    <mergeCell ref="BU28:DG28"/>
    <mergeCell ref="DH29:DR29"/>
    <mergeCell ref="DS29:EC29"/>
    <mergeCell ref="ED29:EN29"/>
    <mergeCell ref="EO29:FB29"/>
    <mergeCell ref="FC29:FM29"/>
    <mergeCell ref="FN29:GE29"/>
    <mergeCell ref="A29:K29"/>
    <mergeCell ref="L29:AE29"/>
    <mergeCell ref="AF29:AR29"/>
    <mergeCell ref="AS29:BD29"/>
    <mergeCell ref="BE29:BT29"/>
    <mergeCell ref="BU29:DG29"/>
    <mergeCell ref="DH30:DR30"/>
    <mergeCell ref="DS30:EC30"/>
    <mergeCell ref="ED30:EN30"/>
    <mergeCell ref="EO30:FB30"/>
    <mergeCell ref="FC30:FM30"/>
    <mergeCell ref="FN30:GE30"/>
    <mergeCell ref="A30:K30"/>
    <mergeCell ref="L30:AE30"/>
    <mergeCell ref="AF30:AR30"/>
    <mergeCell ref="AS30:BD30"/>
    <mergeCell ref="BE30:BT30"/>
    <mergeCell ref="BU30:DG30"/>
    <mergeCell ref="DH31:DR31"/>
    <mergeCell ref="DS31:EC31"/>
    <mergeCell ref="ED31:EN31"/>
    <mergeCell ref="EO31:FB31"/>
    <mergeCell ref="FC31:FM31"/>
    <mergeCell ref="FN31:GE31"/>
    <mergeCell ref="A31:K31"/>
    <mergeCell ref="L31:AE31"/>
    <mergeCell ref="AF31:AR31"/>
    <mergeCell ref="AS31:BD31"/>
    <mergeCell ref="BE31:BT31"/>
    <mergeCell ref="BU31:DG31"/>
    <mergeCell ref="AS32:BU32"/>
    <mergeCell ref="CV32:EL32"/>
    <mergeCell ref="EO32:FB32"/>
    <mergeCell ref="FC32:FM32"/>
    <mergeCell ref="N33:BU33"/>
    <mergeCell ref="EO33:FB35"/>
    <mergeCell ref="FC33:FM35"/>
    <mergeCell ref="N34:BU34"/>
    <mergeCell ref="DS34:EH35"/>
    <mergeCell ref="Q35:BU35"/>
    <mergeCell ref="FC36:FM37"/>
    <mergeCell ref="J37:BU37"/>
    <mergeCell ref="CM37:DP37"/>
    <mergeCell ref="EI37:EK37"/>
    <mergeCell ref="M38:BU38"/>
    <mergeCell ref="CR38:DP38"/>
    <mergeCell ref="EO38:FB38"/>
    <mergeCell ref="FC38:FM38"/>
    <mergeCell ref="CL35:DP35"/>
    <mergeCell ref="EI35:EK35"/>
    <mergeCell ref="W36:BU36"/>
    <mergeCell ref="CR36:DP36"/>
    <mergeCell ref="DS36:EH37"/>
    <mergeCell ref="EO36:FB37"/>
    <mergeCell ref="EU39:EW40"/>
    <mergeCell ref="EX39:FP40"/>
    <mergeCell ref="FS39:FZ40"/>
    <mergeCell ref="GA39:GD40"/>
    <mergeCell ref="AV40:BU40"/>
    <mergeCell ref="AB41:BV41"/>
    <mergeCell ref="BW41:CB41"/>
    <mergeCell ref="CC41:CK41"/>
    <mergeCell ref="DJ41:GE41"/>
    <mergeCell ref="AV39:BU39"/>
    <mergeCell ref="CE39:CU39"/>
    <mergeCell ref="CY39:DS40"/>
    <mergeCell ref="DT39:EI40"/>
    <mergeCell ref="EK39:EO40"/>
    <mergeCell ref="EP39:ET40"/>
    <mergeCell ref="FI44:GE44"/>
    <mergeCell ref="A45:W45"/>
    <mergeCell ref="Y45:AE45"/>
    <mergeCell ref="AG45:AX45"/>
    <mergeCell ref="BQ45:BZ45"/>
    <mergeCell ref="CC45:CU45"/>
    <mergeCell ref="AR42:AZ43"/>
    <mergeCell ref="BA42:BW44"/>
    <mergeCell ref="CY42:EA43"/>
    <mergeCell ref="EB42:ER43"/>
    <mergeCell ref="EU42:FF43"/>
    <mergeCell ref="FI42:GE43"/>
    <mergeCell ref="A46:W46"/>
    <mergeCell ref="Y46:AE46"/>
    <mergeCell ref="AG46:AX46"/>
    <mergeCell ref="BQ46:BZ46"/>
    <mergeCell ref="CC46:CU46"/>
    <mergeCell ref="CY46:FH47"/>
    <mergeCell ref="A43:U44"/>
    <mergeCell ref="EB44:ER44"/>
    <mergeCell ref="EU44:FF44"/>
    <mergeCell ref="BE50:BI50"/>
    <mergeCell ref="BM50:CD50"/>
    <mergeCell ref="CG50:CM50"/>
    <mergeCell ref="ED50:ES50"/>
    <mergeCell ref="EV50:FF50"/>
    <mergeCell ref="FI50:GE50"/>
    <mergeCell ref="AB48:AY48"/>
    <mergeCell ref="BB48:BO48"/>
    <mergeCell ref="BR48:CQ48"/>
    <mergeCell ref="CY48:GE48"/>
    <mergeCell ref="AB49:AY49"/>
    <mergeCell ref="BB49:BO49"/>
    <mergeCell ref="BR49:CQ49"/>
    <mergeCell ref="AD55:AT55"/>
    <mergeCell ref="AW55:BC55"/>
    <mergeCell ref="A56:M57"/>
    <mergeCell ref="N56:CA57"/>
    <mergeCell ref="CC56:CN57"/>
    <mergeCell ref="CO56:DK57"/>
    <mergeCell ref="ED51:ES51"/>
    <mergeCell ref="EV51:FF51"/>
    <mergeCell ref="FI51:GE51"/>
    <mergeCell ref="BX53:DD54"/>
    <mergeCell ref="A54:S54"/>
    <mergeCell ref="T54:AG54"/>
    <mergeCell ref="AP54:BC54"/>
    <mergeCell ref="BI54:BV54"/>
    <mergeCell ref="FP54:GH55"/>
    <mergeCell ref="X55:AA55"/>
    <mergeCell ref="DL56:EJ57"/>
    <mergeCell ref="EN56:FA57"/>
    <mergeCell ref="FB56:FN56"/>
    <mergeCell ref="FP56:GH57"/>
    <mergeCell ref="FB57:FN58"/>
    <mergeCell ref="N58:CA58"/>
    <mergeCell ref="CO58:DF58"/>
    <mergeCell ref="FP58:GH59"/>
    <mergeCell ref="O59:FM59"/>
    <mergeCell ref="A65:S65"/>
    <mergeCell ref="T65:AG65"/>
    <mergeCell ref="AP65:BC65"/>
    <mergeCell ref="BI65:BV65"/>
    <mergeCell ref="Q66:CB66"/>
    <mergeCell ref="CT66:FC66"/>
    <mergeCell ref="X60:FM60"/>
    <mergeCell ref="FP60:GH63"/>
    <mergeCell ref="L61:BZ61"/>
    <mergeCell ref="CU61:FA61"/>
    <mergeCell ref="L62:BZ62"/>
    <mergeCell ref="A63:W64"/>
    <mergeCell ref="Y63:BZ63"/>
    <mergeCell ref="DF63:FH63"/>
    <mergeCell ref="Y64:BZ64"/>
    <mergeCell ref="FP64:GH66"/>
    <mergeCell ref="Q69:BU69"/>
    <mergeCell ref="CH69:CY69"/>
    <mergeCell ref="FP69:GH70"/>
    <mergeCell ref="A70:AF70"/>
    <mergeCell ref="CH70:CY70"/>
    <mergeCell ref="DV70:EW70"/>
    <mergeCell ref="Q67:CB67"/>
    <mergeCell ref="CT67:FC67"/>
    <mergeCell ref="FP67:GH68"/>
    <mergeCell ref="Q68:BU68"/>
    <mergeCell ref="CH68:CY68"/>
    <mergeCell ref="DV68:EW68"/>
    <mergeCell ref="FH73:FT73"/>
    <mergeCell ref="FU73:GH73"/>
    <mergeCell ref="A74:AH74"/>
    <mergeCell ref="AI74:BT74"/>
    <mergeCell ref="BU74:CL74"/>
    <mergeCell ref="CM74:DB74"/>
    <mergeCell ref="DC74:EI74"/>
    <mergeCell ref="A71:AF71"/>
    <mergeCell ref="AO71:BT72"/>
    <mergeCell ref="CH71:CY71"/>
    <mergeCell ref="A73:AH73"/>
    <mergeCell ref="AI73:BT73"/>
    <mergeCell ref="BU73:CL73"/>
    <mergeCell ref="CM73:DB73"/>
    <mergeCell ref="A75:AH75"/>
    <mergeCell ref="AI75:BT75"/>
    <mergeCell ref="BU75:CL75"/>
    <mergeCell ref="CM75:DB75"/>
    <mergeCell ref="DC75:EI75"/>
    <mergeCell ref="EJ75:ET75"/>
    <mergeCell ref="DC73:EI73"/>
    <mergeCell ref="EJ73:ET73"/>
    <mergeCell ref="EU73:FG73"/>
    <mergeCell ref="EU75:FG75"/>
    <mergeCell ref="FH75:FT75"/>
    <mergeCell ref="FU75:GH75"/>
    <mergeCell ref="AS76:AX76"/>
    <mergeCell ref="DB76:DJ76"/>
    <mergeCell ref="EJ76:ET77"/>
    <mergeCell ref="EU76:FT76"/>
    <mergeCell ref="FU76:GH77"/>
    <mergeCell ref="EJ74:ET74"/>
    <mergeCell ref="EU74:FG74"/>
    <mergeCell ref="FH74:FT74"/>
    <mergeCell ref="FU74:GH74"/>
    <mergeCell ref="AA78:AR78"/>
    <mergeCell ref="AY78:BM78"/>
    <mergeCell ref="CS78:DA78"/>
    <mergeCell ref="DK78:DT78"/>
    <mergeCell ref="Q79:AS79"/>
    <mergeCell ref="CF79:DB79"/>
    <mergeCell ref="AA77:AR77"/>
    <mergeCell ref="AS77:AX77"/>
    <mergeCell ref="AY77:BM77"/>
    <mergeCell ref="CS77:DA77"/>
    <mergeCell ref="DB77:DJ77"/>
    <mergeCell ref="DK77:DT77"/>
    <mergeCell ref="FE79:GH79"/>
    <mergeCell ref="A80:G81"/>
    <mergeCell ref="Q80:AS80"/>
    <mergeCell ref="CF80:DB80"/>
    <mergeCell ref="H81:S81"/>
    <mergeCell ref="U81:AE81"/>
    <mergeCell ref="AH81:AX81"/>
    <mergeCell ref="BP81:CO82"/>
    <mergeCell ref="CP81:CZ82"/>
    <mergeCell ref="DC81:DX82"/>
    <mergeCell ref="EB81:EV83"/>
    <mergeCell ref="EX81:GH83"/>
    <mergeCell ref="I82:R83"/>
    <mergeCell ref="U82:AE83"/>
    <mergeCell ref="AH82:AX83"/>
    <mergeCell ref="CP83:CZ84"/>
    <mergeCell ref="DC83:DX84"/>
    <mergeCell ref="A84:S85"/>
    <mergeCell ref="EC84:GH85"/>
    <mergeCell ref="BE85:BM88"/>
    <mergeCell ref="EC86:GH88"/>
    <mergeCell ref="N87:X89"/>
    <mergeCell ref="AA87:AV89"/>
    <mergeCell ref="BY87:CK89"/>
    <mergeCell ref="CM87:CX89"/>
    <mergeCell ref="CZ87:DP89"/>
    <mergeCell ref="DR85:DZ88"/>
    <mergeCell ref="N86:X86"/>
    <mergeCell ref="AA86:AV86"/>
    <mergeCell ref="BY86:CK86"/>
    <mergeCell ref="CM86:CX86"/>
    <mergeCell ref="CZ86:DP86"/>
    <mergeCell ref="A90:GH90"/>
    <mergeCell ref="A91:J92"/>
    <mergeCell ref="K91:AJ92"/>
    <mergeCell ref="AK91:BJ92"/>
    <mergeCell ref="BK91:CL92"/>
    <mergeCell ref="CM91:EA91"/>
    <mergeCell ref="EB91:FD91"/>
    <mergeCell ref="FE91:FS92"/>
    <mergeCell ref="FT91:GH92"/>
    <mergeCell ref="CM92:DT92"/>
    <mergeCell ref="DU92:EA92"/>
    <mergeCell ref="EB92:EP92"/>
    <mergeCell ref="EQ92:FD92"/>
    <mergeCell ref="FT93:GH93"/>
    <mergeCell ref="A94:J94"/>
    <mergeCell ref="K94:AJ94"/>
    <mergeCell ref="AK94:BJ94"/>
    <mergeCell ref="BK94:CL94"/>
    <mergeCell ref="CM94:DT94"/>
    <mergeCell ref="DU94:EA94"/>
    <mergeCell ref="EB94:EP94"/>
    <mergeCell ref="EQ94:FD94"/>
    <mergeCell ref="FE94:FS94"/>
    <mergeCell ref="FT94:GH94"/>
    <mergeCell ref="A93:J93"/>
    <mergeCell ref="K93:AJ93"/>
    <mergeCell ref="AK93:BJ93"/>
    <mergeCell ref="BK93:CL93"/>
    <mergeCell ref="CM93:DT93"/>
    <mergeCell ref="DU93:EA93"/>
    <mergeCell ref="EB93:EP93"/>
    <mergeCell ref="EQ93:FD93"/>
    <mergeCell ref="FE93:FS93"/>
    <mergeCell ref="A95:J95"/>
    <mergeCell ref="K95:AJ95"/>
    <mergeCell ref="AK95:BJ95"/>
    <mergeCell ref="BK95:CL95"/>
    <mergeCell ref="CM95:DT95"/>
    <mergeCell ref="DU95:EA95"/>
    <mergeCell ref="EB95:EP95"/>
    <mergeCell ref="EQ95:FD95"/>
    <mergeCell ref="FE95:FS95"/>
    <mergeCell ref="FT95:GH95"/>
    <mergeCell ref="A97:EO97"/>
    <mergeCell ref="A98:AN98"/>
    <mergeCell ref="AO98:AW98"/>
    <mergeCell ref="AX98:BV98"/>
    <mergeCell ref="BW98:CP101"/>
    <mergeCell ref="CQ98:DQ98"/>
    <mergeCell ref="DR98:EO98"/>
    <mergeCell ref="FF98:GH98"/>
    <mergeCell ref="A99:H101"/>
    <mergeCell ref="I99:P101"/>
    <mergeCell ref="Q99:X101"/>
    <mergeCell ref="Y99:AF101"/>
    <mergeCell ref="AG99:AN101"/>
    <mergeCell ref="AO99:AW99"/>
    <mergeCell ref="AX99:BH101"/>
    <mergeCell ref="BI99:BV101"/>
    <mergeCell ref="CQ99:DC101"/>
    <mergeCell ref="DD99:DQ101"/>
    <mergeCell ref="DR99:EE101"/>
    <mergeCell ref="EF99:EO101"/>
    <mergeCell ref="ER99:GH100"/>
    <mergeCell ref="AO100:AW100"/>
    <mergeCell ref="AO101:AW101"/>
    <mergeCell ref="ER101:GH102"/>
    <mergeCell ref="AX102:BH102"/>
    <mergeCell ref="BI102:BV102"/>
    <mergeCell ref="BW102:CP102"/>
    <mergeCell ref="CQ102:DC102"/>
    <mergeCell ref="DD102:DQ102"/>
    <mergeCell ref="DR102:EE102"/>
    <mergeCell ref="EF102:EO102"/>
    <mergeCell ref="A103:H103"/>
    <mergeCell ref="I103:P103"/>
    <mergeCell ref="Q103:X103"/>
    <mergeCell ref="Y103:AF103"/>
    <mergeCell ref="AG103:AN103"/>
    <mergeCell ref="AO103:AW103"/>
    <mergeCell ref="A102:H102"/>
    <mergeCell ref="I102:P102"/>
    <mergeCell ref="Q102:X102"/>
    <mergeCell ref="Y102:AF102"/>
    <mergeCell ref="AG102:AN102"/>
    <mergeCell ref="AO102:AW102"/>
    <mergeCell ref="EF103:EO103"/>
    <mergeCell ref="ER103:GH104"/>
    <mergeCell ref="DD103:DQ103"/>
    <mergeCell ref="DR103:EE103"/>
    <mergeCell ref="A105:Q108"/>
    <mergeCell ref="R105:Y107"/>
    <mergeCell ref="Z105:AH107"/>
    <mergeCell ref="AI105:AV107"/>
    <mergeCell ref="AW105:BJ107"/>
    <mergeCell ref="BK105:BU107"/>
    <mergeCell ref="BV105:CP106"/>
    <mergeCell ref="CQ105:CY107"/>
    <mergeCell ref="AX103:BH103"/>
    <mergeCell ref="BI103:BV103"/>
    <mergeCell ref="BW103:CP103"/>
    <mergeCell ref="CQ103:DC103"/>
    <mergeCell ref="EE108:GH108"/>
    <mergeCell ref="R108:Y108"/>
    <mergeCell ref="Z108:AH108"/>
    <mergeCell ref="AI108:AV108"/>
    <mergeCell ref="AW108:BJ108"/>
    <mergeCell ref="BK108:BU108"/>
    <mergeCell ref="BV108:CF108"/>
    <mergeCell ref="CZ105:DJ107"/>
    <mergeCell ref="DK105:DS107"/>
    <mergeCell ref="DT105:EB107"/>
    <mergeCell ref="EE105:GH105"/>
    <mergeCell ref="EE106:GH106"/>
    <mergeCell ref="BV107:CF107"/>
    <mergeCell ref="CG107:CP107"/>
    <mergeCell ref="EE107:GH107"/>
    <mergeCell ref="Z109:AH109"/>
    <mergeCell ref="AI109:AV109"/>
    <mergeCell ref="AW109:BJ109"/>
    <mergeCell ref="BK109:BU109"/>
    <mergeCell ref="CG108:CP108"/>
    <mergeCell ref="CQ108:CY108"/>
    <mergeCell ref="CZ108:DJ108"/>
    <mergeCell ref="DK108:DS108"/>
    <mergeCell ref="DT108:EB108"/>
    <mergeCell ref="CQ110:CY110"/>
    <mergeCell ref="CZ110:DJ110"/>
    <mergeCell ref="DK110:DS110"/>
    <mergeCell ref="DT110:EB110"/>
    <mergeCell ref="ET110:FE110"/>
    <mergeCell ref="FH110:GH110"/>
    <mergeCell ref="ET109:FE109"/>
    <mergeCell ref="FH109:GH109"/>
    <mergeCell ref="A110:Q110"/>
    <mergeCell ref="R110:Y110"/>
    <mergeCell ref="Z110:AH110"/>
    <mergeCell ref="AI110:AV110"/>
    <mergeCell ref="AW110:BJ110"/>
    <mergeCell ref="BK110:BU110"/>
    <mergeCell ref="BV110:CF110"/>
    <mergeCell ref="CG110:CP110"/>
    <mergeCell ref="BV109:CF109"/>
    <mergeCell ref="CG109:CP109"/>
    <mergeCell ref="CQ109:CY109"/>
    <mergeCell ref="CZ109:DJ109"/>
    <mergeCell ref="DK109:DS109"/>
    <mergeCell ref="DT109:EB109"/>
    <mergeCell ref="A109:Q109"/>
    <mergeCell ref="R109:Y109"/>
    <mergeCell ref="BV111:CF111"/>
    <mergeCell ref="CG111:CP111"/>
    <mergeCell ref="CQ111:CY111"/>
    <mergeCell ref="CZ111:DJ111"/>
    <mergeCell ref="DK111:DS111"/>
    <mergeCell ref="DT111:EB111"/>
    <mergeCell ref="A111:Q111"/>
    <mergeCell ref="R111:Y111"/>
    <mergeCell ref="Z111:AH111"/>
    <mergeCell ref="AI111:AV111"/>
    <mergeCell ref="AW111:BJ111"/>
    <mergeCell ref="BK111:BU111"/>
  </mergeCells>
  <hyperlinks>
    <hyperlink ref="BD6" r:id="rId1" xr:uid="{00000000-0004-0000-0700-000000000000}"/>
  </hyperlinks>
  <pageMargins left="0.39370078740157483" right="0.19685039370078741" top="0.55118110236220474" bottom="0.15748031496062992" header="0" footer="0"/>
  <pageSetup paperSize="9" scale="74" fitToHeight="2" orientation="landscape" blackAndWhite="1" r:id="rId2"/>
  <rowBreaks count="1" manualBreakCount="1">
    <brk id="51" max="190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92D050"/>
  </sheetPr>
  <dimension ref="A1:GK123"/>
  <sheetViews>
    <sheetView view="pageBreakPreview" topLeftCell="A4" zoomScale="80" zoomScaleNormal="115" zoomScaleSheetLayoutView="80" workbookViewId="0">
      <selection activeCell="BU21" sqref="BU21:DG21"/>
    </sheetView>
  </sheetViews>
  <sheetFormatPr defaultRowHeight="14.4" x14ac:dyDescent="0.3"/>
  <cols>
    <col min="1" max="127" width="1" customWidth="1"/>
    <col min="128" max="128" width="1.109375" customWidth="1"/>
    <col min="129" max="186" width="0.6640625" customWidth="1"/>
    <col min="187" max="187" width="2" customWidth="1"/>
    <col min="188" max="190" width="0.33203125" customWidth="1"/>
    <col min="191" max="191" width="1.33203125" customWidth="1"/>
  </cols>
  <sheetData>
    <row r="1" spans="1:191" ht="12" customHeight="1" x14ac:dyDescent="0.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1" t="s">
        <v>48</v>
      </c>
      <c r="ED1" s="40"/>
      <c r="EE1" s="40"/>
      <c r="EF1" s="40"/>
      <c r="EG1" s="40"/>
      <c r="EH1" s="42"/>
      <c r="EI1" s="42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2"/>
    </row>
    <row r="2" spans="1:191" ht="12" customHeight="1" x14ac:dyDescent="0.3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1" t="s">
        <v>49</v>
      </c>
      <c r="ED2" s="40"/>
      <c r="EE2" s="40"/>
      <c r="EF2" s="40"/>
      <c r="EG2" s="40"/>
      <c r="EH2" s="42"/>
      <c r="EI2" s="42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2"/>
    </row>
    <row r="3" spans="1:191" ht="12" customHeigh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1" t="s">
        <v>50</v>
      </c>
      <c r="ED3" s="40"/>
      <c r="EE3" s="40"/>
      <c r="EF3" s="40"/>
      <c r="EG3" s="40"/>
      <c r="EH3" s="42"/>
      <c r="EI3" s="42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2"/>
    </row>
    <row r="4" spans="1:191" ht="15" thickBot="1" x14ac:dyDescent="0.35">
      <c r="A4" s="40"/>
      <c r="B4" s="40"/>
      <c r="C4" s="40"/>
      <c r="D4" s="43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224" t="s">
        <v>51</v>
      </c>
      <c r="FN4" s="225"/>
      <c r="FO4" s="225"/>
      <c r="FP4" s="225"/>
      <c r="FQ4" s="225"/>
      <c r="FR4" s="225"/>
      <c r="FS4" s="225"/>
      <c r="FT4" s="225"/>
      <c r="FU4" s="225"/>
      <c r="FV4" s="225"/>
      <c r="FW4" s="225"/>
      <c r="FX4" s="225"/>
      <c r="FY4" s="225"/>
      <c r="FZ4" s="225"/>
      <c r="GA4" s="225"/>
      <c r="GB4" s="225"/>
      <c r="GC4" s="225"/>
      <c r="GD4" s="225"/>
      <c r="GE4" s="226"/>
      <c r="GF4" s="40"/>
      <c r="GG4" s="40"/>
      <c r="GH4" s="40"/>
      <c r="GI4" s="42"/>
    </row>
    <row r="5" spans="1:191" x14ac:dyDescent="0.3">
      <c r="A5" s="40"/>
      <c r="B5" s="40"/>
      <c r="C5" s="40"/>
      <c r="D5" s="44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5" t="s">
        <v>52</v>
      </c>
      <c r="EQ5" s="40"/>
      <c r="ER5" s="40"/>
      <c r="ES5" s="42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227" t="s">
        <v>53</v>
      </c>
      <c r="FN5" s="228"/>
      <c r="FO5" s="228"/>
      <c r="FP5" s="228"/>
      <c r="FQ5" s="228"/>
      <c r="FR5" s="228"/>
      <c r="FS5" s="228"/>
      <c r="FT5" s="228"/>
      <c r="FU5" s="228"/>
      <c r="FV5" s="228"/>
      <c r="FW5" s="228"/>
      <c r="FX5" s="228"/>
      <c r="FY5" s="228"/>
      <c r="FZ5" s="228"/>
      <c r="GA5" s="228"/>
      <c r="GB5" s="228"/>
      <c r="GC5" s="228"/>
      <c r="GD5" s="228"/>
      <c r="GE5" s="229"/>
      <c r="GF5" s="40"/>
      <c r="GG5" s="40"/>
      <c r="GH5" s="40"/>
      <c r="GI5" s="42"/>
    </row>
    <row r="6" spans="1:191" ht="17.399999999999999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6" t="s">
        <v>54</v>
      </c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230" t="s">
        <v>55</v>
      </c>
      <c r="DS6" s="230"/>
      <c r="DT6" s="230"/>
      <c r="DU6" s="230"/>
      <c r="DV6" s="230"/>
      <c r="DW6" s="230"/>
      <c r="DX6" s="230"/>
      <c r="DY6" s="230"/>
      <c r="DZ6" s="230"/>
      <c r="EA6" s="230"/>
      <c r="EB6" s="230"/>
      <c r="EC6" s="230"/>
      <c r="ED6" s="230"/>
      <c r="EE6" s="230"/>
      <c r="EF6" s="230"/>
      <c r="EG6" s="230"/>
      <c r="EH6" s="230"/>
      <c r="EI6" s="230"/>
      <c r="EJ6" s="230"/>
      <c r="EK6" s="230"/>
      <c r="EL6" s="230"/>
      <c r="EM6" s="230"/>
      <c r="EN6" s="230"/>
      <c r="EO6" s="230"/>
      <c r="EP6" s="230"/>
      <c r="EQ6" s="230"/>
      <c r="ER6" s="230"/>
      <c r="ES6" s="230"/>
      <c r="ET6" s="230"/>
      <c r="EU6" s="230"/>
      <c r="EV6" s="230"/>
      <c r="EW6" s="230"/>
      <c r="EX6" s="230"/>
      <c r="EY6" s="230"/>
      <c r="EZ6" s="230"/>
      <c r="FA6" s="230"/>
      <c r="FB6" s="230"/>
      <c r="FC6" s="230"/>
      <c r="FD6" s="230"/>
      <c r="FE6" s="230"/>
      <c r="FF6" s="230"/>
      <c r="FG6" s="230"/>
      <c r="FH6" s="40"/>
      <c r="FI6" s="40" t="s">
        <v>56</v>
      </c>
      <c r="FJ6" s="40"/>
      <c r="FK6" s="40"/>
      <c r="FL6" s="40"/>
      <c r="FM6" s="231" t="s">
        <v>326</v>
      </c>
      <c r="FN6" s="232"/>
      <c r="FO6" s="232"/>
      <c r="FP6" s="232"/>
      <c r="FQ6" s="232"/>
      <c r="FR6" s="232"/>
      <c r="FS6" s="232"/>
      <c r="FT6" s="232"/>
      <c r="FU6" s="232"/>
      <c r="FV6" s="232"/>
      <c r="FW6" s="232"/>
      <c r="FX6" s="232"/>
      <c r="FY6" s="232"/>
      <c r="FZ6" s="232"/>
      <c r="GA6" s="232"/>
      <c r="GB6" s="232"/>
      <c r="GC6" s="232"/>
      <c r="GD6" s="232"/>
      <c r="GE6" s="233"/>
      <c r="GF6" s="40"/>
      <c r="GG6" s="40"/>
      <c r="GH6" s="40"/>
      <c r="GI6" s="42"/>
    </row>
    <row r="7" spans="1:191" ht="10.199999999999999" customHeight="1" x14ac:dyDescent="0.3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234" t="s">
        <v>57</v>
      </c>
      <c r="DS7" s="234"/>
      <c r="DT7" s="234"/>
      <c r="DU7" s="234"/>
      <c r="DV7" s="234"/>
      <c r="DW7" s="234"/>
      <c r="DX7" s="234"/>
      <c r="DY7" s="234"/>
      <c r="DZ7" s="234"/>
      <c r="EA7" s="234"/>
      <c r="EB7" s="234"/>
      <c r="EC7" s="234"/>
      <c r="ED7" s="234"/>
      <c r="EE7" s="234"/>
      <c r="EF7" s="234"/>
      <c r="EG7" s="234"/>
      <c r="EH7" s="234"/>
      <c r="EI7" s="234"/>
      <c r="EJ7" s="234"/>
      <c r="EK7" s="234"/>
      <c r="EL7" s="234"/>
      <c r="EM7" s="234"/>
      <c r="EN7" s="234"/>
      <c r="EO7" s="234"/>
      <c r="EP7" s="234"/>
      <c r="EQ7" s="234"/>
      <c r="ER7" s="234"/>
      <c r="ES7" s="234"/>
      <c r="ET7" s="234"/>
      <c r="EU7" s="234"/>
      <c r="EV7" s="234"/>
      <c r="EW7" s="234"/>
      <c r="EX7" s="234"/>
      <c r="EY7" s="234"/>
      <c r="EZ7" s="234"/>
      <c r="FA7" s="234"/>
      <c r="FB7" s="234"/>
      <c r="FC7" s="234"/>
      <c r="FD7" s="234"/>
      <c r="FE7" s="234"/>
      <c r="FF7" s="234"/>
      <c r="FG7" s="234"/>
      <c r="FH7" s="40"/>
      <c r="FI7" s="40"/>
      <c r="FJ7" s="40"/>
      <c r="FK7" s="40"/>
      <c r="FL7" s="40"/>
      <c r="FM7" s="235" t="s">
        <v>91</v>
      </c>
      <c r="FN7" s="236"/>
      <c r="FO7" s="236"/>
      <c r="FP7" s="236"/>
      <c r="FQ7" s="236"/>
      <c r="FR7" s="236"/>
      <c r="FS7" s="239" t="s">
        <v>264</v>
      </c>
      <c r="FT7" s="240"/>
      <c r="FU7" s="240"/>
      <c r="FV7" s="240"/>
      <c r="FW7" s="240"/>
      <c r="FX7" s="240"/>
      <c r="FY7" s="241"/>
      <c r="FZ7" s="236" t="s">
        <v>59</v>
      </c>
      <c r="GA7" s="236"/>
      <c r="GB7" s="236"/>
      <c r="GC7" s="236"/>
      <c r="GD7" s="236"/>
      <c r="GE7" s="245"/>
      <c r="GF7" s="40"/>
      <c r="GG7" s="40"/>
      <c r="GH7" s="40"/>
      <c r="GI7" s="42"/>
    </row>
    <row r="8" spans="1:191" ht="10.199999999999999" customHeigh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7"/>
      <c r="DS8" s="47"/>
      <c r="DT8" s="47"/>
      <c r="DU8" s="47"/>
      <c r="DV8" s="47"/>
      <c r="DW8" s="47"/>
      <c r="DX8" s="47"/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47"/>
      <c r="FC8" s="47"/>
      <c r="FD8" s="47"/>
      <c r="FE8" s="47"/>
      <c r="FF8" s="47"/>
      <c r="FG8" s="47"/>
      <c r="FH8" s="40"/>
      <c r="FI8" s="40"/>
      <c r="FJ8" s="40"/>
      <c r="FK8" s="48" t="s">
        <v>60</v>
      </c>
      <c r="FL8" s="40"/>
      <c r="FM8" s="237"/>
      <c r="FN8" s="238"/>
      <c r="FO8" s="238"/>
      <c r="FP8" s="238"/>
      <c r="FQ8" s="238"/>
      <c r="FR8" s="238"/>
      <c r="FS8" s="242"/>
      <c r="FT8" s="243"/>
      <c r="FU8" s="243"/>
      <c r="FV8" s="243"/>
      <c r="FW8" s="243"/>
      <c r="FX8" s="243"/>
      <c r="FY8" s="244"/>
      <c r="FZ8" s="238"/>
      <c r="GA8" s="238"/>
      <c r="GB8" s="238"/>
      <c r="GC8" s="238"/>
      <c r="GD8" s="238"/>
      <c r="GE8" s="246"/>
      <c r="GF8" s="40"/>
      <c r="GG8" s="40"/>
      <c r="GH8" s="40"/>
      <c r="GI8" s="42"/>
    </row>
    <row r="9" spans="1:191" ht="13.2" customHeight="1" x14ac:dyDescent="0.3">
      <c r="A9" s="40" t="s">
        <v>61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214" t="s">
        <v>332</v>
      </c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  <c r="BX9" s="214"/>
      <c r="BY9" s="214"/>
      <c r="BZ9" s="214"/>
      <c r="CA9" s="214"/>
      <c r="CB9" s="214"/>
      <c r="CC9" s="214"/>
      <c r="CD9" s="214"/>
      <c r="CE9" s="214"/>
      <c r="CF9" s="214"/>
      <c r="CG9" s="214"/>
      <c r="CH9" s="214"/>
      <c r="CI9" s="214"/>
      <c r="CJ9" s="214"/>
      <c r="CK9" s="214"/>
      <c r="CL9" s="214"/>
      <c r="CM9" s="214"/>
      <c r="CN9" s="214"/>
      <c r="CO9" s="214"/>
      <c r="CP9" s="214"/>
      <c r="CQ9" s="214"/>
      <c r="CR9" s="214"/>
      <c r="CS9" s="214"/>
      <c r="CT9" s="214"/>
      <c r="CU9" s="214"/>
      <c r="CV9" s="214"/>
      <c r="CW9" s="214"/>
      <c r="CX9" s="214"/>
      <c r="CY9" s="214"/>
      <c r="CZ9" s="214"/>
      <c r="DA9" s="214"/>
      <c r="DB9" s="214"/>
      <c r="DC9" s="214"/>
      <c r="DD9" s="214"/>
      <c r="DE9" s="214"/>
      <c r="DF9" s="214"/>
      <c r="DG9" s="214"/>
      <c r="DH9" s="214"/>
      <c r="DI9" s="214"/>
      <c r="DJ9" s="214"/>
      <c r="DK9" s="214"/>
      <c r="DL9" s="214"/>
      <c r="DM9" s="214"/>
      <c r="DN9" s="214"/>
      <c r="DO9" s="214"/>
      <c r="DP9" s="214"/>
      <c r="DQ9" s="214"/>
      <c r="DR9" s="214"/>
      <c r="DS9" s="214"/>
      <c r="DT9" s="214"/>
      <c r="DU9" s="214"/>
      <c r="DV9" s="214"/>
      <c r="DW9" s="214"/>
      <c r="DX9" s="214"/>
      <c r="DY9" s="214"/>
      <c r="DZ9" s="214"/>
      <c r="EA9" s="214"/>
      <c r="EB9" s="214"/>
      <c r="EC9" s="214"/>
      <c r="ED9" s="214"/>
      <c r="EE9" s="214"/>
      <c r="EF9" s="214"/>
      <c r="EG9" s="214"/>
      <c r="EH9" s="214"/>
      <c r="EI9" s="214"/>
      <c r="EJ9" s="214"/>
      <c r="EK9" s="214"/>
      <c r="EL9" s="214"/>
      <c r="EM9" s="214"/>
      <c r="EN9" s="214"/>
      <c r="EO9" s="214"/>
      <c r="EP9" s="214"/>
      <c r="EQ9" s="214"/>
      <c r="ER9" s="214"/>
      <c r="ES9" s="214"/>
      <c r="ET9" s="214"/>
      <c r="EU9" s="214"/>
      <c r="EV9" s="214"/>
      <c r="EW9" s="214"/>
      <c r="EX9" s="214"/>
      <c r="EY9" s="214"/>
      <c r="EZ9" s="214"/>
      <c r="FA9" s="215" t="s">
        <v>63</v>
      </c>
      <c r="FB9" s="215"/>
      <c r="FC9" s="215"/>
      <c r="FD9" s="215"/>
      <c r="FE9" s="215"/>
      <c r="FF9" s="215"/>
      <c r="FG9" s="215"/>
      <c r="FH9" s="215"/>
      <c r="FI9" s="215"/>
      <c r="FJ9" s="215"/>
      <c r="FK9" s="215"/>
      <c r="FL9" s="216"/>
      <c r="FM9" s="217"/>
      <c r="FN9" s="218"/>
      <c r="FO9" s="218"/>
      <c r="FP9" s="218"/>
      <c r="FQ9" s="218"/>
      <c r="FR9" s="218"/>
      <c r="FS9" s="218"/>
      <c r="FT9" s="218"/>
      <c r="FU9" s="218"/>
      <c r="FV9" s="218"/>
      <c r="FW9" s="218"/>
      <c r="FX9" s="218"/>
      <c r="FY9" s="218"/>
      <c r="FZ9" s="218"/>
      <c r="GA9" s="218"/>
      <c r="GB9" s="218"/>
      <c r="GC9" s="218"/>
      <c r="GD9" s="218"/>
      <c r="GE9" s="219"/>
      <c r="GF9" s="40"/>
      <c r="GG9" s="40"/>
      <c r="GH9" s="40"/>
      <c r="GI9" s="42"/>
    </row>
    <row r="10" spans="1:191" ht="6.6" customHeight="1" x14ac:dyDescent="0.3">
      <c r="A10" s="42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0"/>
      <c r="V10" s="220" t="s">
        <v>64</v>
      </c>
      <c r="W10" s="220"/>
      <c r="X10" s="220"/>
      <c r="Y10" s="220"/>
      <c r="Z10" s="220"/>
      <c r="AA10" s="220"/>
      <c r="AB10" s="220"/>
      <c r="AC10" s="220"/>
      <c r="AD10" s="220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220"/>
      <c r="CK10" s="220"/>
      <c r="CL10" s="220"/>
      <c r="CM10" s="220"/>
      <c r="CN10" s="220"/>
      <c r="CO10" s="220"/>
      <c r="CP10" s="220"/>
      <c r="CQ10" s="220"/>
      <c r="CR10" s="220"/>
      <c r="CS10" s="220"/>
      <c r="CT10" s="220"/>
      <c r="CU10" s="220"/>
      <c r="CV10" s="220"/>
      <c r="CW10" s="220"/>
      <c r="CX10" s="220"/>
      <c r="CY10" s="220"/>
      <c r="CZ10" s="220"/>
      <c r="DA10" s="220"/>
      <c r="DB10" s="220"/>
      <c r="DC10" s="220"/>
      <c r="DD10" s="220"/>
      <c r="DE10" s="220"/>
      <c r="DF10" s="220"/>
      <c r="DG10" s="220"/>
      <c r="DH10" s="220"/>
      <c r="DI10" s="220"/>
      <c r="DJ10" s="220"/>
      <c r="DK10" s="220"/>
      <c r="DL10" s="220"/>
      <c r="DM10" s="220"/>
      <c r="DN10" s="220"/>
      <c r="DO10" s="220"/>
      <c r="DP10" s="220"/>
      <c r="DQ10" s="220"/>
      <c r="DR10" s="220"/>
      <c r="DS10" s="220"/>
      <c r="DT10" s="220"/>
      <c r="DU10" s="220"/>
      <c r="DV10" s="220"/>
      <c r="DW10" s="220"/>
      <c r="DX10" s="220"/>
      <c r="DY10" s="220"/>
      <c r="DZ10" s="220"/>
      <c r="EA10" s="220"/>
      <c r="EB10" s="220"/>
      <c r="EC10" s="220"/>
      <c r="ED10" s="220"/>
      <c r="EE10" s="220"/>
      <c r="EF10" s="220"/>
      <c r="EG10" s="220"/>
      <c r="EH10" s="220"/>
      <c r="EI10" s="220"/>
      <c r="EJ10" s="220"/>
      <c r="EK10" s="220"/>
      <c r="EL10" s="220"/>
      <c r="EM10" s="220"/>
      <c r="EN10" s="220"/>
      <c r="EO10" s="220"/>
      <c r="EP10" s="220"/>
      <c r="EQ10" s="220"/>
      <c r="ER10" s="220"/>
      <c r="ES10" s="220"/>
      <c r="ET10" s="220"/>
      <c r="EU10" s="220"/>
      <c r="EV10" s="220"/>
      <c r="EW10" s="220"/>
      <c r="EX10" s="220"/>
      <c r="EY10" s="220"/>
      <c r="EZ10" s="220"/>
      <c r="FA10" s="215" t="s">
        <v>63</v>
      </c>
      <c r="FB10" s="215"/>
      <c r="FC10" s="215"/>
      <c r="FD10" s="215"/>
      <c r="FE10" s="215"/>
      <c r="FF10" s="215"/>
      <c r="FG10" s="215"/>
      <c r="FH10" s="215"/>
      <c r="FI10" s="215"/>
      <c r="FJ10" s="215"/>
      <c r="FK10" s="215"/>
      <c r="FL10" s="216"/>
      <c r="FM10" s="221"/>
      <c r="FN10" s="222"/>
      <c r="FO10" s="222"/>
      <c r="FP10" s="222"/>
      <c r="FQ10" s="222"/>
      <c r="FR10" s="222"/>
      <c r="FS10" s="222"/>
      <c r="FT10" s="222"/>
      <c r="FU10" s="222"/>
      <c r="FV10" s="222"/>
      <c r="FW10" s="222"/>
      <c r="FX10" s="222"/>
      <c r="FY10" s="222"/>
      <c r="FZ10" s="222"/>
      <c r="GA10" s="222"/>
      <c r="GB10" s="222"/>
      <c r="GC10" s="222"/>
      <c r="GD10" s="222"/>
      <c r="GE10" s="223"/>
      <c r="GF10" s="40"/>
      <c r="GG10" s="40"/>
      <c r="GH10" s="40"/>
      <c r="GI10" s="42"/>
    </row>
    <row r="11" spans="1:191" ht="12.6" customHeight="1" x14ac:dyDescent="0.3">
      <c r="A11" s="213" t="s">
        <v>65</v>
      </c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4" t="s">
        <v>62</v>
      </c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/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5"/>
      <c r="FB11" s="215"/>
      <c r="FC11" s="215"/>
      <c r="FD11" s="215"/>
      <c r="FE11" s="215"/>
      <c r="FF11" s="215"/>
      <c r="FG11" s="215"/>
      <c r="FH11" s="215"/>
      <c r="FI11" s="215"/>
      <c r="FJ11" s="215"/>
      <c r="FK11" s="215"/>
      <c r="FL11" s="216"/>
      <c r="FM11" s="217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/>
      <c r="GE11" s="219"/>
      <c r="GF11" s="40"/>
      <c r="GG11" s="40"/>
      <c r="GH11" s="40"/>
      <c r="GI11" s="42"/>
    </row>
    <row r="12" spans="1:191" ht="6.6" customHeight="1" x14ac:dyDescent="0.3">
      <c r="A12" s="251" t="s">
        <v>66</v>
      </c>
      <c r="B12" s="251"/>
      <c r="C12" s="251"/>
      <c r="D12" s="251"/>
      <c r="E12" s="251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40"/>
      <c r="Q12" s="40"/>
      <c r="R12" s="40"/>
      <c r="S12" s="40"/>
      <c r="T12" s="40"/>
      <c r="U12" s="40"/>
      <c r="V12" s="252" t="s">
        <v>64</v>
      </c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0"/>
      <c r="DQ12" s="220"/>
      <c r="DR12" s="220"/>
      <c r="DS12" s="220"/>
      <c r="DT12" s="220"/>
      <c r="DU12" s="220"/>
      <c r="DV12" s="220"/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15" t="s">
        <v>63</v>
      </c>
      <c r="FB12" s="215"/>
      <c r="FC12" s="215"/>
      <c r="FD12" s="215"/>
      <c r="FE12" s="215"/>
      <c r="FF12" s="215"/>
      <c r="FG12" s="215"/>
      <c r="FH12" s="215"/>
      <c r="FI12" s="215"/>
      <c r="FJ12" s="215"/>
      <c r="FK12" s="215"/>
      <c r="FL12" s="216"/>
      <c r="FM12" s="221"/>
      <c r="FN12" s="222"/>
      <c r="FO12" s="222"/>
      <c r="FP12" s="222"/>
      <c r="FQ12" s="222"/>
      <c r="FR12" s="222"/>
      <c r="FS12" s="222"/>
      <c r="FT12" s="222"/>
      <c r="FU12" s="222"/>
      <c r="FV12" s="222"/>
      <c r="FW12" s="222"/>
      <c r="FX12" s="222"/>
      <c r="FY12" s="222"/>
      <c r="FZ12" s="222"/>
      <c r="GA12" s="222"/>
      <c r="GB12" s="222"/>
      <c r="GC12" s="222"/>
      <c r="GD12" s="222"/>
      <c r="GE12" s="223"/>
      <c r="GF12" s="40"/>
      <c r="GG12" s="40"/>
      <c r="GH12" s="40"/>
      <c r="GI12" s="42"/>
    </row>
    <row r="13" spans="1:191" ht="12.6" customHeight="1" thickBot="1" x14ac:dyDescent="0.35">
      <c r="A13" s="251"/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6" t="s">
        <v>62</v>
      </c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6"/>
      <c r="FM13" s="253"/>
      <c r="FN13" s="254"/>
      <c r="FO13" s="254"/>
      <c r="FP13" s="254"/>
      <c r="FQ13" s="254"/>
      <c r="FR13" s="254"/>
      <c r="FS13" s="254"/>
      <c r="FT13" s="254"/>
      <c r="FU13" s="254"/>
      <c r="FV13" s="254"/>
      <c r="FW13" s="254"/>
      <c r="FX13" s="254"/>
      <c r="FY13" s="254"/>
      <c r="FZ13" s="254"/>
      <c r="GA13" s="254"/>
      <c r="GB13" s="254"/>
      <c r="GC13" s="254"/>
      <c r="GD13" s="254"/>
      <c r="GE13" s="255"/>
      <c r="GF13" s="40"/>
      <c r="GG13" s="40"/>
      <c r="GH13" s="40"/>
      <c r="GI13" s="42"/>
    </row>
    <row r="14" spans="1:191" ht="7.95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257" t="s">
        <v>67</v>
      </c>
      <c r="W14" s="257"/>
      <c r="X14" s="257"/>
      <c r="Y14" s="257"/>
      <c r="Z14" s="257"/>
      <c r="AA14" s="257"/>
      <c r="AB14" s="257"/>
      <c r="AC14" s="257"/>
      <c r="AD14" s="257"/>
      <c r="AE14" s="257"/>
      <c r="AF14" s="257"/>
      <c r="AG14" s="257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7"/>
      <c r="BI14" s="257"/>
      <c r="BJ14" s="257"/>
      <c r="BK14" s="257"/>
      <c r="BL14" s="257"/>
      <c r="BM14" s="257"/>
      <c r="BN14" s="257"/>
      <c r="BO14" s="257"/>
      <c r="BP14" s="257"/>
      <c r="BQ14" s="257"/>
      <c r="BR14" s="257"/>
      <c r="BS14" s="257"/>
      <c r="BT14" s="257"/>
      <c r="BU14" s="257"/>
      <c r="BV14" s="257"/>
      <c r="BW14" s="257"/>
      <c r="BX14" s="257"/>
      <c r="BY14" s="257"/>
      <c r="BZ14" s="257"/>
      <c r="CA14" s="257"/>
      <c r="CB14" s="257"/>
      <c r="CC14" s="257"/>
      <c r="CD14" s="257"/>
      <c r="CE14" s="257"/>
      <c r="CF14" s="257"/>
      <c r="CG14" s="257"/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  <c r="DI14" s="257"/>
      <c r="DJ14" s="257"/>
      <c r="DK14" s="257"/>
      <c r="DL14" s="257"/>
      <c r="DM14" s="257"/>
      <c r="DN14" s="257"/>
      <c r="DO14" s="257"/>
      <c r="DP14" s="257"/>
      <c r="DQ14" s="257"/>
      <c r="DR14" s="257"/>
      <c r="DS14" s="257"/>
      <c r="DT14" s="257"/>
      <c r="DU14" s="257"/>
      <c r="DV14" s="257"/>
      <c r="DW14" s="257"/>
      <c r="DX14" s="257"/>
      <c r="DY14" s="257"/>
      <c r="DZ14" s="257"/>
      <c r="EA14" s="257"/>
      <c r="EB14" s="257"/>
      <c r="EC14" s="257"/>
      <c r="ED14" s="257"/>
      <c r="EE14" s="257"/>
      <c r="EF14" s="257"/>
      <c r="EG14" s="257"/>
      <c r="EH14" s="257"/>
      <c r="EI14" s="257"/>
      <c r="EJ14" s="257"/>
      <c r="EK14" s="257"/>
      <c r="EL14" s="257"/>
      <c r="EM14" s="257"/>
      <c r="EN14" s="257"/>
      <c r="EO14" s="257"/>
      <c r="EP14" s="257"/>
      <c r="EQ14" s="257"/>
      <c r="ER14" s="257"/>
      <c r="ES14" s="257"/>
      <c r="ET14" s="257"/>
      <c r="EU14" s="257"/>
      <c r="EV14" s="257"/>
      <c r="EW14" s="257"/>
      <c r="EX14" s="257"/>
      <c r="EY14" s="257"/>
      <c r="EZ14" s="257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2"/>
    </row>
    <row r="15" spans="1:191" ht="15" thickBot="1" x14ac:dyDescent="0.35">
      <c r="A15" s="258" t="s">
        <v>68</v>
      </c>
      <c r="B15" s="258"/>
      <c r="C15" s="258"/>
      <c r="D15" s="258"/>
      <c r="E15" s="258"/>
      <c r="F15" s="258"/>
      <c r="G15" s="258"/>
      <c r="H15" s="258"/>
      <c r="I15" s="258"/>
      <c r="J15" s="258"/>
      <c r="K15" s="258"/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  <c r="AB15" s="258"/>
      <c r="AC15" s="258"/>
      <c r="AD15" s="258"/>
      <c r="AE15" s="258"/>
      <c r="AF15" s="258"/>
      <c r="AG15" s="258"/>
      <c r="AH15" s="258"/>
      <c r="AI15" s="258"/>
      <c r="AJ15" s="258"/>
      <c r="AK15" s="258"/>
      <c r="AL15" s="258"/>
      <c r="AM15" s="258"/>
      <c r="AN15" s="258"/>
      <c r="AO15" s="258"/>
      <c r="AP15" s="258"/>
      <c r="AQ15" s="258"/>
      <c r="AR15" s="258"/>
      <c r="AS15" s="258"/>
      <c r="AT15" s="258"/>
      <c r="AU15" s="258"/>
      <c r="AV15" s="258"/>
      <c r="AW15" s="258"/>
      <c r="AX15" s="258"/>
      <c r="AY15" s="258"/>
      <c r="AZ15" s="258"/>
      <c r="BA15" s="258"/>
      <c r="BB15" s="258"/>
      <c r="BC15" s="258"/>
      <c r="BD15" s="258"/>
      <c r="BE15" s="258"/>
      <c r="BF15" s="258"/>
      <c r="BG15" s="258"/>
      <c r="BH15" s="258"/>
      <c r="BI15" s="258"/>
      <c r="BJ15" s="258"/>
      <c r="BK15" s="258"/>
      <c r="BL15" s="258"/>
      <c r="BM15" s="258"/>
      <c r="BN15" s="258"/>
      <c r="BO15" s="258"/>
      <c r="BP15" s="258"/>
      <c r="BQ15" s="258"/>
      <c r="BR15" s="258"/>
      <c r="BS15" s="258"/>
      <c r="BT15" s="258"/>
      <c r="BU15" s="258"/>
      <c r="BV15" s="258"/>
      <c r="BW15" s="258"/>
      <c r="BX15" s="258"/>
      <c r="BY15" s="258"/>
      <c r="BZ15" s="258"/>
      <c r="CA15" s="258"/>
      <c r="CB15" s="258"/>
      <c r="CC15" s="258"/>
      <c r="CD15" s="258"/>
      <c r="CE15" s="258"/>
      <c r="CF15" s="258"/>
      <c r="CG15" s="258"/>
      <c r="CH15" s="258"/>
      <c r="CI15" s="258"/>
      <c r="CJ15" s="258"/>
      <c r="CK15" s="258"/>
      <c r="CL15" s="258"/>
      <c r="CM15" s="258"/>
      <c r="CN15" s="258"/>
      <c r="CO15" s="258"/>
      <c r="CP15" s="258"/>
      <c r="CQ15" s="258"/>
      <c r="CR15" s="258"/>
      <c r="CS15" s="258"/>
      <c r="CT15" s="258"/>
      <c r="CU15" s="258"/>
      <c r="CV15" s="258"/>
      <c r="CW15" s="258"/>
      <c r="CX15" s="258"/>
      <c r="CY15" s="258"/>
      <c r="CZ15" s="258"/>
      <c r="DA15" s="258"/>
      <c r="DB15" s="258"/>
      <c r="DC15" s="258"/>
      <c r="DD15" s="258"/>
      <c r="DE15" s="258"/>
      <c r="DF15" s="258"/>
      <c r="DG15" s="258"/>
      <c r="DH15" s="258"/>
      <c r="DI15" s="258"/>
      <c r="DJ15" s="258"/>
      <c r="DK15" s="258"/>
      <c r="DL15" s="258"/>
      <c r="DM15" s="258"/>
      <c r="DN15" s="258"/>
      <c r="DO15" s="258"/>
      <c r="DP15" s="258"/>
      <c r="DQ15" s="258"/>
      <c r="DR15" s="258"/>
      <c r="DS15" s="258"/>
      <c r="DT15" s="258"/>
      <c r="DU15" s="258"/>
      <c r="DV15" s="258"/>
      <c r="DW15" s="258"/>
      <c r="DX15" s="258"/>
      <c r="DY15" s="258"/>
      <c r="DZ15" s="258"/>
      <c r="EA15" s="258"/>
      <c r="EB15" s="258"/>
      <c r="EC15" s="258"/>
      <c r="ED15" s="258"/>
      <c r="EE15" s="258"/>
      <c r="EF15" s="258"/>
      <c r="EG15" s="258"/>
      <c r="EH15" s="258"/>
      <c r="EI15" s="258"/>
      <c r="EJ15" s="258"/>
      <c r="EK15" s="258"/>
      <c r="EL15" s="258"/>
      <c r="EM15" s="258"/>
      <c r="EN15" s="258"/>
      <c r="EO15" s="258"/>
      <c r="EP15" s="258"/>
      <c r="EQ15" s="258"/>
      <c r="ER15" s="258"/>
      <c r="ES15" s="258"/>
      <c r="ET15" s="258"/>
      <c r="EU15" s="258"/>
      <c r="EV15" s="258"/>
      <c r="EW15" s="258"/>
      <c r="EX15" s="258"/>
      <c r="EY15" s="258"/>
      <c r="EZ15" s="258"/>
      <c r="FA15" s="258"/>
      <c r="FB15" s="258"/>
      <c r="FC15" s="258"/>
      <c r="FD15" s="258"/>
      <c r="FE15" s="258"/>
      <c r="FF15" s="258"/>
      <c r="FG15" s="258"/>
      <c r="FH15" s="258"/>
      <c r="FI15" s="258"/>
      <c r="FJ15" s="258"/>
      <c r="FK15" s="258"/>
      <c r="FL15" s="258"/>
      <c r="FM15" s="258"/>
      <c r="FN15" s="258"/>
      <c r="FO15" s="258"/>
      <c r="FP15" s="258"/>
      <c r="FQ15" s="258"/>
      <c r="FR15" s="258"/>
      <c r="FS15" s="258"/>
      <c r="FT15" s="258"/>
      <c r="FU15" s="258"/>
      <c r="FV15" s="258"/>
      <c r="FW15" s="258"/>
      <c r="FX15" s="258"/>
      <c r="FY15" s="258"/>
      <c r="FZ15" s="258"/>
      <c r="GA15" s="258"/>
      <c r="GB15" s="258"/>
      <c r="GC15" s="258"/>
      <c r="GD15" s="258"/>
      <c r="GE15" s="258"/>
      <c r="GF15" s="40"/>
      <c r="GG15" s="40"/>
      <c r="GH15" s="40"/>
      <c r="GI15" s="42"/>
    </row>
    <row r="16" spans="1:191" ht="28.95" customHeight="1" thickTop="1" x14ac:dyDescent="0.3">
      <c r="A16" s="259" t="s">
        <v>69</v>
      </c>
      <c r="B16" s="248"/>
      <c r="C16" s="248"/>
      <c r="D16" s="248"/>
      <c r="E16" s="248"/>
      <c r="F16" s="248"/>
      <c r="G16" s="248"/>
      <c r="H16" s="248"/>
      <c r="I16" s="248"/>
      <c r="J16" s="248"/>
      <c r="K16" s="248"/>
      <c r="L16" s="259" t="s">
        <v>70</v>
      </c>
      <c r="M16" s="248"/>
      <c r="N16" s="248"/>
      <c r="O16" s="248"/>
      <c r="P16" s="248"/>
      <c r="Q16" s="248"/>
      <c r="R16" s="248"/>
      <c r="S16" s="248"/>
      <c r="T16" s="248"/>
      <c r="U16" s="248"/>
      <c r="V16" s="248"/>
      <c r="W16" s="248"/>
      <c r="X16" s="248"/>
      <c r="Y16" s="248"/>
      <c r="Z16" s="248"/>
      <c r="AA16" s="248"/>
      <c r="AB16" s="248"/>
      <c r="AC16" s="248"/>
      <c r="AD16" s="248"/>
      <c r="AE16" s="249"/>
      <c r="AF16" s="248" t="s">
        <v>71</v>
      </c>
      <c r="AG16" s="248"/>
      <c r="AH16" s="248"/>
      <c r="AI16" s="248"/>
      <c r="AJ16" s="248"/>
      <c r="AK16" s="248"/>
      <c r="AL16" s="248"/>
      <c r="AM16" s="248"/>
      <c r="AN16" s="248"/>
      <c r="AO16" s="248"/>
      <c r="AP16" s="248"/>
      <c r="AQ16" s="248"/>
      <c r="AR16" s="249"/>
      <c r="AS16" s="259" t="s">
        <v>72</v>
      </c>
      <c r="AT16" s="248"/>
      <c r="AU16" s="248"/>
      <c r="AV16" s="248"/>
      <c r="AW16" s="248"/>
      <c r="AX16" s="248"/>
      <c r="AY16" s="248"/>
      <c r="AZ16" s="248"/>
      <c r="BA16" s="248"/>
      <c r="BB16" s="248"/>
      <c r="BC16" s="248"/>
      <c r="BD16" s="249"/>
      <c r="BE16" s="248" t="s">
        <v>73</v>
      </c>
      <c r="BF16" s="248"/>
      <c r="BG16" s="248"/>
      <c r="BH16" s="248"/>
      <c r="BI16" s="248"/>
      <c r="BJ16" s="248"/>
      <c r="BK16" s="248"/>
      <c r="BL16" s="248"/>
      <c r="BM16" s="248"/>
      <c r="BN16" s="248"/>
      <c r="BO16" s="248"/>
      <c r="BP16" s="248"/>
      <c r="BQ16" s="248"/>
      <c r="BR16" s="248"/>
      <c r="BS16" s="248"/>
      <c r="BT16" s="250"/>
      <c r="BU16" s="247" t="s">
        <v>74</v>
      </c>
      <c r="BV16" s="248"/>
      <c r="BW16" s="248"/>
      <c r="BX16" s="248"/>
      <c r="BY16" s="248"/>
      <c r="BZ16" s="248"/>
      <c r="CA16" s="248"/>
      <c r="CB16" s="248"/>
      <c r="CC16" s="248"/>
      <c r="CD16" s="248"/>
      <c r="CE16" s="248"/>
      <c r="CF16" s="248"/>
      <c r="CG16" s="248"/>
      <c r="CH16" s="248"/>
      <c r="CI16" s="248"/>
      <c r="CJ16" s="248"/>
      <c r="CK16" s="248"/>
      <c r="CL16" s="248"/>
      <c r="CM16" s="248"/>
      <c r="CN16" s="248"/>
      <c r="CO16" s="248"/>
      <c r="CP16" s="248"/>
      <c r="CQ16" s="248"/>
      <c r="CR16" s="248"/>
      <c r="CS16" s="248"/>
      <c r="CT16" s="248"/>
      <c r="CU16" s="248"/>
      <c r="CV16" s="248"/>
      <c r="CW16" s="248"/>
      <c r="CX16" s="248"/>
      <c r="CY16" s="248"/>
      <c r="CZ16" s="248"/>
      <c r="DA16" s="248"/>
      <c r="DB16" s="248"/>
      <c r="DC16" s="248"/>
      <c r="DD16" s="248"/>
      <c r="DE16" s="248"/>
      <c r="DF16" s="248"/>
      <c r="DG16" s="250"/>
      <c r="DH16" s="247" t="s">
        <v>75</v>
      </c>
      <c r="DI16" s="248"/>
      <c r="DJ16" s="248"/>
      <c r="DK16" s="248"/>
      <c r="DL16" s="248"/>
      <c r="DM16" s="248"/>
      <c r="DN16" s="248"/>
      <c r="DO16" s="248"/>
      <c r="DP16" s="248"/>
      <c r="DQ16" s="248"/>
      <c r="DR16" s="250"/>
      <c r="DS16" s="247" t="s">
        <v>43</v>
      </c>
      <c r="DT16" s="248"/>
      <c r="DU16" s="248"/>
      <c r="DV16" s="248"/>
      <c r="DW16" s="248"/>
      <c r="DX16" s="248"/>
      <c r="DY16" s="248"/>
      <c r="DZ16" s="248"/>
      <c r="EA16" s="248"/>
      <c r="EB16" s="248"/>
      <c r="EC16" s="250"/>
      <c r="ED16" s="247">
        <v>2</v>
      </c>
      <c r="EE16" s="248"/>
      <c r="EF16" s="248"/>
      <c r="EG16" s="248"/>
      <c r="EH16" s="248"/>
      <c r="EI16" s="248"/>
      <c r="EJ16" s="248"/>
      <c r="EK16" s="248"/>
      <c r="EL16" s="248"/>
      <c r="EM16" s="248"/>
      <c r="EN16" s="249"/>
      <c r="EO16" s="248" t="s">
        <v>288</v>
      </c>
      <c r="EP16" s="248"/>
      <c r="EQ16" s="248"/>
      <c r="ER16" s="248"/>
      <c r="ES16" s="248"/>
      <c r="ET16" s="248"/>
      <c r="EU16" s="248"/>
      <c r="EV16" s="248"/>
      <c r="EW16" s="248"/>
      <c r="EX16" s="248"/>
      <c r="EY16" s="248"/>
      <c r="EZ16" s="248"/>
      <c r="FA16" s="248"/>
      <c r="FB16" s="250"/>
      <c r="FC16" s="247" t="s">
        <v>76</v>
      </c>
      <c r="FD16" s="248"/>
      <c r="FE16" s="248"/>
      <c r="FF16" s="248"/>
      <c r="FG16" s="248"/>
      <c r="FH16" s="248"/>
      <c r="FI16" s="248"/>
      <c r="FJ16" s="248"/>
      <c r="FK16" s="248"/>
      <c r="FL16" s="248"/>
      <c r="FM16" s="250"/>
      <c r="FN16" s="247" t="s">
        <v>77</v>
      </c>
      <c r="FO16" s="248"/>
      <c r="FP16" s="248"/>
      <c r="FQ16" s="248"/>
      <c r="FR16" s="248"/>
      <c r="FS16" s="248"/>
      <c r="FT16" s="248"/>
      <c r="FU16" s="248"/>
      <c r="FV16" s="248"/>
      <c r="FW16" s="248"/>
      <c r="FX16" s="248"/>
      <c r="FY16" s="248"/>
      <c r="FZ16" s="248"/>
      <c r="GA16" s="248"/>
      <c r="GB16" s="248"/>
      <c r="GC16" s="248"/>
      <c r="GD16" s="248"/>
      <c r="GE16" s="249"/>
      <c r="GF16" s="40"/>
      <c r="GG16" s="40"/>
      <c r="GH16" s="40"/>
      <c r="GI16" s="42"/>
    </row>
    <row r="17" spans="1:192" ht="9" customHeight="1" thickBot="1" x14ac:dyDescent="0.35">
      <c r="A17" s="264">
        <v>1</v>
      </c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4">
        <v>2</v>
      </c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261"/>
      <c r="Z17" s="261"/>
      <c r="AA17" s="261"/>
      <c r="AB17" s="261"/>
      <c r="AC17" s="261"/>
      <c r="AD17" s="261"/>
      <c r="AE17" s="263"/>
      <c r="AF17" s="261">
        <v>3</v>
      </c>
      <c r="AG17" s="261"/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3"/>
      <c r="AS17" s="264">
        <v>4</v>
      </c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3"/>
      <c r="BE17" s="261">
        <v>5</v>
      </c>
      <c r="BF17" s="261"/>
      <c r="BG17" s="261"/>
      <c r="BH17" s="261"/>
      <c r="BI17" s="261"/>
      <c r="BJ17" s="261"/>
      <c r="BK17" s="261"/>
      <c r="BL17" s="261"/>
      <c r="BM17" s="261"/>
      <c r="BN17" s="261"/>
      <c r="BO17" s="261"/>
      <c r="BP17" s="261"/>
      <c r="BQ17" s="261"/>
      <c r="BR17" s="261"/>
      <c r="BS17" s="261"/>
      <c r="BT17" s="262"/>
      <c r="BU17" s="260">
        <v>6</v>
      </c>
      <c r="BV17" s="261"/>
      <c r="BW17" s="261"/>
      <c r="BX17" s="261"/>
      <c r="BY17" s="261"/>
      <c r="BZ17" s="261"/>
      <c r="CA17" s="261"/>
      <c r="CB17" s="261"/>
      <c r="CC17" s="261"/>
      <c r="CD17" s="261"/>
      <c r="CE17" s="261"/>
      <c r="CF17" s="261"/>
      <c r="CG17" s="261"/>
      <c r="CH17" s="261"/>
      <c r="CI17" s="261"/>
      <c r="CJ17" s="261"/>
      <c r="CK17" s="261"/>
      <c r="CL17" s="261"/>
      <c r="CM17" s="261"/>
      <c r="CN17" s="261"/>
      <c r="CO17" s="261"/>
      <c r="CP17" s="261"/>
      <c r="CQ17" s="261"/>
      <c r="CR17" s="261"/>
      <c r="CS17" s="261"/>
      <c r="CT17" s="261"/>
      <c r="CU17" s="261"/>
      <c r="CV17" s="261"/>
      <c r="CW17" s="261"/>
      <c r="CX17" s="261"/>
      <c r="CY17" s="261"/>
      <c r="CZ17" s="261"/>
      <c r="DA17" s="261"/>
      <c r="DB17" s="261"/>
      <c r="DC17" s="261"/>
      <c r="DD17" s="261"/>
      <c r="DE17" s="261"/>
      <c r="DF17" s="261"/>
      <c r="DG17" s="262"/>
      <c r="DH17" s="260">
        <v>7</v>
      </c>
      <c r="DI17" s="261"/>
      <c r="DJ17" s="261"/>
      <c r="DK17" s="261"/>
      <c r="DL17" s="261"/>
      <c r="DM17" s="261"/>
      <c r="DN17" s="261"/>
      <c r="DO17" s="261"/>
      <c r="DP17" s="261"/>
      <c r="DQ17" s="261"/>
      <c r="DR17" s="262"/>
      <c r="DS17" s="260">
        <v>8</v>
      </c>
      <c r="DT17" s="261"/>
      <c r="DU17" s="261"/>
      <c r="DV17" s="261"/>
      <c r="DW17" s="261"/>
      <c r="DX17" s="261"/>
      <c r="DY17" s="261"/>
      <c r="DZ17" s="261"/>
      <c r="EA17" s="261"/>
      <c r="EB17" s="261"/>
      <c r="EC17" s="262"/>
      <c r="ED17" s="260">
        <v>9</v>
      </c>
      <c r="EE17" s="261"/>
      <c r="EF17" s="261"/>
      <c r="EG17" s="261"/>
      <c r="EH17" s="261"/>
      <c r="EI17" s="261"/>
      <c r="EJ17" s="261"/>
      <c r="EK17" s="261"/>
      <c r="EL17" s="261"/>
      <c r="EM17" s="261"/>
      <c r="EN17" s="263"/>
      <c r="EO17" s="261">
        <v>10</v>
      </c>
      <c r="EP17" s="261"/>
      <c r="EQ17" s="261"/>
      <c r="ER17" s="261"/>
      <c r="ES17" s="261"/>
      <c r="ET17" s="261"/>
      <c r="EU17" s="261"/>
      <c r="EV17" s="261"/>
      <c r="EW17" s="261"/>
      <c r="EX17" s="261"/>
      <c r="EY17" s="261"/>
      <c r="EZ17" s="261"/>
      <c r="FA17" s="261"/>
      <c r="FB17" s="262"/>
      <c r="FC17" s="260">
        <v>11</v>
      </c>
      <c r="FD17" s="261"/>
      <c r="FE17" s="261"/>
      <c r="FF17" s="261"/>
      <c r="FG17" s="261"/>
      <c r="FH17" s="261"/>
      <c r="FI17" s="261"/>
      <c r="FJ17" s="261"/>
      <c r="FK17" s="261"/>
      <c r="FL17" s="261"/>
      <c r="FM17" s="262"/>
      <c r="FN17" s="260">
        <v>12</v>
      </c>
      <c r="FO17" s="261"/>
      <c r="FP17" s="261"/>
      <c r="FQ17" s="261"/>
      <c r="FR17" s="261"/>
      <c r="FS17" s="261"/>
      <c r="FT17" s="261"/>
      <c r="FU17" s="261"/>
      <c r="FV17" s="261"/>
      <c r="FW17" s="261"/>
      <c r="FX17" s="261"/>
      <c r="FY17" s="261"/>
      <c r="FZ17" s="261"/>
      <c r="GA17" s="261"/>
      <c r="GB17" s="261"/>
      <c r="GC17" s="261"/>
      <c r="GD17" s="261"/>
      <c r="GE17" s="263"/>
      <c r="GF17" s="40"/>
      <c r="GG17" s="40"/>
      <c r="GH17" s="40"/>
      <c r="GI17" s="42"/>
    </row>
    <row r="18" spans="1:192" ht="24.6" customHeight="1" thickBot="1" x14ac:dyDescent="0.35">
      <c r="A18" s="272" t="s">
        <v>78</v>
      </c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  <c r="AR18" s="270"/>
      <c r="AS18" s="273">
        <v>1</v>
      </c>
      <c r="AT18" s="273"/>
      <c r="AU18" s="273"/>
      <c r="AV18" s="273"/>
      <c r="AW18" s="273"/>
      <c r="AX18" s="273"/>
      <c r="AY18" s="273"/>
      <c r="AZ18" s="273"/>
      <c r="BA18" s="273"/>
      <c r="BB18" s="273"/>
      <c r="BC18" s="273"/>
      <c r="BD18" s="273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607" t="s">
        <v>311</v>
      </c>
      <c r="BV18" s="608" t="s">
        <v>79</v>
      </c>
      <c r="BW18" s="608" t="s">
        <v>79</v>
      </c>
      <c r="BX18" s="608" t="s">
        <v>79</v>
      </c>
      <c r="BY18" s="608" t="s">
        <v>79</v>
      </c>
      <c r="BZ18" s="608" t="s">
        <v>79</v>
      </c>
      <c r="CA18" s="608" t="s">
        <v>79</v>
      </c>
      <c r="CB18" s="608" t="s">
        <v>79</v>
      </c>
      <c r="CC18" s="608" t="s">
        <v>79</v>
      </c>
      <c r="CD18" s="608" t="s">
        <v>79</v>
      </c>
      <c r="CE18" s="608" t="s">
        <v>79</v>
      </c>
      <c r="CF18" s="608" t="s">
        <v>79</v>
      </c>
      <c r="CG18" s="608" t="s">
        <v>79</v>
      </c>
      <c r="CH18" s="608" t="s">
        <v>79</v>
      </c>
      <c r="CI18" s="608" t="s">
        <v>79</v>
      </c>
      <c r="CJ18" s="608" t="s">
        <v>79</v>
      </c>
      <c r="CK18" s="608" t="s">
        <v>79</v>
      </c>
      <c r="CL18" s="608" t="s">
        <v>79</v>
      </c>
      <c r="CM18" s="608" t="s">
        <v>79</v>
      </c>
      <c r="CN18" s="608" t="s">
        <v>79</v>
      </c>
      <c r="CO18" s="608" t="s">
        <v>79</v>
      </c>
      <c r="CP18" s="608" t="s">
        <v>79</v>
      </c>
      <c r="CQ18" s="608" t="s">
        <v>79</v>
      </c>
      <c r="CR18" s="608" t="s">
        <v>79</v>
      </c>
      <c r="CS18" s="608" t="s">
        <v>79</v>
      </c>
      <c r="CT18" s="608" t="s">
        <v>79</v>
      </c>
      <c r="CU18" s="608" t="s">
        <v>79</v>
      </c>
      <c r="CV18" s="608" t="s">
        <v>79</v>
      </c>
      <c r="CW18" s="608" t="s">
        <v>79</v>
      </c>
      <c r="CX18" s="608" t="s">
        <v>79</v>
      </c>
      <c r="CY18" s="608" t="s">
        <v>79</v>
      </c>
      <c r="CZ18" s="608" t="s">
        <v>79</v>
      </c>
      <c r="DA18" s="608" t="s">
        <v>79</v>
      </c>
      <c r="DB18" s="608" t="s">
        <v>79</v>
      </c>
      <c r="DC18" s="608" t="s">
        <v>79</v>
      </c>
      <c r="DD18" s="608" t="s">
        <v>79</v>
      </c>
      <c r="DE18" s="608" t="s">
        <v>79</v>
      </c>
      <c r="DF18" s="608" t="s">
        <v>79</v>
      </c>
      <c r="DG18" s="609" t="s">
        <v>79</v>
      </c>
      <c r="DH18" s="265" t="s">
        <v>312</v>
      </c>
      <c r="DI18" s="265"/>
      <c r="DJ18" s="265"/>
      <c r="DK18" s="265"/>
      <c r="DL18" s="265"/>
      <c r="DM18" s="265"/>
      <c r="DN18" s="265"/>
      <c r="DO18" s="265"/>
      <c r="DP18" s="265"/>
      <c r="DQ18" s="265"/>
      <c r="DR18" s="265"/>
      <c r="DS18" s="266"/>
      <c r="DT18" s="266"/>
      <c r="DU18" s="266"/>
      <c r="DV18" s="266"/>
      <c r="DW18" s="266"/>
      <c r="DX18" s="266"/>
      <c r="DY18" s="266"/>
      <c r="DZ18" s="266"/>
      <c r="EA18" s="266"/>
      <c r="EB18" s="266"/>
      <c r="EC18" s="266"/>
      <c r="ED18" s="266">
        <v>1</v>
      </c>
      <c r="EE18" s="266"/>
      <c r="EF18" s="266"/>
      <c r="EG18" s="266"/>
      <c r="EH18" s="266"/>
      <c r="EI18" s="266"/>
      <c r="EJ18" s="266"/>
      <c r="EK18" s="266"/>
      <c r="EL18" s="266"/>
      <c r="EM18" s="266"/>
      <c r="EN18" s="266"/>
      <c r="EO18" s="267">
        <v>16.5</v>
      </c>
      <c r="EP18" s="267"/>
      <c r="EQ18" s="267"/>
      <c r="ER18" s="267"/>
      <c r="ES18" s="267"/>
      <c r="ET18" s="267"/>
      <c r="EU18" s="267"/>
      <c r="EV18" s="267"/>
      <c r="EW18" s="267"/>
      <c r="EX18" s="267"/>
      <c r="EY18" s="267"/>
      <c r="EZ18" s="267"/>
      <c r="FA18" s="267"/>
      <c r="FB18" s="267"/>
      <c r="FC18" s="269"/>
      <c r="FD18" s="269"/>
      <c r="FE18" s="269"/>
      <c r="FF18" s="269"/>
      <c r="FG18" s="269"/>
      <c r="FH18" s="269"/>
      <c r="FI18" s="269"/>
      <c r="FJ18" s="269"/>
      <c r="FK18" s="269"/>
      <c r="FL18" s="269"/>
      <c r="FM18" s="269"/>
      <c r="FN18" s="270"/>
      <c r="FO18" s="270"/>
      <c r="FP18" s="270"/>
      <c r="FQ18" s="270"/>
      <c r="FR18" s="270"/>
      <c r="FS18" s="270"/>
      <c r="FT18" s="270"/>
      <c r="FU18" s="270"/>
      <c r="FV18" s="270"/>
      <c r="FW18" s="270"/>
      <c r="FX18" s="270"/>
      <c r="FY18" s="270"/>
      <c r="FZ18" s="270"/>
      <c r="GA18" s="270"/>
      <c r="GB18" s="270"/>
      <c r="GC18" s="270"/>
      <c r="GD18" s="270"/>
      <c r="GE18" s="271"/>
      <c r="GF18" s="40"/>
      <c r="GG18" s="40"/>
      <c r="GH18" s="40"/>
      <c r="GI18" s="42"/>
      <c r="GJ18">
        <f>AS18*0.6</f>
        <v>0.6</v>
      </c>
    </row>
    <row r="19" spans="1:192" ht="27" customHeight="1" thickBot="1" x14ac:dyDescent="0.35">
      <c r="A19" s="279" t="s">
        <v>81</v>
      </c>
      <c r="B19" s="277"/>
      <c r="C19" s="277"/>
      <c r="D19" s="277"/>
      <c r="E19" s="277"/>
      <c r="F19" s="277"/>
      <c r="G19" s="277"/>
      <c r="H19" s="277"/>
      <c r="I19" s="277"/>
      <c r="J19" s="277"/>
      <c r="K19" s="277"/>
      <c r="L19" s="277"/>
      <c r="M19" s="277"/>
      <c r="N19" s="277"/>
      <c r="O19" s="277"/>
      <c r="P19" s="277"/>
      <c r="Q19" s="277"/>
      <c r="R19" s="277"/>
      <c r="S19" s="277"/>
      <c r="T19" s="277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80"/>
      <c r="AT19" s="280"/>
      <c r="AU19" s="280"/>
      <c r="AV19" s="280"/>
      <c r="AW19" s="280"/>
      <c r="AX19" s="280"/>
      <c r="AY19" s="280"/>
      <c r="AZ19" s="280"/>
      <c r="BA19" s="280"/>
      <c r="BB19" s="280"/>
      <c r="BC19" s="280"/>
      <c r="BD19" s="280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610"/>
      <c r="BV19" s="611"/>
      <c r="BW19" s="611"/>
      <c r="BX19" s="611"/>
      <c r="BY19" s="611"/>
      <c r="BZ19" s="611"/>
      <c r="CA19" s="611"/>
      <c r="CB19" s="611"/>
      <c r="CC19" s="611"/>
      <c r="CD19" s="611"/>
      <c r="CE19" s="611"/>
      <c r="CF19" s="611"/>
      <c r="CG19" s="611"/>
      <c r="CH19" s="611"/>
      <c r="CI19" s="611"/>
      <c r="CJ19" s="611"/>
      <c r="CK19" s="611"/>
      <c r="CL19" s="611"/>
      <c r="CM19" s="611"/>
      <c r="CN19" s="611"/>
      <c r="CO19" s="611"/>
      <c r="CP19" s="611"/>
      <c r="CQ19" s="611"/>
      <c r="CR19" s="611"/>
      <c r="CS19" s="611"/>
      <c r="CT19" s="611"/>
      <c r="CU19" s="611"/>
      <c r="CV19" s="611"/>
      <c r="CW19" s="611"/>
      <c r="CX19" s="611"/>
      <c r="CY19" s="611"/>
      <c r="CZ19" s="611"/>
      <c r="DA19" s="611"/>
      <c r="DB19" s="611"/>
      <c r="DC19" s="611"/>
      <c r="DD19" s="611"/>
      <c r="DE19" s="611"/>
      <c r="DF19" s="611"/>
      <c r="DG19" s="612"/>
      <c r="DH19" s="285"/>
      <c r="DI19" s="286"/>
      <c r="DJ19" s="286"/>
      <c r="DK19" s="286"/>
      <c r="DL19" s="286"/>
      <c r="DM19" s="286"/>
      <c r="DN19" s="286"/>
      <c r="DO19" s="286"/>
      <c r="DP19" s="286"/>
      <c r="DQ19" s="286"/>
      <c r="DR19" s="287"/>
      <c r="DS19" s="284"/>
      <c r="DT19" s="284"/>
      <c r="DU19" s="284"/>
      <c r="DV19" s="284"/>
      <c r="DW19" s="284"/>
      <c r="DX19" s="284"/>
      <c r="DY19" s="284"/>
      <c r="DZ19" s="284"/>
      <c r="EA19" s="284"/>
      <c r="EB19" s="284"/>
      <c r="EC19" s="284"/>
      <c r="ED19" s="284"/>
      <c r="EE19" s="284"/>
      <c r="EF19" s="284"/>
      <c r="EG19" s="284"/>
      <c r="EH19" s="284"/>
      <c r="EI19" s="284"/>
      <c r="EJ19" s="284"/>
      <c r="EK19" s="284"/>
      <c r="EL19" s="284"/>
      <c r="EM19" s="284"/>
      <c r="EN19" s="284"/>
      <c r="EO19" s="267"/>
      <c r="EP19" s="267"/>
      <c r="EQ19" s="267"/>
      <c r="ER19" s="267"/>
      <c r="ES19" s="267"/>
      <c r="ET19" s="267"/>
      <c r="EU19" s="267"/>
      <c r="EV19" s="267"/>
      <c r="EW19" s="267"/>
      <c r="EX19" s="267"/>
      <c r="EY19" s="267"/>
      <c r="EZ19" s="267"/>
      <c r="FA19" s="267"/>
      <c r="FB19" s="267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77"/>
      <c r="FO19" s="277"/>
      <c r="FP19" s="277"/>
      <c r="FQ19" s="277"/>
      <c r="FR19" s="277"/>
      <c r="FS19" s="277"/>
      <c r="FT19" s="277"/>
      <c r="FU19" s="277"/>
      <c r="FV19" s="277"/>
      <c r="FW19" s="277"/>
      <c r="FX19" s="277"/>
      <c r="FY19" s="277"/>
      <c r="FZ19" s="277"/>
      <c r="GA19" s="277"/>
      <c r="GB19" s="277"/>
      <c r="GC19" s="277"/>
      <c r="GD19" s="277"/>
      <c r="GE19" s="278"/>
      <c r="GF19" s="40"/>
      <c r="GG19" s="40"/>
      <c r="GH19" s="40"/>
      <c r="GI19" s="42"/>
      <c r="GJ19">
        <f>AS19*1.5</f>
        <v>0</v>
      </c>
    </row>
    <row r="20" spans="1:192" ht="22.2" customHeight="1" thickBot="1" x14ac:dyDescent="0.35">
      <c r="A20" s="279" t="s">
        <v>82</v>
      </c>
      <c r="B20" s="277"/>
      <c r="C20" s="277"/>
      <c r="D20" s="277"/>
      <c r="E20" s="277"/>
      <c r="F20" s="277"/>
      <c r="G20" s="277"/>
      <c r="H20" s="277"/>
      <c r="I20" s="277"/>
      <c r="J20" s="277"/>
      <c r="K20" s="277"/>
      <c r="L20" s="277"/>
      <c r="M20" s="277"/>
      <c r="N20" s="277"/>
      <c r="O20" s="277"/>
      <c r="P20" s="277"/>
      <c r="Q20" s="277"/>
      <c r="R20" s="277"/>
      <c r="S20" s="277"/>
      <c r="T20" s="277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80"/>
      <c r="AT20" s="280"/>
      <c r="AU20" s="280"/>
      <c r="AV20" s="280"/>
      <c r="AW20" s="280"/>
      <c r="AX20" s="280"/>
      <c r="AY20" s="280"/>
      <c r="AZ20" s="280"/>
      <c r="BA20" s="280"/>
      <c r="BB20" s="280"/>
      <c r="BC20" s="280"/>
      <c r="BD20" s="280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610"/>
      <c r="BV20" s="611"/>
      <c r="BW20" s="611"/>
      <c r="BX20" s="611"/>
      <c r="BY20" s="611"/>
      <c r="BZ20" s="611"/>
      <c r="CA20" s="611"/>
      <c r="CB20" s="611"/>
      <c r="CC20" s="611"/>
      <c r="CD20" s="611"/>
      <c r="CE20" s="611"/>
      <c r="CF20" s="611"/>
      <c r="CG20" s="611"/>
      <c r="CH20" s="611"/>
      <c r="CI20" s="611"/>
      <c r="CJ20" s="611"/>
      <c r="CK20" s="611"/>
      <c r="CL20" s="611"/>
      <c r="CM20" s="611"/>
      <c r="CN20" s="611"/>
      <c r="CO20" s="611"/>
      <c r="CP20" s="611"/>
      <c r="CQ20" s="611"/>
      <c r="CR20" s="611"/>
      <c r="CS20" s="611"/>
      <c r="CT20" s="611"/>
      <c r="CU20" s="611"/>
      <c r="CV20" s="611"/>
      <c r="CW20" s="611"/>
      <c r="CX20" s="611"/>
      <c r="CY20" s="611"/>
      <c r="CZ20" s="611"/>
      <c r="DA20" s="611"/>
      <c r="DB20" s="611"/>
      <c r="DC20" s="611"/>
      <c r="DD20" s="611"/>
      <c r="DE20" s="611"/>
      <c r="DF20" s="611"/>
      <c r="DG20" s="612"/>
      <c r="DH20" s="285"/>
      <c r="DI20" s="286"/>
      <c r="DJ20" s="286"/>
      <c r="DK20" s="286"/>
      <c r="DL20" s="286"/>
      <c r="DM20" s="286"/>
      <c r="DN20" s="286"/>
      <c r="DO20" s="286"/>
      <c r="DP20" s="286"/>
      <c r="DQ20" s="286"/>
      <c r="DR20" s="287"/>
      <c r="DS20" s="284"/>
      <c r="DT20" s="284"/>
      <c r="DU20" s="284"/>
      <c r="DV20" s="284"/>
      <c r="DW20" s="284"/>
      <c r="DX20" s="284"/>
      <c r="DY20" s="284"/>
      <c r="DZ20" s="284"/>
      <c r="EA20" s="284"/>
      <c r="EB20" s="284"/>
      <c r="EC20" s="284"/>
      <c r="ED20" s="284"/>
      <c r="EE20" s="284"/>
      <c r="EF20" s="284"/>
      <c r="EG20" s="284"/>
      <c r="EH20" s="284"/>
      <c r="EI20" s="284"/>
      <c r="EJ20" s="284"/>
      <c r="EK20" s="284"/>
      <c r="EL20" s="284"/>
      <c r="EM20" s="284"/>
      <c r="EN20" s="284"/>
      <c r="EO20" s="267"/>
      <c r="EP20" s="267"/>
      <c r="EQ20" s="267"/>
      <c r="ER20" s="267"/>
      <c r="ES20" s="267"/>
      <c r="ET20" s="267"/>
      <c r="EU20" s="267"/>
      <c r="EV20" s="267"/>
      <c r="EW20" s="267"/>
      <c r="EX20" s="267"/>
      <c r="EY20" s="267"/>
      <c r="EZ20" s="267"/>
      <c r="FA20" s="267"/>
      <c r="FB20" s="267"/>
      <c r="FC20" s="268"/>
      <c r="FD20" s="268"/>
      <c r="FE20" s="268"/>
      <c r="FF20" s="268"/>
      <c r="FG20" s="268"/>
      <c r="FH20" s="268"/>
      <c r="FI20" s="268"/>
      <c r="FJ20" s="268"/>
      <c r="FK20" s="268"/>
      <c r="FL20" s="268"/>
      <c r="FM20" s="268"/>
      <c r="FN20" s="277"/>
      <c r="FO20" s="277"/>
      <c r="FP20" s="277"/>
      <c r="FQ20" s="277"/>
      <c r="FR20" s="277"/>
      <c r="FS20" s="277"/>
      <c r="FT20" s="277"/>
      <c r="FU20" s="277"/>
      <c r="FV20" s="277"/>
      <c r="FW20" s="277"/>
      <c r="FX20" s="277"/>
      <c r="FY20" s="277"/>
      <c r="FZ20" s="277"/>
      <c r="GA20" s="277"/>
      <c r="GB20" s="277"/>
      <c r="GC20" s="277"/>
      <c r="GD20" s="277"/>
      <c r="GE20" s="278"/>
      <c r="GF20" s="40"/>
      <c r="GG20" s="40"/>
      <c r="GH20" s="40"/>
      <c r="GI20" s="42"/>
      <c r="GJ20">
        <f>AS20*2</f>
        <v>0</v>
      </c>
    </row>
    <row r="21" spans="1:192" ht="24" customHeight="1" thickBot="1" x14ac:dyDescent="0.35">
      <c r="A21" s="279" t="s">
        <v>83</v>
      </c>
      <c r="B21" s="277"/>
      <c r="C21" s="277"/>
      <c r="D21" s="277"/>
      <c r="E21" s="277"/>
      <c r="F21" s="277"/>
      <c r="G21" s="277"/>
      <c r="H21" s="277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80"/>
      <c r="AT21" s="280"/>
      <c r="AU21" s="280"/>
      <c r="AV21" s="280"/>
      <c r="AW21" s="280"/>
      <c r="AX21" s="280"/>
      <c r="AY21" s="280"/>
      <c r="AZ21" s="280"/>
      <c r="BA21" s="280"/>
      <c r="BB21" s="280"/>
      <c r="BC21" s="280"/>
      <c r="BD21" s="280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610"/>
      <c r="BV21" s="611"/>
      <c r="BW21" s="611"/>
      <c r="BX21" s="611"/>
      <c r="BY21" s="611"/>
      <c r="BZ21" s="611"/>
      <c r="CA21" s="611"/>
      <c r="CB21" s="611"/>
      <c r="CC21" s="611"/>
      <c r="CD21" s="611"/>
      <c r="CE21" s="611"/>
      <c r="CF21" s="611"/>
      <c r="CG21" s="611"/>
      <c r="CH21" s="611"/>
      <c r="CI21" s="611"/>
      <c r="CJ21" s="611"/>
      <c r="CK21" s="611"/>
      <c r="CL21" s="611"/>
      <c r="CM21" s="611"/>
      <c r="CN21" s="611"/>
      <c r="CO21" s="611"/>
      <c r="CP21" s="611"/>
      <c r="CQ21" s="611"/>
      <c r="CR21" s="611"/>
      <c r="CS21" s="611"/>
      <c r="CT21" s="611"/>
      <c r="CU21" s="611"/>
      <c r="CV21" s="611"/>
      <c r="CW21" s="611"/>
      <c r="CX21" s="611"/>
      <c r="CY21" s="611"/>
      <c r="CZ21" s="611"/>
      <c r="DA21" s="611"/>
      <c r="DB21" s="611"/>
      <c r="DC21" s="611"/>
      <c r="DD21" s="611"/>
      <c r="DE21" s="611"/>
      <c r="DF21" s="611"/>
      <c r="DG21" s="612"/>
      <c r="DH21" s="285"/>
      <c r="DI21" s="286"/>
      <c r="DJ21" s="286"/>
      <c r="DK21" s="286"/>
      <c r="DL21" s="286"/>
      <c r="DM21" s="286"/>
      <c r="DN21" s="286"/>
      <c r="DO21" s="286"/>
      <c r="DP21" s="286"/>
      <c r="DQ21" s="286"/>
      <c r="DR21" s="287"/>
      <c r="DS21" s="284"/>
      <c r="DT21" s="284"/>
      <c r="DU21" s="284"/>
      <c r="DV21" s="284"/>
      <c r="DW21" s="284"/>
      <c r="DX21" s="284"/>
      <c r="DY21" s="284"/>
      <c r="DZ21" s="284"/>
      <c r="EA21" s="284"/>
      <c r="EB21" s="284"/>
      <c r="EC21" s="284"/>
      <c r="ED21" s="284"/>
      <c r="EE21" s="284"/>
      <c r="EF21" s="284"/>
      <c r="EG21" s="284"/>
      <c r="EH21" s="284"/>
      <c r="EI21" s="284"/>
      <c r="EJ21" s="284"/>
      <c r="EK21" s="284"/>
      <c r="EL21" s="284"/>
      <c r="EM21" s="284"/>
      <c r="EN21" s="284"/>
      <c r="EO21" s="267"/>
      <c r="EP21" s="267"/>
      <c r="EQ21" s="267"/>
      <c r="ER21" s="267"/>
      <c r="ES21" s="267"/>
      <c r="ET21" s="267"/>
      <c r="EU21" s="267"/>
      <c r="EV21" s="267"/>
      <c r="EW21" s="267"/>
      <c r="EX21" s="267"/>
      <c r="EY21" s="267"/>
      <c r="EZ21" s="267"/>
      <c r="FA21" s="267"/>
      <c r="FB21" s="267"/>
      <c r="FC21" s="268"/>
      <c r="FD21" s="268"/>
      <c r="FE21" s="268"/>
      <c r="FF21" s="268"/>
      <c r="FG21" s="268"/>
      <c r="FH21" s="268"/>
      <c r="FI21" s="268"/>
      <c r="FJ21" s="268"/>
      <c r="FK21" s="268"/>
      <c r="FL21" s="268"/>
      <c r="FM21" s="268"/>
      <c r="FN21" s="277"/>
      <c r="FO21" s="277"/>
      <c r="FP21" s="277"/>
      <c r="FQ21" s="277"/>
      <c r="FR21" s="277"/>
      <c r="FS21" s="277"/>
      <c r="FT21" s="277"/>
      <c r="FU21" s="277"/>
      <c r="FV21" s="277"/>
      <c r="FW21" s="277"/>
      <c r="FX21" s="277"/>
      <c r="FY21" s="277"/>
      <c r="FZ21" s="277"/>
      <c r="GA21" s="277"/>
      <c r="GB21" s="277"/>
      <c r="GC21" s="277"/>
      <c r="GD21" s="277"/>
      <c r="GE21" s="278"/>
      <c r="GF21" s="40"/>
      <c r="GG21" s="40"/>
      <c r="GH21" s="40"/>
      <c r="GI21" s="42"/>
      <c r="GJ21">
        <f>AS21*0.6</f>
        <v>0</v>
      </c>
    </row>
    <row r="22" spans="1:192" ht="18.600000000000001" customHeight="1" thickBot="1" x14ac:dyDescent="0.35">
      <c r="A22" s="279" t="s">
        <v>84</v>
      </c>
      <c r="B22" s="277"/>
      <c r="C22" s="277"/>
      <c r="D22" s="277"/>
      <c r="E22" s="277"/>
      <c r="F22" s="277"/>
      <c r="G22" s="277"/>
      <c r="H22" s="277"/>
      <c r="I22" s="277"/>
      <c r="J22" s="277"/>
      <c r="K22" s="277"/>
      <c r="L22" s="277"/>
      <c r="M22" s="277"/>
      <c r="N22" s="277"/>
      <c r="O22" s="277"/>
      <c r="P22" s="277"/>
      <c r="Q22" s="277"/>
      <c r="R22" s="277"/>
      <c r="S22" s="277"/>
      <c r="T22" s="277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80"/>
      <c r="AT22" s="280"/>
      <c r="AU22" s="280"/>
      <c r="AV22" s="280"/>
      <c r="AW22" s="280"/>
      <c r="AX22" s="280"/>
      <c r="AY22" s="280"/>
      <c r="AZ22" s="280"/>
      <c r="BA22" s="280"/>
      <c r="BB22" s="280"/>
      <c r="BC22" s="280"/>
      <c r="BD22" s="280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613"/>
      <c r="BV22" s="614"/>
      <c r="BW22" s="614"/>
      <c r="BX22" s="614"/>
      <c r="BY22" s="614"/>
      <c r="BZ22" s="614"/>
      <c r="CA22" s="614"/>
      <c r="CB22" s="614"/>
      <c r="CC22" s="614"/>
      <c r="CD22" s="614"/>
      <c r="CE22" s="614"/>
      <c r="CF22" s="614"/>
      <c r="CG22" s="614"/>
      <c r="CH22" s="614"/>
      <c r="CI22" s="614"/>
      <c r="CJ22" s="614"/>
      <c r="CK22" s="614"/>
      <c r="CL22" s="614"/>
      <c r="CM22" s="614"/>
      <c r="CN22" s="614"/>
      <c r="CO22" s="614"/>
      <c r="CP22" s="614"/>
      <c r="CQ22" s="614"/>
      <c r="CR22" s="614"/>
      <c r="CS22" s="614"/>
      <c r="CT22" s="614"/>
      <c r="CU22" s="614"/>
      <c r="CV22" s="614"/>
      <c r="CW22" s="614"/>
      <c r="CX22" s="614"/>
      <c r="CY22" s="614"/>
      <c r="CZ22" s="614"/>
      <c r="DA22" s="614"/>
      <c r="DB22" s="614"/>
      <c r="DC22" s="614"/>
      <c r="DD22" s="614"/>
      <c r="DE22" s="614"/>
      <c r="DF22" s="614"/>
      <c r="DG22" s="615"/>
      <c r="DH22" s="285"/>
      <c r="DI22" s="286"/>
      <c r="DJ22" s="286"/>
      <c r="DK22" s="286"/>
      <c r="DL22" s="286"/>
      <c r="DM22" s="286"/>
      <c r="DN22" s="286"/>
      <c r="DO22" s="286"/>
      <c r="DP22" s="286"/>
      <c r="DQ22" s="286"/>
      <c r="DR22" s="287"/>
      <c r="DS22" s="284"/>
      <c r="DT22" s="284"/>
      <c r="DU22" s="284"/>
      <c r="DV22" s="284"/>
      <c r="DW22" s="284"/>
      <c r="DX22" s="284"/>
      <c r="DY22" s="284"/>
      <c r="DZ22" s="284"/>
      <c r="EA22" s="284"/>
      <c r="EB22" s="284"/>
      <c r="EC22" s="284"/>
      <c r="ED22" s="284"/>
      <c r="EE22" s="284"/>
      <c r="EF22" s="284"/>
      <c r="EG22" s="284"/>
      <c r="EH22" s="284"/>
      <c r="EI22" s="284"/>
      <c r="EJ22" s="284"/>
      <c r="EK22" s="284"/>
      <c r="EL22" s="284"/>
      <c r="EM22" s="284"/>
      <c r="EN22" s="284"/>
      <c r="EO22" s="267"/>
      <c r="EP22" s="267"/>
      <c r="EQ22" s="267"/>
      <c r="ER22" s="267"/>
      <c r="ES22" s="267"/>
      <c r="ET22" s="267"/>
      <c r="EU22" s="267"/>
      <c r="EV22" s="267"/>
      <c r="EW22" s="267"/>
      <c r="EX22" s="267"/>
      <c r="EY22" s="267"/>
      <c r="EZ22" s="267"/>
      <c r="FA22" s="267"/>
      <c r="FB22" s="267"/>
      <c r="FC22" s="268"/>
      <c r="FD22" s="268"/>
      <c r="FE22" s="268"/>
      <c r="FF22" s="268"/>
      <c r="FG22" s="268"/>
      <c r="FH22" s="268"/>
      <c r="FI22" s="268"/>
      <c r="FJ22" s="268"/>
      <c r="FK22" s="268"/>
      <c r="FL22" s="268"/>
      <c r="FM22" s="268"/>
      <c r="FN22" s="277"/>
      <c r="FO22" s="277"/>
      <c r="FP22" s="277"/>
      <c r="FQ22" s="277"/>
      <c r="FR22" s="277"/>
      <c r="FS22" s="277"/>
      <c r="FT22" s="277"/>
      <c r="FU22" s="277"/>
      <c r="FV22" s="277"/>
      <c r="FW22" s="277"/>
      <c r="FX22" s="277"/>
      <c r="FY22" s="277"/>
      <c r="FZ22" s="277"/>
      <c r="GA22" s="277"/>
      <c r="GB22" s="277"/>
      <c r="GC22" s="277"/>
      <c r="GD22" s="277"/>
      <c r="GE22" s="278"/>
      <c r="GF22" s="40"/>
      <c r="GG22" s="40"/>
      <c r="GH22" s="40"/>
      <c r="GI22" s="42"/>
      <c r="GJ22">
        <f>AS22*3.1</f>
        <v>0</v>
      </c>
    </row>
    <row r="23" spans="1:192" ht="18.600000000000001" customHeight="1" thickBot="1" x14ac:dyDescent="0.35">
      <c r="A23" s="279" t="s">
        <v>85</v>
      </c>
      <c r="B23" s="277"/>
      <c r="C23" s="277"/>
      <c r="D23" s="277"/>
      <c r="E23" s="277"/>
      <c r="F23" s="277"/>
      <c r="G23" s="277"/>
      <c r="H23" s="277"/>
      <c r="I23" s="277"/>
      <c r="J23" s="277"/>
      <c r="K23" s="277"/>
      <c r="L23" s="277"/>
      <c r="M23" s="277"/>
      <c r="N23" s="277"/>
      <c r="O23" s="277"/>
      <c r="P23" s="277"/>
      <c r="Q23" s="277"/>
      <c r="R23" s="277"/>
      <c r="S23" s="277"/>
      <c r="T23" s="277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80"/>
      <c r="AT23" s="280"/>
      <c r="AU23" s="280"/>
      <c r="AV23" s="280"/>
      <c r="AW23" s="280"/>
      <c r="AX23" s="280"/>
      <c r="AY23" s="280"/>
      <c r="AZ23" s="280"/>
      <c r="BA23" s="280"/>
      <c r="BB23" s="280"/>
      <c r="BC23" s="280"/>
      <c r="BD23" s="280"/>
      <c r="BE23" s="268"/>
      <c r="BF23" s="268"/>
      <c r="BG23" s="268"/>
      <c r="BH23" s="268"/>
      <c r="BI23" s="268"/>
      <c r="BJ23" s="268"/>
      <c r="BK23" s="268"/>
      <c r="BL23" s="268"/>
      <c r="BM23" s="268"/>
      <c r="BN23" s="268"/>
      <c r="BO23" s="268"/>
      <c r="BP23" s="268"/>
      <c r="BQ23" s="268"/>
      <c r="BR23" s="268"/>
      <c r="BS23" s="268"/>
      <c r="BT23" s="268"/>
      <c r="BU23" s="289"/>
      <c r="BV23" s="290"/>
      <c r="BW23" s="290"/>
      <c r="BX23" s="290"/>
      <c r="BY23" s="290"/>
      <c r="BZ23" s="290"/>
      <c r="CA23" s="290"/>
      <c r="CB23" s="290"/>
      <c r="CC23" s="290"/>
      <c r="CD23" s="290"/>
      <c r="CE23" s="290"/>
      <c r="CF23" s="290"/>
      <c r="CG23" s="290"/>
      <c r="CH23" s="290"/>
      <c r="CI23" s="290"/>
      <c r="CJ23" s="290"/>
      <c r="CK23" s="290"/>
      <c r="CL23" s="290"/>
      <c r="CM23" s="290"/>
      <c r="CN23" s="290"/>
      <c r="CO23" s="290"/>
      <c r="CP23" s="290"/>
      <c r="CQ23" s="290"/>
      <c r="CR23" s="290"/>
      <c r="CS23" s="290"/>
      <c r="CT23" s="290"/>
      <c r="CU23" s="290"/>
      <c r="CV23" s="290"/>
      <c r="CW23" s="290"/>
      <c r="CX23" s="290"/>
      <c r="CY23" s="290"/>
      <c r="CZ23" s="290"/>
      <c r="DA23" s="290"/>
      <c r="DB23" s="290"/>
      <c r="DC23" s="290"/>
      <c r="DD23" s="290"/>
      <c r="DE23" s="290"/>
      <c r="DF23" s="290"/>
      <c r="DG23" s="291"/>
      <c r="DH23" s="285"/>
      <c r="DI23" s="286"/>
      <c r="DJ23" s="286"/>
      <c r="DK23" s="286"/>
      <c r="DL23" s="286"/>
      <c r="DM23" s="286"/>
      <c r="DN23" s="286"/>
      <c r="DO23" s="286"/>
      <c r="DP23" s="286"/>
      <c r="DQ23" s="286"/>
      <c r="DR23" s="287"/>
      <c r="DS23" s="284"/>
      <c r="DT23" s="284"/>
      <c r="DU23" s="284"/>
      <c r="DV23" s="284"/>
      <c r="DW23" s="284"/>
      <c r="DX23" s="284"/>
      <c r="DY23" s="284"/>
      <c r="DZ23" s="284"/>
      <c r="EA23" s="284"/>
      <c r="EB23" s="284"/>
      <c r="EC23" s="284"/>
      <c r="ED23" s="284"/>
      <c r="EE23" s="284"/>
      <c r="EF23" s="284"/>
      <c r="EG23" s="284"/>
      <c r="EH23" s="284"/>
      <c r="EI23" s="284"/>
      <c r="EJ23" s="284"/>
      <c r="EK23" s="284"/>
      <c r="EL23" s="284"/>
      <c r="EM23" s="284"/>
      <c r="EN23" s="284"/>
      <c r="EO23" s="288"/>
      <c r="EP23" s="288"/>
      <c r="EQ23" s="288"/>
      <c r="ER23" s="288"/>
      <c r="ES23" s="288"/>
      <c r="ET23" s="288"/>
      <c r="EU23" s="288"/>
      <c r="EV23" s="288"/>
      <c r="EW23" s="288"/>
      <c r="EX23" s="288"/>
      <c r="EY23" s="288"/>
      <c r="EZ23" s="288"/>
      <c r="FA23" s="288"/>
      <c r="FB23" s="288"/>
      <c r="FC23" s="268"/>
      <c r="FD23" s="268"/>
      <c r="FE23" s="268"/>
      <c r="FF23" s="268"/>
      <c r="FG23" s="268"/>
      <c r="FH23" s="268"/>
      <c r="FI23" s="268"/>
      <c r="FJ23" s="268"/>
      <c r="FK23" s="268"/>
      <c r="FL23" s="268"/>
      <c r="FM23" s="268"/>
      <c r="FN23" s="277"/>
      <c r="FO23" s="277"/>
      <c r="FP23" s="277"/>
      <c r="FQ23" s="277"/>
      <c r="FR23" s="277"/>
      <c r="FS23" s="277"/>
      <c r="FT23" s="277"/>
      <c r="FU23" s="277"/>
      <c r="FV23" s="277"/>
      <c r="FW23" s="277"/>
      <c r="FX23" s="277"/>
      <c r="FY23" s="277"/>
      <c r="FZ23" s="277"/>
      <c r="GA23" s="277"/>
      <c r="GB23" s="277"/>
      <c r="GC23" s="277"/>
      <c r="GD23" s="277"/>
      <c r="GE23" s="278"/>
      <c r="GF23" s="40"/>
      <c r="GG23" s="40"/>
      <c r="GH23" s="40"/>
      <c r="GI23" s="42"/>
      <c r="GJ23">
        <f>AS23*1.46</f>
        <v>0</v>
      </c>
    </row>
    <row r="24" spans="1:192" ht="18.600000000000001" customHeight="1" thickBot="1" x14ac:dyDescent="0.35">
      <c r="A24" s="279" t="s">
        <v>86</v>
      </c>
      <c r="B24" s="277"/>
      <c r="C24" s="277"/>
      <c r="D24" s="277"/>
      <c r="E24" s="277"/>
      <c r="F24" s="277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80"/>
      <c r="AT24" s="280"/>
      <c r="AU24" s="280"/>
      <c r="AV24" s="280"/>
      <c r="AW24" s="280"/>
      <c r="AX24" s="280"/>
      <c r="AY24" s="280"/>
      <c r="AZ24" s="280"/>
      <c r="BA24" s="280"/>
      <c r="BB24" s="280"/>
      <c r="BC24" s="280"/>
      <c r="BD24" s="280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89"/>
      <c r="BV24" s="290"/>
      <c r="BW24" s="290"/>
      <c r="BX24" s="290"/>
      <c r="BY24" s="290"/>
      <c r="BZ24" s="290"/>
      <c r="CA24" s="290"/>
      <c r="CB24" s="290"/>
      <c r="CC24" s="290"/>
      <c r="CD24" s="290"/>
      <c r="CE24" s="290"/>
      <c r="CF24" s="290"/>
      <c r="CG24" s="290"/>
      <c r="CH24" s="290"/>
      <c r="CI24" s="290"/>
      <c r="CJ24" s="290"/>
      <c r="CK24" s="290"/>
      <c r="CL24" s="290"/>
      <c r="CM24" s="290"/>
      <c r="CN24" s="290"/>
      <c r="CO24" s="290"/>
      <c r="CP24" s="290"/>
      <c r="CQ24" s="290"/>
      <c r="CR24" s="290"/>
      <c r="CS24" s="290"/>
      <c r="CT24" s="290"/>
      <c r="CU24" s="290"/>
      <c r="CV24" s="290"/>
      <c r="CW24" s="290"/>
      <c r="CX24" s="290"/>
      <c r="CY24" s="290"/>
      <c r="CZ24" s="290"/>
      <c r="DA24" s="290"/>
      <c r="DB24" s="290"/>
      <c r="DC24" s="290"/>
      <c r="DD24" s="290"/>
      <c r="DE24" s="290"/>
      <c r="DF24" s="290"/>
      <c r="DG24" s="291"/>
      <c r="DH24" s="285"/>
      <c r="DI24" s="286"/>
      <c r="DJ24" s="286"/>
      <c r="DK24" s="286"/>
      <c r="DL24" s="286"/>
      <c r="DM24" s="286"/>
      <c r="DN24" s="286"/>
      <c r="DO24" s="286"/>
      <c r="DP24" s="286"/>
      <c r="DQ24" s="286"/>
      <c r="DR24" s="287"/>
      <c r="DS24" s="284"/>
      <c r="DT24" s="284"/>
      <c r="DU24" s="284"/>
      <c r="DV24" s="284"/>
      <c r="DW24" s="284"/>
      <c r="DX24" s="284"/>
      <c r="DY24" s="284"/>
      <c r="DZ24" s="284"/>
      <c r="EA24" s="284"/>
      <c r="EB24" s="284"/>
      <c r="EC24" s="284"/>
      <c r="ED24" s="284"/>
      <c r="EE24" s="284"/>
      <c r="EF24" s="284"/>
      <c r="EG24" s="284"/>
      <c r="EH24" s="284"/>
      <c r="EI24" s="284"/>
      <c r="EJ24" s="284"/>
      <c r="EK24" s="284"/>
      <c r="EL24" s="284"/>
      <c r="EM24" s="284"/>
      <c r="EN24" s="284"/>
      <c r="EO24" s="288"/>
      <c r="EP24" s="288"/>
      <c r="EQ24" s="288"/>
      <c r="ER24" s="288"/>
      <c r="ES24" s="288"/>
      <c r="ET24" s="288"/>
      <c r="EU24" s="288"/>
      <c r="EV24" s="288"/>
      <c r="EW24" s="288"/>
      <c r="EX24" s="288"/>
      <c r="EY24" s="288"/>
      <c r="EZ24" s="288"/>
      <c r="FA24" s="288"/>
      <c r="FB24" s="288"/>
      <c r="FC24" s="268"/>
      <c r="FD24" s="268"/>
      <c r="FE24" s="268"/>
      <c r="FF24" s="268"/>
      <c r="FG24" s="268"/>
      <c r="FH24" s="268"/>
      <c r="FI24" s="268"/>
      <c r="FJ24" s="268"/>
      <c r="FK24" s="268"/>
      <c r="FL24" s="268"/>
      <c r="FM24" s="268"/>
      <c r="FN24" s="277"/>
      <c r="FO24" s="277"/>
      <c r="FP24" s="277"/>
      <c r="FQ24" s="277"/>
      <c r="FR24" s="277"/>
      <c r="FS24" s="277"/>
      <c r="FT24" s="277"/>
      <c r="FU24" s="277"/>
      <c r="FV24" s="277"/>
      <c r="FW24" s="277"/>
      <c r="FX24" s="277"/>
      <c r="FY24" s="277"/>
      <c r="FZ24" s="277"/>
      <c r="GA24" s="277"/>
      <c r="GB24" s="277"/>
      <c r="GC24" s="277"/>
      <c r="GD24" s="277"/>
      <c r="GE24" s="278"/>
      <c r="GF24" s="40"/>
      <c r="GG24" s="40"/>
      <c r="GH24" s="40"/>
      <c r="GI24" s="42"/>
      <c r="GJ24">
        <f>AS24*1.2</f>
        <v>0</v>
      </c>
    </row>
    <row r="25" spans="1:192" ht="18.600000000000001" customHeight="1" thickBot="1" x14ac:dyDescent="0.35">
      <c r="A25" s="279" t="s">
        <v>87</v>
      </c>
      <c r="B25" s="277"/>
      <c r="C25" s="277"/>
      <c r="D25" s="27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80"/>
      <c r="AT25" s="280"/>
      <c r="AU25" s="280"/>
      <c r="AV25" s="280"/>
      <c r="AW25" s="280"/>
      <c r="AX25" s="280"/>
      <c r="AY25" s="280"/>
      <c r="AZ25" s="280"/>
      <c r="BA25" s="280"/>
      <c r="BB25" s="280"/>
      <c r="BC25" s="280"/>
      <c r="BD25" s="280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89"/>
      <c r="BV25" s="290"/>
      <c r="BW25" s="290"/>
      <c r="BX25" s="290"/>
      <c r="BY25" s="290"/>
      <c r="BZ25" s="290"/>
      <c r="CA25" s="290"/>
      <c r="CB25" s="290"/>
      <c r="CC25" s="290"/>
      <c r="CD25" s="290"/>
      <c r="CE25" s="290"/>
      <c r="CF25" s="290"/>
      <c r="CG25" s="290"/>
      <c r="CH25" s="290"/>
      <c r="CI25" s="290"/>
      <c r="CJ25" s="290"/>
      <c r="CK25" s="290"/>
      <c r="CL25" s="290"/>
      <c r="CM25" s="290"/>
      <c r="CN25" s="290"/>
      <c r="CO25" s="290"/>
      <c r="CP25" s="290"/>
      <c r="CQ25" s="290"/>
      <c r="CR25" s="290"/>
      <c r="CS25" s="290"/>
      <c r="CT25" s="290"/>
      <c r="CU25" s="290"/>
      <c r="CV25" s="290"/>
      <c r="CW25" s="290"/>
      <c r="CX25" s="290"/>
      <c r="CY25" s="290"/>
      <c r="CZ25" s="290"/>
      <c r="DA25" s="290"/>
      <c r="DB25" s="290"/>
      <c r="DC25" s="290"/>
      <c r="DD25" s="290"/>
      <c r="DE25" s="290"/>
      <c r="DF25" s="290"/>
      <c r="DG25" s="291"/>
      <c r="DH25" s="285"/>
      <c r="DI25" s="286"/>
      <c r="DJ25" s="286"/>
      <c r="DK25" s="286"/>
      <c r="DL25" s="286"/>
      <c r="DM25" s="286"/>
      <c r="DN25" s="286"/>
      <c r="DO25" s="286"/>
      <c r="DP25" s="286"/>
      <c r="DQ25" s="286"/>
      <c r="DR25" s="287"/>
      <c r="DS25" s="284"/>
      <c r="DT25" s="284"/>
      <c r="DU25" s="284"/>
      <c r="DV25" s="284"/>
      <c r="DW25" s="284"/>
      <c r="DX25" s="284"/>
      <c r="DY25" s="284"/>
      <c r="DZ25" s="284"/>
      <c r="EA25" s="284"/>
      <c r="EB25" s="284"/>
      <c r="EC25" s="284"/>
      <c r="ED25" s="284"/>
      <c r="EE25" s="284"/>
      <c r="EF25" s="284"/>
      <c r="EG25" s="284"/>
      <c r="EH25" s="284"/>
      <c r="EI25" s="284"/>
      <c r="EJ25" s="284"/>
      <c r="EK25" s="284"/>
      <c r="EL25" s="284"/>
      <c r="EM25" s="284"/>
      <c r="EN25" s="284"/>
      <c r="EO25" s="288"/>
      <c r="EP25" s="288"/>
      <c r="EQ25" s="288"/>
      <c r="ER25" s="288"/>
      <c r="ES25" s="288"/>
      <c r="ET25" s="288"/>
      <c r="EU25" s="288"/>
      <c r="EV25" s="288"/>
      <c r="EW25" s="288"/>
      <c r="EX25" s="288"/>
      <c r="EY25" s="288"/>
      <c r="EZ25" s="288"/>
      <c r="FA25" s="288"/>
      <c r="FB25" s="288"/>
      <c r="FC25" s="268"/>
      <c r="FD25" s="268"/>
      <c r="FE25" s="268"/>
      <c r="FF25" s="268"/>
      <c r="FG25" s="268"/>
      <c r="FH25" s="268"/>
      <c r="FI25" s="268"/>
      <c r="FJ25" s="268"/>
      <c r="FK25" s="268"/>
      <c r="FL25" s="268"/>
      <c r="FM25" s="268"/>
      <c r="FN25" s="277"/>
      <c r="FO25" s="277"/>
      <c r="FP25" s="277"/>
      <c r="FQ25" s="277"/>
      <c r="FR25" s="277"/>
      <c r="FS25" s="277"/>
      <c r="FT25" s="277"/>
      <c r="FU25" s="277"/>
      <c r="FV25" s="277"/>
      <c r="FW25" s="277"/>
      <c r="FX25" s="277"/>
      <c r="FY25" s="277"/>
      <c r="FZ25" s="277"/>
      <c r="GA25" s="277"/>
      <c r="GB25" s="277"/>
      <c r="GC25" s="277"/>
      <c r="GD25" s="277"/>
      <c r="GE25" s="278"/>
      <c r="GF25" s="40"/>
      <c r="GG25" s="40"/>
      <c r="GH25" s="40"/>
      <c r="GI25" s="42"/>
      <c r="GJ25">
        <f>AS25*1.2</f>
        <v>0</v>
      </c>
    </row>
    <row r="26" spans="1:192" ht="18.600000000000001" customHeight="1" thickBot="1" x14ac:dyDescent="0.35">
      <c r="A26" s="279" t="s">
        <v>88</v>
      </c>
      <c r="B26" s="277"/>
      <c r="C26" s="277"/>
      <c r="D26" s="277"/>
      <c r="E26" s="277"/>
      <c r="F26" s="277"/>
      <c r="G26" s="277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80"/>
      <c r="AT26" s="280"/>
      <c r="AU26" s="280"/>
      <c r="AV26" s="280"/>
      <c r="AW26" s="280"/>
      <c r="AX26" s="280"/>
      <c r="AY26" s="280"/>
      <c r="AZ26" s="280"/>
      <c r="BA26" s="280"/>
      <c r="BB26" s="280"/>
      <c r="BC26" s="280"/>
      <c r="BD26" s="280"/>
      <c r="BE26" s="268"/>
      <c r="BF26" s="268"/>
      <c r="BG26" s="268"/>
      <c r="BH26" s="268"/>
      <c r="BI26" s="268"/>
      <c r="BJ26" s="268"/>
      <c r="BK26" s="268"/>
      <c r="BL26" s="268"/>
      <c r="BM26" s="268"/>
      <c r="BN26" s="268"/>
      <c r="BO26" s="268"/>
      <c r="BP26" s="268"/>
      <c r="BQ26" s="268"/>
      <c r="BR26" s="268"/>
      <c r="BS26" s="268"/>
      <c r="BT26" s="268"/>
      <c r="BU26" s="289"/>
      <c r="BV26" s="290"/>
      <c r="BW26" s="290"/>
      <c r="BX26" s="290"/>
      <c r="BY26" s="290"/>
      <c r="BZ26" s="290"/>
      <c r="CA26" s="290"/>
      <c r="CB26" s="290"/>
      <c r="CC26" s="290"/>
      <c r="CD26" s="290"/>
      <c r="CE26" s="290"/>
      <c r="CF26" s="290"/>
      <c r="CG26" s="290"/>
      <c r="CH26" s="290"/>
      <c r="CI26" s="290"/>
      <c r="CJ26" s="290"/>
      <c r="CK26" s="290"/>
      <c r="CL26" s="290"/>
      <c r="CM26" s="290"/>
      <c r="CN26" s="290"/>
      <c r="CO26" s="290"/>
      <c r="CP26" s="290"/>
      <c r="CQ26" s="290"/>
      <c r="CR26" s="290"/>
      <c r="CS26" s="290"/>
      <c r="CT26" s="290"/>
      <c r="CU26" s="290"/>
      <c r="CV26" s="290"/>
      <c r="CW26" s="290"/>
      <c r="CX26" s="290"/>
      <c r="CY26" s="290"/>
      <c r="CZ26" s="290"/>
      <c r="DA26" s="290"/>
      <c r="DB26" s="290"/>
      <c r="DC26" s="290"/>
      <c r="DD26" s="290"/>
      <c r="DE26" s="290"/>
      <c r="DF26" s="290"/>
      <c r="DG26" s="291"/>
      <c r="DH26" s="285"/>
      <c r="DI26" s="286"/>
      <c r="DJ26" s="286"/>
      <c r="DK26" s="286"/>
      <c r="DL26" s="286"/>
      <c r="DM26" s="286"/>
      <c r="DN26" s="286"/>
      <c r="DO26" s="286"/>
      <c r="DP26" s="286"/>
      <c r="DQ26" s="286"/>
      <c r="DR26" s="287"/>
      <c r="DS26" s="284"/>
      <c r="DT26" s="284"/>
      <c r="DU26" s="284"/>
      <c r="DV26" s="284"/>
      <c r="DW26" s="284"/>
      <c r="DX26" s="284"/>
      <c r="DY26" s="284"/>
      <c r="DZ26" s="284"/>
      <c r="EA26" s="284"/>
      <c r="EB26" s="284"/>
      <c r="EC26" s="284"/>
      <c r="ED26" s="284"/>
      <c r="EE26" s="284"/>
      <c r="EF26" s="284"/>
      <c r="EG26" s="284"/>
      <c r="EH26" s="284"/>
      <c r="EI26" s="284"/>
      <c r="EJ26" s="284"/>
      <c r="EK26" s="284"/>
      <c r="EL26" s="284"/>
      <c r="EM26" s="284"/>
      <c r="EN26" s="284"/>
      <c r="EO26" s="288"/>
      <c r="EP26" s="288"/>
      <c r="EQ26" s="288"/>
      <c r="ER26" s="288"/>
      <c r="ES26" s="288"/>
      <c r="ET26" s="288"/>
      <c r="EU26" s="288"/>
      <c r="EV26" s="288"/>
      <c r="EW26" s="288"/>
      <c r="EX26" s="288"/>
      <c r="EY26" s="288"/>
      <c r="EZ26" s="288"/>
      <c r="FA26" s="288"/>
      <c r="FB26" s="288"/>
      <c r="FC26" s="268"/>
      <c r="FD26" s="268"/>
      <c r="FE26" s="268"/>
      <c r="FF26" s="268"/>
      <c r="FG26" s="268"/>
      <c r="FH26" s="268"/>
      <c r="FI26" s="268"/>
      <c r="FJ26" s="268"/>
      <c r="FK26" s="268"/>
      <c r="FL26" s="268"/>
      <c r="FM26" s="268"/>
      <c r="FN26" s="277"/>
      <c r="FO26" s="277"/>
      <c r="FP26" s="277"/>
      <c r="FQ26" s="277"/>
      <c r="FR26" s="277"/>
      <c r="FS26" s="277"/>
      <c r="FT26" s="277"/>
      <c r="FU26" s="277"/>
      <c r="FV26" s="277"/>
      <c r="FW26" s="277"/>
      <c r="FX26" s="277"/>
      <c r="FY26" s="277"/>
      <c r="FZ26" s="277"/>
      <c r="GA26" s="277"/>
      <c r="GB26" s="277"/>
      <c r="GC26" s="277"/>
      <c r="GD26" s="277"/>
      <c r="GE26" s="278"/>
      <c r="GF26" s="40"/>
      <c r="GG26" s="40"/>
      <c r="GH26" s="40"/>
      <c r="GI26" s="42"/>
      <c r="GJ26">
        <f>AS26*4.3</f>
        <v>0</v>
      </c>
    </row>
    <row r="27" spans="1:192" ht="18.600000000000001" customHeight="1" thickBot="1" x14ac:dyDescent="0.35">
      <c r="A27" s="279" t="s">
        <v>89</v>
      </c>
      <c r="B27" s="277"/>
      <c r="C27" s="277"/>
      <c r="D27" s="277"/>
      <c r="E27" s="277"/>
      <c r="F27" s="277"/>
      <c r="G27" s="277"/>
      <c r="H27" s="277"/>
      <c r="I27" s="277"/>
      <c r="J27" s="277"/>
      <c r="K27" s="277"/>
      <c r="L27" s="277"/>
      <c r="M27" s="277"/>
      <c r="N27" s="277"/>
      <c r="O27" s="277"/>
      <c r="P27" s="277"/>
      <c r="Q27" s="277"/>
      <c r="R27" s="277"/>
      <c r="S27" s="277"/>
      <c r="T27" s="277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80"/>
      <c r="AT27" s="280"/>
      <c r="AU27" s="280"/>
      <c r="AV27" s="280"/>
      <c r="AW27" s="280"/>
      <c r="AX27" s="280"/>
      <c r="AY27" s="280"/>
      <c r="AZ27" s="280"/>
      <c r="BA27" s="280"/>
      <c r="BB27" s="280"/>
      <c r="BC27" s="280"/>
      <c r="BD27" s="280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89"/>
      <c r="BV27" s="290"/>
      <c r="BW27" s="290"/>
      <c r="BX27" s="290"/>
      <c r="BY27" s="290"/>
      <c r="BZ27" s="290"/>
      <c r="CA27" s="290"/>
      <c r="CB27" s="290"/>
      <c r="CC27" s="290"/>
      <c r="CD27" s="290"/>
      <c r="CE27" s="290"/>
      <c r="CF27" s="290"/>
      <c r="CG27" s="290"/>
      <c r="CH27" s="290"/>
      <c r="CI27" s="290"/>
      <c r="CJ27" s="290"/>
      <c r="CK27" s="290"/>
      <c r="CL27" s="290"/>
      <c r="CM27" s="290"/>
      <c r="CN27" s="290"/>
      <c r="CO27" s="290"/>
      <c r="CP27" s="290"/>
      <c r="CQ27" s="290"/>
      <c r="CR27" s="290"/>
      <c r="CS27" s="290"/>
      <c r="CT27" s="290"/>
      <c r="CU27" s="290"/>
      <c r="CV27" s="290"/>
      <c r="CW27" s="290"/>
      <c r="CX27" s="290"/>
      <c r="CY27" s="290"/>
      <c r="CZ27" s="290"/>
      <c r="DA27" s="290"/>
      <c r="DB27" s="290"/>
      <c r="DC27" s="290"/>
      <c r="DD27" s="290"/>
      <c r="DE27" s="290"/>
      <c r="DF27" s="290"/>
      <c r="DG27" s="291"/>
      <c r="DH27" s="285"/>
      <c r="DI27" s="286"/>
      <c r="DJ27" s="286"/>
      <c r="DK27" s="286"/>
      <c r="DL27" s="286"/>
      <c r="DM27" s="286"/>
      <c r="DN27" s="286"/>
      <c r="DO27" s="286"/>
      <c r="DP27" s="286"/>
      <c r="DQ27" s="286"/>
      <c r="DR27" s="287"/>
      <c r="DS27" s="284"/>
      <c r="DT27" s="284"/>
      <c r="DU27" s="284"/>
      <c r="DV27" s="284"/>
      <c r="DW27" s="284"/>
      <c r="DX27" s="284"/>
      <c r="DY27" s="284"/>
      <c r="DZ27" s="284"/>
      <c r="EA27" s="284"/>
      <c r="EB27" s="284"/>
      <c r="EC27" s="284"/>
      <c r="ED27" s="284"/>
      <c r="EE27" s="284"/>
      <c r="EF27" s="284"/>
      <c r="EG27" s="284"/>
      <c r="EH27" s="284"/>
      <c r="EI27" s="284"/>
      <c r="EJ27" s="284"/>
      <c r="EK27" s="284"/>
      <c r="EL27" s="284"/>
      <c r="EM27" s="284"/>
      <c r="EN27" s="284"/>
      <c r="EO27" s="288"/>
      <c r="EP27" s="288"/>
      <c r="EQ27" s="288"/>
      <c r="ER27" s="288"/>
      <c r="ES27" s="288"/>
      <c r="ET27" s="288"/>
      <c r="EU27" s="288"/>
      <c r="EV27" s="288"/>
      <c r="EW27" s="288"/>
      <c r="EX27" s="288"/>
      <c r="EY27" s="288"/>
      <c r="EZ27" s="288"/>
      <c r="FA27" s="288"/>
      <c r="FB27" s="288"/>
      <c r="FC27" s="268"/>
      <c r="FD27" s="268"/>
      <c r="FE27" s="268"/>
      <c r="FF27" s="268"/>
      <c r="FG27" s="268"/>
      <c r="FH27" s="268"/>
      <c r="FI27" s="268"/>
      <c r="FJ27" s="268"/>
      <c r="FK27" s="268"/>
      <c r="FL27" s="268"/>
      <c r="FM27" s="268"/>
      <c r="FN27" s="277"/>
      <c r="FO27" s="277"/>
      <c r="FP27" s="277"/>
      <c r="FQ27" s="277"/>
      <c r="FR27" s="277"/>
      <c r="FS27" s="277"/>
      <c r="FT27" s="277"/>
      <c r="FU27" s="277"/>
      <c r="FV27" s="277"/>
      <c r="FW27" s="277"/>
      <c r="FX27" s="277"/>
      <c r="FY27" s="277"/>
      <c r="FZ27" s="277"/>
      <c r="GA27" s="277"/>
      <c r="GB27" s="277"/>
      <c r="GC27" s="277"/>
      <c r="GD27" s="277"/>
      <c r="GE27" s="278"/>
      <c r="GF27" s="40"/>
      <c r="GG27" s="40"/>
      <c r="GH27" s="40"/>
      <c r="GI27" s="42"/>
      <c r="GJ27">
        <f>AS27*3.8</f>
        <v>0</v>
      </c>
    </row>
    <row r="28" spans="1:192" ht="18.600000000000001" customHeight="1" thickBot="1" x14ac:dyDescent="0.35">
      <c r="A28" s="279" t="s">
        <v>90</v>
      </c>
      <c r="B28" s="277"/>
      <c r="C28" s="277"/>
      <c r="D28" s="277"/>
      <c r="E28" s="277"/>
      <c r="F28" s="277"/>
      <c r="G28" s="277"/>
      <c r="H28" s="277"/>
      <c r="I28" s="277"/>
      <c r="J28" s="277"/>
      <c r="K28" s="277"/>
      <c r="L28" s="277"/>
      <c r="M28" s="277"/>
      <c r="N28" s="277"/>
      <c r="O28" s="277"/>
      <c r="P28" s="277"/>
      <c r="Q28" s="277"/>
      <c r="R28" s="277"/>
      <c r="S28" s="277"/>
      <c r="T28" s="277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80"/>
      <c r="AT28" s="280"/>
      <c r="AU28" s="280"/>
      <c r="AV28" s="280"/>
      <c r="AW28" s="280"/>
      <c r="AX28" s="280"/>
      <c r="AY28" s="280"/>
      <c r="AZ28" s="280"/>
      <c r="BA28" s="280"/>
      <c r="BB28" s="280"/>
      <c r="BC28" s="280"/>
      <c r="BD28" s="280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89"/>
      <c r="BV28" s="290"/>
      <c r="BW28" s="290"/>
      <c r="BX28" s="290"/>
      <c r="BY28" s="290"/>
      <c r="BZ28" s="290"/>
      <c r="CA28" s="290"/>
      <c r="CB28" s="290"/>
      <c r="CC28" s="290"/>
      <c r="CD28" s="290"/>
      <c r="CE28" s="290"/>
      <c r="CF28" s="290"/>
      <c r="CG28" s="290"/>
      <c r="CH28" s="290"/>
      <c r="CI28" s="290"/>
      <c r="CJ28" s="290"/>
      <c r="CK28" s="290"/>
      <c r="CL28" s="290"/>
      <c r="CM28" s="290"/>
      <c r="CN28" s="290"/>
      <c r="CO28" s="290"/>
      <c r="CP28" s="290"/>
      <c r="CQ28" s="290"/>
      <c r="CR28" s="290"/>
      <c r="CS28" s="290"/>
      <c r="CT28" s="290"/>
      <c r="CU28" s="290"/>
      <c r="CV28" s="290"/>
      <c r="CW28" s="290"/>
      <c r="CX28" s="290"/>
      <c r="CY28" s="290"/>
      <c r="CZ28" s="290"/>
      <c r="DA28" s="290"/>
      <c r="DB28" s="290"/>
      <c r="DC28" s="290"/>
      <c r="DD28" s="290"/>
      <c r="DE28" s="290"/>
      <c r="DF28" s="290"/>
      <c r="DG28" s="291"/>
      <c r="DH28" s="285"/>
      <c r="DI28" s="286"/>
      <c r="DJ28" s="286"/>
      <c r="DK28" s="286"/>
      <c r="DL28" s="286"/>
      <c r="DM28" s="286"/>
      <c r="DN28" s="286"/>
      <c r="DO28" s="286"/>
      <c r="DP28" s="286"/>
      <c r="DQ28" s="286"/>
      <c r="DR28" s="287"/>
      <c r="DS28" s="284"/>
      <c r="DT28" s="284"/>
      <c r="DU28" s="284"/>
      <c r="DV28" s="284"/>
      <c r="DW28" s="284"/>
      <c r="DX28" s="284"/>
      <c r="DY28" s="284"/>
      <c r="DZ28" s="284"/>
      <c r="EA28" s="284"/>
      <c r="EB28" s="284"/>
      <c r="EC28" s="284"/>
      <c r="ED28" s="284"/>
      <c r="EE28" s="284"/>
      <c r="EF28" s="284"/>
      <c r="EG28" s="284"/>
      <c r="EH28" s="284"/>
      <c r="EI28" s="284"/>
      <c r="EJ28" s="284"/>
      <c r="EK28" s="284"/>
      <c r="EL28" s="284"/>
      <c r="EM28" s="284"/>
      <c r="EN28" s="284"/>
      <c r="EO28" s="288"/>
      <c r="EP28" s="288"/>
      <c r="EQ28" s="288"/>
      <c r="ER28" s="288"/>
      <c r="ES28" s="288"/>
      <c r="ET28" s="288"/>
      <c r="EU28" s="288"/>
      <c r="EV28" s="288"/>
      <c r="EW28" s="288"/>
      <c r="EX28" s="288"/>
      <c r="EY28" s="288"/>
      <c r="EZ28" s="288"/>
      <c r="FA28" s="288"/>
      <c r="FB28" s="288"/>
      <c r="FC28" s="268"/>
      <c r="FD28" s="268"/>
      <c r="FE28" s="268"/>
      <c r="FF28" s="268"/>
      <c r="FG28" s="268"/>
      <c r="FH28" s="268"/>
      <c r="FI28" s="268"/>
      <c r="FJ28" s="268"/>
      <c r="FK28" s="268"/>
      <c r="FL28" s="268"/>
      <c r="FM28" s="268"/>
      <c r="FN28" s="277"/>
      <c r="FO28" s="277"/>
      <c r="FP28" s="277"/>
      <c r="FQ28" s="277"/>
      <c r="FR28" s="277"/>
      <c r="FS28" s="277"/>
      <c r="FT28" s="277"/>
      <c r="FU28" s="277"/>
      <c r="FV28" s="277"/>
      <c r="FW28" s="277"/>
      <c r="FX28" s="277"/>
      <c r="FY28" s="277"/>
      <c r="FZ28" s="277"/>
      <c r="GA28" s="277"/>
      <c r="GB28" s="277"/>
      <c r="GC28" s="277"/>
      <c r="GD28" s="277"/>
      <c r="GE28" s="278"/>
      <c r="GF28" s="40"/>
      <c r="GG28" s="40"/>
      <c r="GH28" s="40"/>
      <c r="GI28" s="42"/>
      <c r="GJ28">
        <f>AS28*6.3</f>
        <v>0</v>
      </c>
    </row>
    <row r="29" spans="1:192" ht="18.600000000000001" customHeight="1" x14ac:dyDescent="0.3">
      <c r="A29" s="279" t="s">
        <v>91</v>
      </c>
      <c r="B29" s="277"/>
      <c r="C29" s="277"/>
      <c r="D29" s="277"/>
      <c r="E29" s="277"/>
      <c r="F29" s="277"/>
      <c r="G29" s="277"/>
      <c r="H29" s="277"/>
      <c r="I29" s="277"/>
      <c r="J29" s="277"/>
      <c r="K29" s="277"/>
      <c r="L29" s="277"/>
      <c r="M29" s="277"/>
      <c r="N29" s="277"/>
      <c r="O29" s="277"/>
      <c r="P29" s="277"/>
      <c r="Q29" s="277"/>
      <c r="R29" s="277"/>
      <c r="S29" s="277"/>
      <c r="T29" s="277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80"/>
      <c r="AT29" s="280"/>
      <c r="AU29" s="280"/>
      <c r="AV29" s="280"/>
      <c r="AW29" s="280"/>
      <c r="AX29" s="280"/>
      <c r="AY29" s="280"/>
      <c r="AZ29" s="280"/>
      <c r="BA29" s="280"/>
      <c r="BB29" s="280"/>
      <c r="BC29" s="280"/>
      <c r="BD29" s="280"/>
      <c r="BE29" s="268"/>
      <c r="BF29" s="268"/>
      <c r="BG29" s="268"/>
      <c r="BH29" s="268"/>
      <c r="BI29" s="268"/>
      <c r="BJ29" s="268"/>
      <c r="BK29" s="268"/>
      <c r="BL29" s="268"/>
      <c r="BM29" s="268"/>
      <c r="BN29" s="268"/>
      <c r="BO29" s="268"/>
      <c r="BP29" s="268"/>
      <c r="BQ29" s="268"/>
      <c r="BR29" s="268"/>
      <c r="BS29" s="268"/>
      <c r="BT29" s="268"/>
      <c r="BU29" s="289"/>
      <c r="BV29" s="290"/>
      <c r="BW29" s="290"/>
      <c r="BX29" s="290"/>
      <c r="BY29" s="290"/>
      <c r="BZ29" s="290"/>
      <c r="CA29" s="290"/>
      <c r="CB29" s="290"/>
      <c r="CC29" s="290"/>
      <c r="CD29" s="290"/>
      <c r="CE29" s="290"/>
      <c r="CF29" s="290"/>
      <c r="CG29" s="290"/>
      <c r="CH29" s="290"/>
      <c r="CI29" s="290"/>
      <c r="CJ29" s="290"/>
      <c r="CK29" s="290"/>
      <c r="CL29" s="290"/>
      <c r="CM29" s="290"/>
      <c r="CN29" s="290"/>
      <c r="CO29" s="290"/>
      <c r="CP29" s="290"/>
      <c r="CQ29" s="290"/>
      <c r="CR29" s="290"/>
      <c r="CS29" s="290"/>
      <c r="CT29" s="290"/>
      <c r="CU29" s="290"/>
      <c r="CV29" s="290"/>
      <c r="CW29" s="290"/>
      <c r="CX29" s="290"/>
      <c r="CY29" s="290"/>
      <c r="CZ29" s="290"/>
      <c r="DA29" s="290"/>
      <c r="DB29" s="290"/>
      <c r="DC29" s="290"/>
      <c r="DD29" s="290"/>
      <c r="DE29" s="290"/>
      <c r="DF29" s="290"/>
      <c r="DG29" s="291"/>
      <c r="DH29" s="285"/>
      <c r="DI29" s="286"/>
      <c r="DJ29" s="286"/>
      <c r="DK29" s="286"/>
      <c r="DL29" s="286"/>
      <c r="DM29" s="286"/>
      <c r="DN29" s="286"/>
      <c r="DO29" s="286"/>
      <c r="DP29" s="286"/>
      <c r="DQ29" s="286"/>
      <c r="DR29" s="287"/>
      <c r="DS29" s="284"/>
      <c r="DT29" s="284"/>
      <c r="DU29" s="284"/>
      <c r="DV29" s="284"/>
      <c r="DW29" s="284"/>
      <c r="DX29" s="284"/>
      <c r="DY29" s="284"/>
      <c r="DZ29" s="284"/>
      <c r="EA29" s="284"/>
      <c r="EB29" s="284"/>
      <c r="EC29" s="284"/>
      <c r="ED29" s="284"/>
      <c r="EE29" s="284"/>
      <c r="EF29" s="284"/>
      <c r="EG29" s="284"/>
      <c r="EH29" s="284"/>
      <c r="EI29" s="284"/>
      <c r="EJ29" s="284"/>
      <c r="EK29" s="284"/>
      <c r="EL29" s="284"/>
      <c r="EM29" s="284"/>
      <c r="EN29" s="284"/>
      <c r="EO29" s="288"/>
      <c r="EP29" s="288"/>
      <c r="EQ29" s="288"/>
      <c r="ER29" s="288"/>
      <c r="ES29" s="288"/>
      <c r="ET29" s="288"/>
      <c r="EU29" s="288"/>
      <c r="EV29" s="288"/>
      <c r="EW29" s="288"/>
      <c r="EX29" s="288"/>
      <c r="EY29" s="288"/>
      <c r="EZ29" s="288"/>
      <c r="FA29" s="288"/>
      <c r="FB29" s="288"/>
      <c r="FC29" s="268"/>
      <c r="FD29" s="268"/>
      <c r="FE29" s="268"/>
      <c r="FF29" s="268"/>
      <c r="FG29" s="268"/>
      <c r="FH29" s="268"/>
      <c r="FI29" s="268"/>
      <c r="FJ29" s="268"/>
      <c r="FK29" s="268"/>
      <c r="FL29" s="268"/>
      <c r="FM29" s="268"/>
      <c r="FN29" s="277"/>
      <c r="FO29" s="277"/>
      <c r="FP29" s="277"/>
      <c r="FQ29" s="277"/>
      <c r="FR29" s="277"/>
      <c r="FS29" s="277"/>
      <c r="FT29" s="277"/>
      <c r="FU29" s="277"/>
      <c r="FV29" s="277"/>
      <c r="FW29" s="277"/>
      <c r="FX29" s="277"/>
      <c r="FY29" s="277"/>
      <c r="FZ29" s="277"/>
      <c r="GA29" s="277"/>
      <c r="GB29" s="277"/>
      <c r="GC29" s="277"/>
      <c r="GD29" s="277"/>
      <c r="GE29" s="278"/>
      <c r="GF29" s="40"/>
      <c r="GG29" s="40"/>
      <c r="GH29" s="40"/>
      <c r="GI29" s="42"/>
      <c r="GJ29">
        <f>AS29*4.3</f>
        <v>0</v>
      </c>
    </row>
    <row r="30" spans="1:192" ht="18.600000000000001" customHeight="1" x14ac:dyDescent="0.3">
      <c r="A30" s="628" t="s">
        <v>92</v>
      </c>
      <c r="B30" s="626"/>
      <c r="C30" s="626"/>
      <c r="D30" s="626"/>
      <c r="E30" s="626"/>
      <c r="F30" s="626"/>
      <c r="G30" s="626"/>
      <c r="H30" s="626"/>
      <c r="I30" s="626"/>
      <c r="J30" s="626"/>
      <c r="K30" s="629"/>
      <c r="L30" s="625"/>
      <c r="M30" s="626"/>
      <c r="N30" s="626"/>
      <c r="O30" s="626"/>
      <c r="P30" s="626"/>
      <c r="Q30" s="626"/>
      <c r="R30" s="626"/>
      <c r="S30" s="626"/>
      <c r="T30" s="626"/>
      <c r="U30" s="626"/>
      <c r="V30" s="626"/>
      <c r="W30" s="626"/>
      <c r="X30" s="626"/>
      <c r="Y30" s="626"/>
      <c r="Z30" s="626"/>
      <c r="AA30" s="626"/>
      <c r="AB30" s="626"/>
      <c r="AC30" s="626"/>
      <c r="AD30" s="626"/>
      <c r="AE30" s="629"/>
      <c r="AF30" s="625"/>
      <c r="AG30" s="626"/>
      <c r="AH30" s="626"/>
      <c r="AI30" s="626"/>
      <c r="AJ30" s="626"/>
      <c r="AK30" s="626"/>
      <c r="AL30" s="626"/>
      <c r="AM30" s="626"/>
      <c r="AN30" s="626"/>
      <c r="AO30" s="626"/>
      <c r="AP30" s="626"/>
      <c r="AQ30" s="626"/>
      <c r="AR30" s="629"/>
      <c r="AS30" s="294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6"/>
      <c r="BE30" s="622"/>
      <c r="BF30" s="623"/>
      <c r="BG30" s="623"/>
      <c r="BH30" s="623"/>
      <c r="BI30" s="623"/>
      <c r="BJ30" s="623"/>
      <c r="BK30" s="623"/>
      <c r="BL30" s="623"/>
      <c r="BM30" s="623"/>
      <c r="BN30" s="623"/>
      <c r="BO30" s="623"/>
      <c r="BP30" s="623"/>
      <c r="BQ30" s="623"/>
      <c r="BR30" s="623"/>
      <c r="BS30" s="623"/>
      <c r="BT30" s="624"/>
      <c r="BU30" s="294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6"/>
      <c r="DH30" s="285"/>
      <c r="DI30" s="286"/>
      <c r="DJ30" s="286"/>
      <c r="DK30" s="286"/>
      <c r="DL30" s="286"/>
      <c r="DM30" s="286"/>
      <c r="DN30" s="286"/>
      <c r="DO30" s="286"/>
      <c r="DP30" s="286"/>
      <c r="DQ30" s="286"/>
      <c r="DR30" s="287"/>
      <c r="DS30" s="616"/>
      <c r="DT30" s="617"/>
      <c r="DU30" s="617"/>
      <c r="DV30" s="617"/>
      <c r="DW30" s="617"/>
      <c r="DX30" s="617"/>
      <c r="DY30" s="617"/>
      <c r="DZ30" s="617"/>
      <c r="EA30" s="617"/>
      <c r="EB30" s="617"/>
      <c r="EC30" s="618"/>
      <c r="ED30" s="616"/>
      <c r="EE30" s="617"/>
      <c r="EF30" s="617"/>
      <c r="EG30" s="617"/>
      <c r="EH30" s="617"/>
      <c r="EI30" s="617"/>
      <c r="EJ30" s="617"/>
      <c r="EK30" s="617"/>
      <c r="EL30" s="617"/>
      <c r="EM30" s="617"/>
      <c r="EN30" s="618"/>
      <c r="EO30" s="619"/>
      <c r="EP30" s="620"/>
      <c r="EQ30" s="620"/>
      <c r="ER30" s="620"/>
      <c r="ES30" s="620"/>
      <c r="ET30" s="620"/>
      <c r="EU30" s="620"/>
      <c r="EV30" s="620"/>
      <c r="EW30" s="620"/>
      <c r="EX30" s="620"/>
      <c r="EY30" s="620"/>
      <c r="EZ30" s="620"/>
      <c r="FA30" s="620"/>
      <c r="FB30" s="621"/>
      <c r="FC30" s="622"/>
      <c r="FD30" s="623"/>
      <c r="FE30" s="623"/>
      <c r="FF30" s="623"/>
      <c r="FG30" s="623"/>
      <c r="FH30" s="623"/>
      <c r="FI30" s="623"/>
      <c r="FJ30" s="623"/>
      <c r="FK30" s="623"/>
      <c r="FL30" s="623"/>
      <c r="FM30" s="624"/>
      <c r="FN30" s="625"/>
      <c r="FO30" s="626"/>
      <c r="FP30" s="626"/>
      <c r="FQ30" s="626"/>
      <c r="FR30" s="626"/>
      <c r="FS30" s="626"/>
      <c r="FT30" s="626"/>
      <c r="FU30" s="626"/>
      <c r="FV30" s="626"/>
      <c r="FW30" s="626"/>
      <c r="FX30" s="626"/>
      <c r="FY30" s="626"/>
      <c r="FZ30" s="626"/>
      <c r="GA30" s="626"/>
      <c r="GB30" s="626"/>
      <c r="GC30" s="626"/>
      <c r="GD30" s="626"/>
      <c r="GE30" s="627"/>
      <c r="GF30" s="40"/>
      <c r="GG30" s="40"/>
      <c r="GH30" s="40"/>
      <c r="GI30" s="42"/>
      <c r="GJ30">
        <f>SUM(GJ18:GJ29)</f>
        <v>0.6</v>
      </c>
    </row>
    <row r="31" spans="1:192" ht="18.600000000000001" customHeight="1" x14ac:dyDescent="0.3">
      <c r="A31" s="628" t="s">
        <v>300</v>
      </c>
      <c r="B31" s="626"/>
      <c r="C31" s="626"/>
      <c r="D31" s="626"/>
      <c r="E31" s="626"/>
      <c r="F31" s="626"/>
      <c r="G31" s="626"/>
      <c r="H31" s="626"/>
      <c r="I31" s="626"/>
      <c r="J31" s="626"/>
      <c r="K31" s="629"/>
      <c r="L31" s="625"/>
      <c r="M31" s="626"/>
      <c r="N31" s="626"/>
      <c r="O31" s="626"/>
      <c r="P31" s="626"/>
      <c r="Q31" s="626"/>
      <c r="R31" s="626"/>
      <c r="S31" s="626"/>
      <c r="T31" s="626"/>
      <c r="U31" s="626"/>
      <c r="V31" s="626"/>
      <c r="W31" s="626"/>
      <c r="X31" s="626"/>
      <c r="Y31" s="626"/>
      <c r="Z31" s="626"/>
      <c r="AA31" s="626"/>
      <c r="AB31" s="626"/>
      <c r="AC31" s="626"/>
      <c r="AD31" s="626"/>
      <c r="AE31" s="629"/>
      <c r="AF31" s="625"/>
      <c r="AG31" s="626"/>
      <c r="AH31" s="626"/>
      <c r="AI31" s="626"/>
      <c r="AJ31" s="626"/>
      <c r="AK31" s="626"/>
      <c r="AL31" s="626"/>
      <c r="AM31" s="626"/>
      <c r="AN31" s="626"/>
      <c r="AO31" s="626"/>
      <c r="AP31" s="626"/>
      <c r="AQ31" s="626"/>
      <c r="AR31" s="629"/>
      <c r="AS31" s="294">
        <f>SUM(AS18:AS30)</f>
        <v>1</v>
      </c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6"/>
      <c r="BE31" s="622"/>
      <c r="BF31" s="623"/>
      <c r="BG31" s="623"/>
      <c r="BH31" s="623"/>
      <c r="BI31" s="623"/>
      <c r="BJ31" s="623"/>
      <c r="BK31" s="623"/>
      <c r="BL31" s="623"/>
      <c r="BM31" s="623"/>
      <c r="BN31" s="623"/>
      <c r="BO31" s="623"/>
      <c r="BP31" s="623"/>
      <c r="BQ31" s="623"/>
      <c r="BR31" s="623"/>
      <c r="BS31" s="623"/>
      <c r="BT31" s="624"/>
      <c r="BU31" s="294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6"/>
      <c r="DH31" s="285"/>
      <c r="DI31" s="286"/>
      <c r="DJ31" s="286"/>
      <c r="DK31" s="286"/>
      <c r="DL31" s="286"/>
      <c r="DM31" s="286"/>
      <c r="DN31" s="286"/>
      <c r="DO31" s="286"/>
      <c r="DP31" s="286"/>
      <c r="DQ31" s="286"/>
      <c r="DR31" s="287"/>
      <c r="DS31" s="616"/>
      <c r="DT31" s="617"/>
      <c r="DU31" s="617"/>
      <c r="DV31" s="617"/>
      <c r="DW31" s="617"/>
      <c r="DX31" s="617"/>
      <c r="DY31" s="617"/>
      <c r="DZ31" s="617"/>
      <c r="EA31" s="617"/>
      <c r="EB31" s="617"/>
      <c r="EC31" s="618"/>
      <c r="ED31" s="616"/>
      <c r="EE31" s="617"/>
      <c r="EF31" s="617"/>
      <c r="EG31" s="617"/>
      <c r="EH31" s="617"/>
      <c r="EI31" s="617"/>
      <c r="EJ31" s="617"/>
      <c r="EK31" s="617"/>
      <c r="EL31" s="617"/>
      <c r="EM31" s="617"/>
      <c r="EN31" s="618"/>
      <c r="EO31" s="630">
        <f>SUM(EO18:EO30)</f>
        <v>16.5</v>
      </c>
      <c r="EP31" s="631"/>
      <c r="EQ31" s="631"/>
      <c r="ER31" s="631"/>
      <c r="ES31" s="631"/>
      <c r="ET31" s="631"/>
      <c r="EU31" s="631"/>
      <c r="EV31" s="631"/>
      <c r="EW31" s="631"/>
      <c r="EX31" s="631"/>
      <c r="EY31" s="631"/>
      <c r="EZ31" s="631"/>
      <c r="FA31" s="631"/>
      <c r="FB31" s="632"/>
      <c r="FC31" s="622"/>
      <c r="FD31" s="623"/>
      <c r="FE31" s="623"/>
      <c r="FF31" s="623"/>
      <c r="FG31" s="623"/>
      <c r="FH31" s="623"/>
      <c r="FI31" s="623"/>
      <c r="FJ31" s="623"/>
      <c r="FK31" s="623"/>
      <c r="FL31" s="623"/>
      <c r="FM31" s="624"/>
      <c r="FN31" s="625"/>
      <c r="FO31" s="626"/>
      <c r="FP31" s="626"/>
      <c r="FQ31" s="626"/>
      <c r="FR31" s="626"/>
      <c r="FS31" s="626"/>
      <c r="FT31" s="626"/>
      <c r="FU31" s="626"/>
      <c r="FV31" s="626"/>
      <c r="FW31" s="626"/>
      <c r="FX31" s="626"/>
      <c r="FY31" s="626"/>
      <c r="FZ31" s="626"/>
      <c r="GA31" s="626"/>
      <c r="GB31" s="626"/>
      <c r="GC31" s="626"/>
      <c r="GD31" s="626"/>
      <c r="GE31" s="627"/>
      <c r="GF31" s="40"/>
      <c r="GG31" s="40"/>
      <c r="GH31" s="40"/>
      <c r="GI31" s="42"/>
    </row>
    <row r="32" spans="1:192" x14ac:dyDescent="0.3">
      <c r="A32" s="41" t="s">
        <v>93</v>
      </c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50"/>
      <c r="AO32" s="50"/>
      <c r="AP32" s="50"/>
      <c r="AQ32" s="50"/>
      <c r="AR32" s="50"/>
      <c r="AS32" s="297"/>
      <c r="AT32" s="297"/>
      <c r="AU32" s="297"/>
      <c r="AV32" s="297"/>
      <c r="AW32" s="297"/>
      <c r="AX32" s="297"/>
      <c r="AY32" s="297"/>
      <c r="AZ32" s="297"/>
      <c r="BA32" s="297"/>
      <c r="BB32" s="297"/>
      <c r="BC32" s="297"/>
      <c r="BD32" s="297"/>
      <c r="BE32" s="297"/>
      <c r="BF32" s="297"/>
      <c r="BG32" s="297"/>
      <c r="BH32" s="297"/>
      <c r="BI32" s="297"/>
      <c r="BJ32" s="297"/>
      <c r="BK32" s="297"/>
      <c r="BL32" s="297"/>
      <c r="BM32" s="297"/>
      <c r="BN32" s="297"/>
      <c r="BO32" s="297"/>
      <c r="BP32" s="297"/>
      <c r="BQ32" s="297"/>
      <c r="BR32" s="297"/>
      <c r="BS32" s="297"/>
      <c r="BT32" s="297"/>
      <c r="BU32" s="297"/>
      <c r="BV32" s="40"/>
      <c r="BW32" s="41" t="s">
        <v>94</v>
      </c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40"/>
      <c r="EN32" s="40"/>
      <c r="EO32" s="299" t="s">
        <v>95</v>
      </c>
      <c r="EP32" s="300"/>
      <c r="EQ32" s="300"/>
      <c r="ER32" s="300"/>
      <c r="ES32" s="300"/>
      <c r="ET32" s="300"/>
      <c r="EU32" s="300"/>
      <c r="EV32" s="300"/>
      <c r="EW32" s="300"/>
      <c r="EX32" s="300"/>
      <c r="EY32" s="300"/>
      <c r="EZ32" s="300"/>
      <c r="FA32" s="300"/>
      <c r="FB32" s="301"/>
      <c r="FC32" s="302"/>
      <c r="FD32" s="300"/>
      <c r="FE32" s="300"/>
      <c r="FF32" s="300"/>
      <c r="FG32" s="300"/>
      <c r="FH32" s="300"/>
      <c r="FI32" s="300"/>
      <c r="FJ32" s="300"/>
      <c r="FK32" s="300"/>
      <c r="FL32" s="300"/>
      <c r="FM32" s="303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2"/>
    </row>
    <row r="33" spans="1:191" ht="11.4" customHeight="1" thickBot="1" x14ac:dyDescent="0.35">
      <c r="A33" s="41" t="s">
        <v>96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297"/>
      <c r="AF33" s="297"/>
      <c r="AG33" s="297"/>
      <c r="AH33" s="297"/>
      <c r="AI33" s="297"/>
      <c r="AJ33" s="297"/>
      <c r="AK33" s="297"/>
      <c r="AL33" s="297"/>
      <c r="AM33" s="297"/>
      <c r="AN33" s="297"/>
      <c r="AO33" s="297"/>
      <c r="AP33" s="297"/>
      <c r="AQ33" s="297"/>
      <c r="AR33" s="297"/>
      <c r="AS33" s="297"/>
      <c r="AT33" s="297"/>
      <c r="AU33" s="297"/>
      <c r="AV33" s="297"/>
      <c r="AW33" s="297"/>
      <c r="AX33" s="297"/>
      <c r="AY33" s="297"/>
      <c r="AZ33" s="297"/>
      <c r="BA33" s="297"/>
      <c r="BB33" s="297"/>
      <c r="BC33" s="297"/>
      <c r="BD33" s="297"/>
      <c r="BE33" s="297"/>
      <c r="BF33" s="297"/>
      <c r="BG33" s="297"/>
      <c r="BH33" s="297"/>
      <c r="BI33" s="297"/>
      <c r="BJ33" s="297"/>
      <c r="BK33" s="297"/>
      <c r="BL33" s="297"/>
      <c r="BM33" s="297"/>
      <c r="BN33" s="297"/>
      <c r="BO33" s="297"/>
      <c r="BP33" s="297"/>
      <c r="BQ33" s="297"/>
      <c r="BR33" s="297"/>
      <c r="BS33" s="297"/>
      <c r="BT33" s="297"/>
      <c r="BU33" s="297"/>
      <c r="BV33" s="40"/>
      <c r="BW33" s="41" t="s">
        <v>97</v>
      </c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304" t="s">
        <v>98</v>
      </c>
      <c r="EP33" s="305"/>
      <c r="EQ33" s="305"/>
      <c r="ER33" s="305"/>
      <c r="ES33" s="305"/>
      <c r="ET33" s="305"/>
      <c r="EU33" s="305"/>
      <c r="EV33" s="305"/>
      <c r="EW33" s="305"/>
      <c r="EX33" s="305"/>
      <c r="EY33" s="305"/>
      <c r="EZ33" s="305"/>
      <c r="FA33" s="305"/>
      <c r="FB33" s="306"/>
      <c r="FC33" s="260"/>
      <c r="FD33" s="261"/>
      <c r="FE33" s="261"/>
      <c r="FF33" s="261"/>
      <c r="FG33" s="261"/>
      <c r="FH33" s="261"/>
      <c r="FI33" s="261"/>
      <c r="FJ33" s="261"/>
      <c r="FK33" s="261"/>
      <c r="FL33" s="261"/>
      <c r="FM33" s="263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2"/>
    </row>
    <row r="34" spans="1:191" ht="11.4" customHeight="1" x14ac:dyDescent="0.3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316" t="s">
        <v>99</v>
      </c>
      <c r="O34" s="316"/>
      <c r="P34" s="316"/>
      <c r="Q34" s="316"/>
      <c r="R34" s="316"/>
      <c r="S34" s="316"/>
      <c r="T34" s="316"/>
      <c r="U34" s="316"/>
      <c r="V34" s="316"/>
      <c r="W34" s="316"/>
      <c r="X34" s="316"/>
      <c r="Y34" s="316"/>
      <c r="Z34" s="316"/>
      <c r="AA34" s="316"/>
      <c r="AB34" s="316"/>
      <c r="AC34" s="316"/>
      <c r="AD34" s="316"/>
      <c r="AE34" s="316"/>
      <c r="AF34" s="316"/>
      <c r="AG34" s="316"/>
      <c r="AH34" s="316"/>
      <c r="AI34" s="316"/>
      <c r="AJ34" s="316"/>
      <c r="AK34" s="316"/>
      <c r="AL34" s="316"/>
      <c r="AM34" s="316"/>
      <c r="AN34" s="316"/>
      <c r="AO34" s="316"/>
      <c r="AP34" s="316"/>
      <c r="AQ34" s="316"/>
      <c r="AR34" s="316"/>
      <c r="AS34" s="316"/>
      <c r="AT34" s="316"/>
      <c r="AU34" s="316"/>
      <c r="AV34" s="316"/>
      <c r="AW34" s="316"/>
      <c r="AX34" s="316"/>
      <c r="AY34" s="316"/>
      <c r="AZ34" s="316"/>
      <c r="BA34" s="316"/>
      <c r="BB34" s="316"/>
      <c r="BC34" s="316"/>
      <c r="BD34" s="316"/>
      <c r="BE34" s="316"/>
      <c r="BF34" s="316"/>
      <c r="BG34" s="316"/>
      <c r="BH34" s="316"/>
      <c r="BI34" s="316"/>
      <c r="BJ34" s="316"/>
      <c r="BK34" s="316"/>
      <c r="BL34" s="316"/>
      <c r="BM34" s="316"/>
      <c r="BN34" s="316"/>
      <c r="BO34" s="316"/>
      <c r="BP34" s="316"/>
      <c r="BQ34" s="316"/>
      <c r="BR34" s="316"/>
      <c r="BS34" s="316"/>
      <c r="BT34" s="316"/>
      <c r="BU34" s="316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317">
        <f>EO31</f>
        <v>16.5</v>
      </c>
      <c r="DT34" s="318"/>
      <c r="DU34" s="318"/>
      <c r="DV34" s="318"/>
      <c r="DW34" s="318"/>
      <c r="DX34" s="318"/>
      <c r="DY34" s="318"/>
      <c r="DZ34" s="318"/>
      <c r="EA34" s="318"/>
      <c r="EB34" s="318"/>
      <c r="EC34" s="318"/>
      <c r="ED34" s="318"/>
      <c r="EE34" s="318"/>
      <c r="EF34" s="318"/>
      <c r="EG34" s="318"/>
      <c r="EH34" s="319"/>
      <c r="EI34" s="40"/>
      <c r="EJ34" s="40"/>
      <c r="EK34" s="40"/>
      <c r="EL34" s="40"/>
      <c r="EM34" s="40"/>
      <c r="EN34" s="40"/>
      <c r="EO34" s="307"/>
      <c r="EP34" s="308"/>
      <c r="EQ34" s="308"/>
      <c r="ER34" s="308"/>
      <c r="ES34" s="308"/>
      <c r="ET34" s="308"/>
      <c r="EU34" s="308"/>
      <c r="EV34" s="308"/>
      <c r="EW34" s="308"/>
      <c r="EX34" s="308"/>
      <c r="EY34" s="308"/>
      <c r="EZ34" s="308"/>
      <c r="FA34" s="308"/>
      <c r="FB34" s="309"/>
      <c r="FC34" s="313"/>
      <c r="FD34" s="314"/>
      <c r="FE34" s="314"/>
      <c r="FF34" s="314"/>
      <c r="FG34" s="314"/>
      <c r="FH34" s="314"/>
      <c r="FI34" s="314"/>
      <c r="FJ34" s="314"/>
      <c r="FK34" s="314"/>
      <c r="FL34" s="314"/>
      <c r="FM34" s="315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2"/>
    </row>
    <row r="35" spans="1:191" ht="11.4" customHeight="1" x14ac:dyDescent="0.3">
      <c r="A35" s="41" t="s">
        <v>100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51"/>
      <c r="N35" s="51"/>
      <c r="O35" s="51"/>
      <c r="P35" s="51"/>
      <c r="Q35" s="323">
        <v>1</v>
      </c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  <c r="AL35" s="323"/>
      <c r="AM35" s="323"/>
      <c r="AN35" s="323"/>
      <c r="AO35" s="323"/>
      <c r="AP35" s="323"/>
      <c r="AQ35" s="323"/>
      <c r="AR35" s="323"/>
      <c r="AS35" s="323"/>
      <c r="AT35" s="323"/>
      <c r="AU35" s="323"/>
      <c r="AV35" s="323"/>
      <c r="AW35" s="323"/>
      <c r="AX35" s="323"/>
      <c r="AY35" s="323"/>
      <c r="AZ35" s="323"/>
      <c r="BA35" s="323"/>
      <c r="BB35" s="323"/>
      <c r="BC35" s="323"/>
      <c r="BD35" s="323"/>
      <c r="BE35" s="323"/>
      <c r="BF35" s="323"/>
      <c r="BG35" s="323"/>
      <c r="BH35" s="323"/>
      <c r="BI35" s="323"/>
      <c r="BJ35" s="323"/>
      <c r="BK35" s="323"/>
      <c r="BL35" s="323"/>
      <c r="BM35" s="323"/>
      <c r="BN35" s="323"/>
      <c r="BO35" s="323"/>
      <c r="BP35" s="323"/>
      <c r="BQ35" s="323"/>
      <c r="BR35" s="323"/>
      <c r="BS35" s="323"/>
      <c r="BT35" s="323"/>
      <c r="BU35" s="323"/>
      <c r="BV35" s="40"/>
      <c r="BW35" s="41" t="s">
        <v>101</v>
      </c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333" t="s">
        <v>328</v>
      </c>
      <c r="CM35" s="333"/>
      <c r="CN35" s="333"/>
      <c r="CO35" s="333"/>
      <c r="CP35" s="333"/>
      <c r="CQ35" s="333"/>
      <c r="CR35" s="333"/>
      <c r="CS35" s="333"/>
      <c r="CT35" s="333"/>
      <c r="CU35" s="333"/>
      <c r="CV35" s="333"/>
      <c r="CW35" s="333"/>
      <c r="CX35" s="333"/>
      <c r="CY35" s="333"/>
      <c r="CZ35" s="333"/>
      <c r="DA35" s="333"/>
      <c r="DB35" s="333"/>
      <c r="DC35" s="333"/>
      <c r="DD35" s="333"/>
      <c r="DE35" s="333"/>
      <c r="DF35" s="333"/>
      <c r="DG35" s="333"/>
      <c r="DH35" s="333"/>
      <c r="DI35" s="333"/>
      <c r="DJ35" s="333"/>
      <c r="DK35" s="333"/>
      <c r="DL35" s="333"/>
      <c r="DM35" s="333"/>
      <c r="DN35" s="333"/>
      <c r="DO35" s="333"/>
      <c r="DP35" s="333"/>
      <c r="DQ35" s="40"/>
      <c r="DR35" s="40"/>
      <c r="DS35" s="320"/>
      <c r="DT35" s="321"/>
      <c r="DU35" s="321"/>
      <c r="DV35" s="321"/>
      <c r="DW35" s="321"/>
      <c r="DX35" s="321"/>
      <c r="DY35" s="321"/>
      <c r="DZ35" s="321"/>
      <c r="EA35" s="321"/>
      <c r="EB35" s="321"/>
      <c r="EC35" s="321"/>
      <c r="ED35" s="321"/>
      <c r="EE35" s="321"/>
      <c r="EF35" s="321"/>
      <c r="EG35" s="321"/>
      <c r="EH35" s="322"/>
      <c r="EI35" s="325"/>
      <c r="EJ35" s="325"/>
      <c r="EK35" s="325"/>
      <c r="EL35" s="40"/>
      <c r="EM35" s="40"/>
      <c r="EN35" s="40"/>
      <c r="EO35" s="310"/>
      <c r="EP35" s="311"/>
      <c r="EQ35" s="311"/>
      <c r="ER35" s="311"/>
      <c r="ES35" s="311"/>
      <c r="ET35" s="311"/>
      <c r="EU35" s="311"/>
      <c r="EV35" s="311"/>
      <c r="EW35" s="311"/>
      <c r="EX35" s="311"/>
      <c r="EY35" s="311"/>
      <c r="EZ35" s="311"/>
      <c r="FA35" s="311"/>
      <c r="FB35" s="312"/>
      <c r="FC35" s="302"/>
      <c r="FD35" s="300"/>
      <c r="FE35" s="300"/>
      <c r="FF35" s="300"/>
      <c r="FG35" s="300"/>
      <c r="FH35" s="300"/>
      <c r="FI35" s="300"/>
      <c r="FJ35" s="300"/>
      <c r="FK35" s="300"/>
      <c r="FL35" s="300"/>
      <c r="FM35" s="303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2"/>
    </row>
    <row r="36" spans="1:191" ht="10.95" customHeight="1" x14ac:dyDescent="0.3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334" t="s">
        <v>99</v>
      </c>
      <c r="X36" s="334"/>
      <c r="Y36" s="334"/>
      <c r="Z36" s="334"/>
      <c r="AA36" s="334"/>
      <c r="AB36" s="334"/>
      <c r="AC36" s="334"/>
      <c r="AD36" s="334"/>
      <c r="AE36" s="334"/>
      <c r="AF36" s="334"/>
      <c r="AG36" s="334"/>
      <c r="AH36" s="334"/>
      <c r="AI36" s="334"/>
      <c r="AJ36" s="334"/>
      <c r="AK36" s="334"/>
      <c r="AL36" s="334"/>
      <c r="AM36" s="334"/>
      <c r="AN36" s="334"/>
      <c r="AO36" s="334"/>
      <c r="AP36" s="334"/>
      <c r="AQ36" s="334"/>
      <c r="AR36" s="334"/>
      <c r="AS36" s="334"/>
      <c r="AT36" s="334"/>
      <c r="AU36" s="334"/>
      <c r="AV36" s="334"/>
      <c r="AW36" s="334"/>
      <c r="AX36" s="334"/>
      <c r="AY36" s="334"/>
      <c r="AZ36" s="334"/>
      <c r="BA36" s="334"/>
      <c r="BB36" s="334"/>
      <c r="BC36" s="334"/>
      <c r="BD36" s="334"/>
      <c r="BE36" s="334"/>
      <c r="BF36" s="334"/>
      <c r="BG36" s="334"/>
      <c r="BH36" s="334"/>
      <c r="BI36" s="334"/>
      <c r="BJ36" s="334"/>
      <c r="BK36" s="334"/>
      <c r="BL36" s="334"/>
      <c r="BM36" s="334"/>
      <c r="BN36" s="334"/>
      <c r="BO36" s="334"/>
      <c r="BP36" s="334"/>
      <c r="BQ36" s="334"/>
      <c r="BR36" s="334"/>
      <c r="BS36" s="334"/>
      <c r="BT36" s="334"/>
      <c r="BU36" s="334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335" t="s">
        <v>99</v>
      </c>
      <c r="CS36" s="335"/>
      <c r="CT36" s="335"/>
      <c r="CU36" s="335"/>
      <c r="CV36" s="335"/>
      <c r="CW36" s="335"/>
      <c r="CX36" s="335"/>
      <c r="CY36" s="335"/>
      <c r="CZ36" s="335"/>
      <c r="DA36" s="335"/>
      <c r="DB36" s="335"/>
      <c r="DC36" s="335"/>
      <c r="DD36" s="335"/>
      <c r="DE36" s="335"/>
      <c r="DF36" s="335"/>
      <c r="DG36" s="335"/>
      <c r="DH36" s="335"/>
      <c r="DI36" s="335"/>
      <c r="DJ36" s="335"/>
      <c r="DK36" s="335"/>
      <c r="DL36" s="335"/>
      <c r="DM36" s="335"/>
      <c r="DN36" s="335"/>
      <c r="DO36" s="335"/>
      <c r="DP36" s="335"/>
      <c r="DQ36" s="52"/>
      <c r="DR36" s="52"/>
      <c r="DS36" s="320">
        <f>DS34</f>
        <v>16.5</v>
      </c>
      <c r="DT36" s="321"/>
      <c r="DU36" s="321"/>
      <c r="DV36" s="321"/>
      <c r="DW36" s="321"/>
      <c r="DX36" s="321"/>
      <c r="DY36" s="321"/>
      <c r="DZ36" s="321"/>
      <c r="EA36" s="321"/>
      <c r="EB36" s="321"/>
      <c r="EC36" s="321"/>
      <c r="ED36" s="321"/>
      <c r="EE36" s="321"/>
      <c r="EF36" s="321"/>
      <c r="EG36" s="321"/>
      <c r="EH36" s="322"/>
      <c r="EI36" s="40"/>
      <c r="EJ36" s="40"/>
      <c r="EK36" s="40"/>
      <c r="EL36" s="40"/>
      <c r="EM36" s="40"/>
      <c r="EN36" s="40"/>
      <c r="EO36" s="304"/>
      <c r="EP36" s="305"/>
      <c r="EQ36" s="305"/>
      <c r="ER36" s="305"/>
      <c r="ES36" s="305"/>
      <c r="ET36" s="305"/>
      <c r="EU36" s="305"/>
      <c r="EV36" s="305"/>
      <c r="EW36" s="305"/>
      <c r="EX36" s="305"/>
      <c r="EY36" s="305"/>
      <c r="EZ36" s="305"/>
      <c r="FA36" s="305"/>
      <c r="FB36" s="306"/>
      <c r="FC36" s="260"/>
      <c r="FD36" s="261"/>
      <c r="FE36" s="261"/>
      <c r="FF36" s="261"/>
      <c r="FG36" s="261"/>
      <c r="FH36" s="261"/>
      <c r="FI36" s="261"/>
      <c r="FJ36" s="261"/>
      <c r="FK36" s="261"/>
      <c r="FL36" s="261"/>
      <c r="FM36" s="263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2"/>
    </row>
    <row r="37" spans="1:191" ht="13.95" customHeight="1" thickBot="1" x14ac:dyDescent="0.35">
      <c r="A37" s="53" t="s">
        <v>102</v>
      </c>
      <c r="B37" s="40"/>
      <c r="C37" s="40"/>
      <c r="D37" s="40"/>
      <c r="E37" s="40"/>
      <c r="F37" s="40"/>
      <c r="G37" s="40"/>
      <c r="H37" s="40"/>
      <c r="I37" s="40"/>
      <c r="J37" s="324">
        <f>AS31</f>
        <v>1</v>
      </c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  <c r="AL37" s="324"/>
      <c r="AM37" s="324"/>
      <c r="AN37" s="324"/>
      <c r="AO37" s="324"/>
      <c r="AP37" s="324"/>
      <c r="AQ37" s="324"/>
      <c r="AR37" s="324"/>
      <c r="AS37" s="324"/>
      <c r="AT37" s="324"/>
      <c r="AU37" s="324"/>
      <c r="AV37" s="324"/>
      <c r="AW37" s="324"/>
      <c r="AX37" s="324"/>
      <c r="AY37" s="324"/>
      <c r="AZ37" s="324"/>
      <c r="BA37" s="324"/>
      <c r="BB37" s="324"/>
      <c r="BC37" s="324"/>
      <c r="BD37" s="324"/>
      <c r="BE37" s="324"/>
      <c r="BF37" s="324"/>
      <c r="BG37" s="324"/>
      <c r="BH37" s="324"/>
      <c r="BI37" s="324"/>
      <c r="BJ37" s="324"/>
      <c r="BK37" s="324"/>
      <c r="BL37" s="324"/>
      <c r="BM37" s="324"/>
      <c r="BN37" s="324"/>
      <c r="BO37" s="324"/>
      <c r="BP37" s="324"/>
      <c r="BQ37" s="324"/>
      <c r="BR37" s="324"/>
      <c r="BS37" s="324"/>
      <c r="BT37" s="324"/>
      <c r="BU37" s="324"/>
      <c r="BV37" s="40"/>
      <c r="BW37" s="41" t="s">
        <v>103</v>
      </c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324" t="str">
        <f>CL35</f>
        <v>16,5 тн</v>
      </c>
      <c r="CN37" s="324"/>
      <c r="CO37" s="324"/>
      <c r="CP37" s="324"/>
      <c r="CQ37" s="324"/>
      <c r="CR37" s="324"/>
      <c r="CS37" s="324"/>
      <c r="CT37" s="324"/>
      <c r="CU37" s="324"/>
      <c r="CV37" s="324"/>
      <c r="CW37" s="324"/>
      <c r="CX37" s="324"/>
      <c r="CY37" s="324"/>
      <c r="CZ37" s="324"/>
      <c r="DA37" s="324"/>
      <c r="DB37" s="324"/>
      <c r="DC37" s="324"/>
      <c r="DD37" s="324"/>
      <c r="DE37" s="324"/>
      <c r="DF37" s="324"/>
      <c r="DG37" s="324"/>
      <c r="DH37" s="324"/>
      <c r="DI37" s="324"/>
      <c r="DJ37" s="324"/>
      <c r="DK37" s="324"/>
      <c r="DL37" s="324"/>
      <c r="DM37" s="324"/>
      <c r="DN37" s="324"/>
      <c r="DO37" s="324"/>
      <c r="DP37" s="324"/>
      <c r="DQ37" s="52"/>
      <c r="DR37" s="52"/>
      <c r="DS37" s="336"/>
      <c r="DT37" s="337"/>
      <c r="DU37" s="337"/>
      <c r="DV37" s="337"/>
      <c r="DW37" s="337"/>
      <c r="DX37" s="337"/>
      <c r="DY37" s="337"/>
      <c r="DZ37" s="337"/>
      <c r="EA37" s="337"/>
      <c r="EB37" s="337"/>
      <c r="EC37" s="337"/>
      <c r="ED37" s="337"/>
      <c r="EE37" s="337"/>
      <c r="EF37" s="337"/>
      <c r="EG37" s="337"/>
      <c r="EH37" s="338"/>
      <c r="EI37" s="325"/>
      <c r="EJ37" s="325"/>
      <c r="EK37" s="325"/>
      <c r="EL37" s="40"/>
      <c r="EM37" s="40"/>
      <c r="EN37" s="40"/>
      <c r="EO37" s="310"/>
      <c r="EP37" s="311"/>
      <c r="EQ37" s="311"/>
      <c r="ER37" s="311"/>
      <c r="ES37" s="311"/>
      <c r="ET37" s="311"/>
      <c r="EU37" s="311"/>
      <c r="EV37" s="311"/>
      <c r="EW37" s="311"/>
      <c r="EX37" s="311"/>
      <c r="EY37" s="311"/>
      <c r="EZ37" s="311"/>
      <c r="FA37" s="311"/>
      <c r="FB37" s="312"/>
      <c r="FC37" s="302"/>
      <c r="FD37" s="300"/>
      <c r="FE37" s="300"/>
      <c r="FF37" s="300"/>
      <c r="FG37" s="300"/>
      <c r="FH37" s="300"/>
      <c r="FI37" s="300"/>
      <c r="FJ37" s="300"/>
      <c r="FK37" s="300"/>
      <c r="FL37" s="300"/>
      <c r="FM37" s="303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I37" s="40"/>
    </row>
    <row r="38" spans="1:191" ht="11.4" customHeight="1" thickBo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7"/>
      <c r="BG38" s="257"/>
      <c r="BH38" s="257"/>
      <c r="BI38" s="257"/>
      <c r="BJ38" s="257"/>
      <c r="BK38" s="257"/>
      <c r="BL38" s="257"/>
      <c r="BM38" s="257"/>
      <c r="BN38" s="257"/>
      <c r="BO38" s="257"/>
      <c r="BP38" s="257"/>
      <c r="BQ38" s="257"/>
      <c r="BR38" s="257"/>
      <c r="BS38" s="257"/>
      <c r="BT38" s="257"/>
      <c r="BU38" s="257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54"/>
      <c r="CJ38" s="54"/>
      <c r="CK38" s="54"/>
      <c r="CL38" s="54"/>
      <c r="CM38" s="54"/>
      <c r="CN38" s="54"/>
      <c r="CO38" s="54"/>
      <c r="CP38" s="54"/>
      <c r="CQ38" s="54"/>
      <c r="CR38" s="257" t="s">
        <v>99</v>
      </c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  <c r="DI38" s="257"/>
      <c r="DJ38" s="257"/>
      <c r="DK38" s="257"/>
      <c r="DL38" s="257"/>
      <c r="DM38" s="257"/>
      <c r="DN38" s="257"/>
      <c r="DO38" s="257"/>
      <c r="DP38" s="257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326" t="s">
        <v>104</v>
      </c>
      <c r="EP38" s="327"/>
      <c r="EQ38" s="327"/>
      <c r="ER38" s="327"/>
      <c r="ES38" s="327"/>
      <c r="ET38" s="327"/>
      <c r="EU38" s="327"/>
      <c r="EV38" s="327"/>
      <c r="EW38" s="327"/>
      <c r="EX38" s="327"/>
      <c r="EY38" s="327"/>
      <c r="EZ38" s="327"/>
      <c r="FA38" s="327"/>
      <c r="FB38" s="328"/>
      <c r="FC38" s="329"/>
      <c r="FD38" s="330"/>
      <c r="FE38" s="330"/>
      <c r="FF38" s="330"/>
      <c r="FG38" s="330"/>
      <c r="FH38" s="330"/>
      <c r="FI38" s="330"/>
      <c r="FJ38" s="330"/>
      <c r="FK38" s="330"/>
      <c r="FL38" s="330"/>
      <c r="FM38" s="331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2"/>
    </row>
    <row r="39" spans="1:191" ht="15" thickTop="1" x14ac:dyDescent="0.3">
      <c r="A39" s="41" t="s">
        <v>105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346"/>
      <c r="AW39" s="346"/>
      <c r="AX39" s="346"/>
      <c r="AY39" s="346"/>
      <c r="AZ39" s="346"/>
      <c r="BA39" s="346"/>
      <c r="BB39" s="346"/>
      <c r="BC39" s="346"/>
      <c r="BD39" s="346"/>
      <c r="BE39" s="346"/>
      <c r="BF39" s="346"/>
      <c r="BG39" s="346"/>
      <c r="BH39" s="346"/>
      <c r="BI39" s="346"/>
      <c r="BJ39" s="346"/>
      <c r="BK39" s="346"/>
      <c r="BL39" s="346"/>
      <c r="BM39" s="346"/>
      <c r="BN39" s="346"/>
      <c r="BO39" s="346"/>
      <c r="BP39" s="346"/>
      <c r="BQ39" s="346"/>
      <c r="BR39" s="346"/>
      <c r="BS39" s="346"/>
      <c r="BT39" s="346"/>
      <c r="BU39" s="346"/>
      <c r="BV39" s="40"/>
      <c r="BW39" s="41" t="s">
        <v>106</v>
      </c>
      <c r="BX39" s="40"/>
      <c r="BY39" s="40"/>
      <c r="BZ39" s="40"/>
      <c r="CA39" s="40"/>
      <c r="CB39" s="40"/>
      <c r="CC39" s="40"/>
      <c r="CD39" s="40"/>
      <c r="CE39" s="297"/>
      <c r="CF39" s="297"/>
      <c r="CG39" s="297"/>
      <c r="CH39" s="297"/>
      <c r="CI39" s="297"/>
      <c r="CJ39" s="297"/>
      <c r="CK39" s="297"/>
      <c r="CL39" s="297"/>
      <c r="CM39" s="297"/>
      <c r="CN39" s="297"/>
      <c r="CO39" s="297"/>
      <c r="CP39" s="297"/>
      <c r="CQ39" s="297"/>
      <c r="CR39" s="297"/>
      <c r="CS39" s="297"/>
      <c r="CT39" s="297"/>
      <c r="CU39" s="297"/>
      <c r="CV39" s="40"/>
      <c r="CW39" s="40"/>
      <c r="CX39" s="55"/>
      <c r="CY39" s="347" t="s">
        <v>107</v>
      </c>
      <c r="CZ39" s="347"/>
      <c r="DA39" s="347"/>
      <c r="DB39" s="347"/>
      <c r="DC39" s="347"/>
      <c r="DD39" s="347"/>
      <c r="DE39" s="347"/>
      <c r="DF39" s="347"/>
      <c r="DG39" s="347"/>
      <c r="DH39" s="347"/>
      <c r="DI39" s="347"/>
      <c r="DJ39" s="347"/>
      <c r="DK39" s="347"/>
      <c r="DL39" s="347"/>
      <c r="DM39" s="347"/>
      <c r="DN39" s="347"/>
      <c r="DO39" s="347"/>
      <c r="DP39" s="347"/>
      <c r="DQ39" s="347"/>
      <c r="DR39" s="347"/>
      <c r="DS39" s="347"/>
      <c r="DT39" s="342"/>
      <c r="DU39" s="342"/>
      <c r="DV39" s="342"/>
      <c r="DW39" s="342"/>
      <c r="DX39" s="342"/>
      <c r="DY39" s="342"/>
      <c r="DZ39" s="342"/>
      <c r="EA39" s="342"/>
      <c r="EB39" s="342"/>
      <c r="EC39" s="342"/>
      <c r="ED39" s="342"/>
      <c r="EE39" s="342"/>
      <c r="EF39" s="342"/>
      <c r="EG39" s="342"/>
      <c r="EH39" s="342"/>
      <c r="EI39" s="342"/>
      <c r="EJ39" s="41"/>
      <c r="EK39" s="340" t="s">
        <v>108</v>
      </c>
      <c r="EL39" s="340"/>
      <c r="EM39" s="340"/>
      <c r="EN39" s="340"/>
      <c r="EO39" s="340"/>
      <c r="EP39" s="348"/>
      <c r="EQ39" s="348"/>
      <c r="ER39" s="348"/>
      <c r="ES39" s="348"/>
      <c r="ET39" s="348"/>
      <c r="EU39" s="339" t="s">
        <v>109</v>
      </c>
      <c r="EV39" s="339"/>
      <c r="EW39" s="339"/>
      <c r="EX39" s="341"/>
      <c r="EY39" s="341"/>
      <c r="EZ39" s="341"/>
      <c r="FA39" s="341"/>
      <c r="FB39" s="341"/>
      <c r="FC39" s="341"/>
      <c r="FD39" s="341"/>
      <c r="FE39" s="341"/>
      <c r="FF39" s="341"/>
      <c r="FG39" s="341"/>
      <c r="FH39" s="341"/>
      <c r="FI39" s="341"/>
      <c r="FJ39" s="341"/>
      <c r="FK39" s="341"/>
      <c r="FL39" s="341"/>
      <c r="FM39" s="341"/>
      <c r="FN39" s="341"/>
      <c r="FO39" s="341"/>
      <c r="FP39" s="341"/>
      <c r="FQ39" s="41"/>
      <c r="FR39" s="56"/>
      <c r="FS39" s="342"/>
      <c r="FT39" s="342"/>
      <c r="FU39" s="342"/>
      <c r="FV39" s="342"/>
      <c r="FW39" s="342"/>
      <c r="FX39" s="342"/>
      <c r="FY39" s="342"/>
      <c r="FZ39" s="342"/>
      <c r="GA39" s="344" t="s">
        <v>110</v>
      </c>
      <c r="GB39" s="344"/>
      <c r="GC39" s="344"/>
      <c r="GD39" s="344"/>
      <c r="GE39" s="40"/>
      <c r="GF39" s="40"/>
      <c r="GG39" s="40"/>
      <c r="GH39" s="40"/>
      <c r="GI39" s="42"/>
    </row>
    <row r="40" spans="1:191" x14ac:dyDescent="0.3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345" t="s">
        <v>99</v>
      </c>
      <c r="AW40" s="345"/>
      <c r="AX40" s="345"/>
      <c r="AY40" s="345"/>
      <c r="AZ40" s="345"/>
      <c r="BA40" s="345"/>
      <c r="BB40" s="345"/>
      <c r="BC40" s="345"/>
      <c r="BD40" s="345"/>
      <c r="BE40" s="345"/>
      <c r="BF40" s="345"/>
      <c r="BG40" s="345"/>
      <c r="BH40" s="345"/>
      <c r="BI40" s="345"/>
      <c r="BJ40" s="345"/>
      <c r="BK40" s="345"/>
      <c r="BL40" s="345"/>
      <c r="BM40" s="345"/>
      <c r="BN40" s="345"/>
      <c r="BO40" s="345"/>
      <c r="BP40" s="345"/>
      <c r="BQ40" s="345"/>
      <c r="BR40" s="345"/>
      <c r="BS40" s="345"/>
      <c r="BT40" s="345"/>
      <c r="BU40" s="345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55"/>
      <c r="CY40" s="347"/>
      <c r="CZ40" s="347"/>
      <c r="DA40" s="347"/>
      <c r="DB40" s="347"/>
      <c r="DC40" s="347"/>
      <c r="DD40" s="347"/>
      <c r="DE40" s="347"/>
      <c r="DF40" s="347"/>
      <c r="DG40" s="347"/>
      <c r="DH40" s="347"/>
      <c r="DI40" s="347"/>
      <c r="DJ40" s="347"/>
      <c r="DK40" s="347"/>
      <c r="DL40" s="347"/>
      <c r="DM40" s="347"/>
      <c r="DN40" s="347"/>
      <c r="DO40" s="347"/>
      <c r="DP40" s="347"/>
      <c r="DQ40" s="347"/>
      <c r="DR40" s="347"/>
      <c r="DS40" s="347"/>
      <c r="DT40" s="343"/>
      <c r="DU40" s="343"/>
      <c r="DV40" s="343"/>
      <c r="DW40" s="343"/>
      <c r="DX40" s="343"/>
      <c r="DY40" s="343"/>
      <c r="DZ40" s="343"/>
      <c r="EA40" s="343"/>
      <c r="EB40" s="343"/>
      <c r="EC40" s="343"/>
      <c r="ED40" s="343"/>
      <c r="EE40" s="343"/>
      <c r="EF40" s="343"/>
      <c r="EG40" s="343"/>
      <c r="EH40" s="343"/>
      <c r="EI40" s="343"/>
      <c r="EJ40" s="57"/>
      <c r="EK40" s="340"/>
      <c r="EL40" s="340"/>
      <c r="EM40" s="340"/>
      <c r="EN40" s="340"/>
      <c r="EO40" s="340"/>
      <c r="EP40" s="343"/>
      <c r="EQ40" s="343"/>
      <c r="ER40" s="343"/>
      <c r="ES40" s="343"/>
      <c r="ET40" s="343"/>
      <c r="EU40" s="340"/>
      <c r="EV40" s="340"/>
      <c r="EW40" s="340"/>
      <c r="EX40" s="297"/>
      <c r="EY40" s="297"/>
      <c r="EZ40" s="297"/>
      <c r="FA40" s="297"/>
      <c r="FB40" s="297"/>
      <c r="FC40" s="297"/>
      <c r="FD40" s="297"/>
      <c r="FE40" s="297"/>
      <c r="FF40" s="297"/>
      <c r="FG40" s="297"/>
      <c r="FH40" s="297"/>
      <c r="FI40" s="297"/>
      <c r="FJ40" s="297"/>
      <c r="FK40" s="297"/>
      <c r="FL40" s="297"/>
      <c r="FM40" s="297"/>
      <c r="FN40" s="297"/>
      <c r="FO40" s="297"/>
      <c r="FP40" s="297"/>
      <c r="FQ40" s="56"/>
      <c r="FR40" s="56"/>
      <c r="FS40" s="343"/>
      <c r="FT40" s="343"/>
      <c r="FU40" s="343"/>
      <c r="FV40" s="343"/>
      <c r="FW40" s="343"/>
      <c r="FX40" s="343"/>
      <c r="FY40" s="343"/>
      <c r="FZ40" s="343"/>
      <c r="GA40" s="344"/>
      <c r="GB40" s="344"/>
      <c r="GC40" s="344"/>
      <c r="GD40" s="344"/>
      <c r="GE40" s="40"/>
      <c r="GF40" s="40"/>
      <c r="GG40" s="40"/>
      <c r="GH40" s="40"/>
      <c r="GI40" s="42"/>
    </row>
    <row r="41" spans="1:191" x14ac:dyDescent="0.3">
      <c r="A41" s="41" t="s">
        <v>111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58"/>
      <c r="T41" s="58"/>
      <c r="U41" s="58"/>
      <c r="V41" s="58"/>
      <c r="W41" s="58"/>
      <c r="X41" s="58"/>
      <c r="Y41" s="58"/>
      <c r="Z41" s="58"/>
      <c r="AA41" s="58"/>
      <c r="AB41" s="297"/>
      <c r="AC41" s="297"/>
      <c r="AD41" s="297"/>
      <c r="AE41" s="297"/>
      <c r="AF41" s="297"/>
      <c r="AG41" s="297"/>
      <c r="AH41" s="297"/>
      <c r="AI41" s="297"/>
      <c r="AJ41" s="297"/>
      <c r="AK41" s="297"/>
      <c r="AL41" s="297"/>
      <c r="AM41" s="297"/>
      <c r="AN41" s="297"/>
      <c r="AO41" s="297"/>
      <c r="AP41" s="297"/>
      <c r="AQ41" s="297"/>
      <c r="AR41" s="297"/>
      <c r="AS41" s="297"/>
      <c r="AT41" s="297"/>
      <c r="AU41" s="297"/>
      <c r="AV41" s="297"/>
      <c r="AW41" s="297"/>
      <c r="AX41" s="297"/>
      <c r="AY41" s="297"/>
      <c r="AZ41" s="297"/>
      <c r="BA41" s="297"/>
      <c r="BB41" s="297"/>
      <c r="BC41" s="297"/>
      <c r="BD41" s="297"/>
      <c r="BE41" s="297"/>
      <c r="BF41" s="297"/>
      <c r="BG41" s="297"/>
      <c r="BH41" s="297"/>
      <c r="BI41" s="297"/>
      <c r="BJ41" s="297"/>
      <c r="BK41" s="297"/>
      <c r="BL41" s="297"/>
      <c r="BM41" s="297"/>
      <c r="BN41" s="297"/>
      <c r="BO41" s="297"/>
      <c r="BP41" s="297"/>
      <c r="BQ41" s="297"/>
      <c r="BR41" s="297"/>
      <c r="BS41" s="297"/>
      <c r="BT41" s="297"/>
      <c r="BU41" s="297"/>
      <c r="BV41" s="297"/>
      <c r="BW41" s="341" t="s">
        <v>112</v>
      </c>
      <c r="BX41" s="341"/>
      <c r="BY41" s="341"/>
      <c r="BZ41" s="341"/>
      <c r="CA41" s="341"/>
      <c r="CB41" s="341"/>
      <c r="CC41" s="297"/>
      <c r="CD41" s="297"/>
      <c r="CE41" s="297"/>
      <c r="CF41" s="297"/>
      <c r="CG41" s="297"/>
      <c r="CH41" s="297"/>
      <c r="CI41" s="297"/>
      <c r="CJ41" s="297"/>
      <c r="CK41" s="297"/>
      <c r="CL41" s="40"/>
      <c r="CM41" s="41" t="s">
        <v>113</v>
      </c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55"/>
      <c r="CY41" s="41" t="s">
        <v>114</v>
      </c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297"/>
      <c r="DK41" s="297"/>
      <c r="DL41" s="297"/>
      <c r="DM41" s="297"/>
      <c r="DN41" s="297"/>
      <c r="DO41" s="297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  <c r="DZ41" s="297"/>
      <c r="EA41" s="297"/>
      <c r="EB41" s="297"/>
      <c r="EC41" s="297"/>
      <c r="ED41" s="297"/>
      <c r="EE41" s="297"/>
      <c r="EF41" s="297"/>
      <c r="EG41" s="297"/>
      <c r="EH41" s="297"/>
      <c r="EI41" s="297"/>
      <c r="EJ41" s="297"/>
      <c r="EK41" s="297"/>
      <c r="EL41" s="297"/>
      <c r="EM41" s="297"/>
      <c r="EN41" s="297"/>
      <c r="EO41" s="297"/>
      <c r="EP41" s="297"/>
      <c r="EQ41" s="297"/>
      <c r="ER41" s="297"/>
      <c r="ES41" s="297"/>
      <c r="ET41" s="297"/>
      <c r="EU41" s="297"/>
      <c r="EV41" s="297"/>
      <c r="EW41" s="297"/>
      <c r="EX41" s="297"/>
      <c r="EY41" s="297"/>
      <c r="EZ41" s="297"/>
      <c r="FA41" s="297"/>
      <c r="FB41" s="297"/>
      <c r="FC41" s="297"/>
      <c r="FD41" s="297"/>
      <c r="FE41" s="297"/>
      <c r="FF41" s="297"/>
      <c r="FG41" s="297"/>
      <c r="FH41" s="297"/>
      <c r="FI41" s="297"/>
      <c r="FJ41" s="297"/>
      <c r="FK41" s="297"/>
      <c r="FL41" s="297"/>
      <c r="FM41" s="297"/>
      <c r="FN41" s="297"/>
      <c r="FO41" s="297"/>
      <c r="FP41" s="297"/>
      <c r="FQ41" s="297"/>
      <c r="FR41" s="297"/>
      <c r="FS41" s="297"/>
      <c r="FT41" s="297"/>
      <c r="FU41" s="297"/>
      <c r="FV41" s="297"/>
      <c r="FW41" s="297"/>
      <c r="FX41" s="297"/>
      <c r="FY41" s="297"/>
      <c r="FZ41" s="297"/>
      <c r="GA41" s="297"/>
      <c r="GB41" s="297"/>
      <c r="GC41" s="297"/>
      <c r="GD41" s="297"/>
      <c r="GE41" s="297"/>
      <c r="GF41" s="40"/>
      <c r="GG41" s="40"/>
      <c r="GH41" s="40"/>
      <c r="GI41" s="42"/>
    </row>
    <row r="42" spans="1:191" ht="7.95" customHeight="1" x14ac:dyDescent="0.3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345" t="s">
        <v>99</v>
      </c>
      <c r="AS42" s="345"/>
      <c r="AT42" s="345"/>
      <c r="AU42" s="345"/>
      <c r="AV42" s="345"/>
      <c r="AW42" s="345"/>
      <c r="AX42" s="345"/>
      <c r="AY42" s="345"/>
      <c r="AZ42" s="345"/>
      <c r="BA42" s="352" t="s">
        <v>115</v>
      </c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55"/>
      <c r="CY42" s="344" t="s">
        <v>116</v>
      </c>
      <c r="CZ42" s="344"/>
      <c r="DA42" s="344"/>
      <c r="DB42" s="344"/>
      <c r="DC42" s="344"/>
      <c r="DD42" s="344"/>
      <c r="DE42" s="344"/>
      <c r="DF42" s="344"/>
      <c r="DG42" s="344"/>
      <c r="DH42" s="344"/>
      <c r="DI42" s="344"/>
      <c r="DJ42" s="344"/>
      <c r="DK42" s="344"/>
      <c r="DL42" s="344"/>
      <c r="DM42" s="344"/>
      <c r="DN42" s="344"/>
      <c r="DO42" s="344"/>
      <c r="DP42" s="344"/>
      <c r="DQ42" s="344"/>
      <c r="DR42" s="344"/>
      <c r="DS42" s="344"/>
      <c r="DT42" s="344"/>
      <c r="DU42" s="344"/>
      <c r="DV42" s="344"/>
      <c r="DW42" s="344"/>
      <c r="DX42" s="344"/>
      <c r="DY42" s="344"/>
      <c r="DZ42" s="344"/>
      <c r="EA42" s="344"/>
      <c r="EB42" s="353" t="s">
        <v>117</v>
      </c>
      <c r="EC42" s="353"/>
      <c r="ED42" s="353"/>
      <c r="EE42" s="353"/>
      <c r="EF42" s="353"/>
      <c r="EG42" s="353"/>
      <c r="EH42" s="353"/>
      <c r="EI42" s="353"/>
      <c r="EJ42" s="353"/>
      <c r="EK42" s="353"/>
      <c r="EL42" s="353"/>
      <c r="EM42" s="353"/>
      <c r="EN42" s="353"/>
      <c r="EO42" s="353"/>
      <c r="EP42" s="353"/>
      <c r="EQ42" s="353"/>
      <c r="ER42" s="353"/>
      <c r="ES42" s="40"/>
      <c r="ET42" s="40"/>
      <c r="EU42" s="355"/>
      <c r="EV42" s="355"/>
      <c r="EW42" s="355"/>
      <c r="EX42" s="355"/>
      <c r="EY42" s="355"/>
      <c r="EZ42" s="355"/>
      <c r="FA42" s="355"/>
      <c r="FB42" s="356" t="s">
        <v>118</v>
      </c>
      <c r="FC42" s="355"/>
      <c r="FD42" s="355"/>
      <c r="FE42" s="355"/>
      <c r="FF42" s="355"/>
      <c r="FG42" s="40"/>
      <c r="FH42" s="40"/>
      <c r="FI42" s="357" t="s">
        <v>119</v>
      </c>
      <c r="FJ42" s="357"/>
      <c r="FK42" s="357"/>
      <c r="FL42" s="357"/>
      <c r="FM42" s="357"/>
      <c r="FN42" s="357"/>
      <c r="FO42" s="357"/>
      <c r="FP42" s="357"/>
      <c r="FQ42" s="357"/>
      <c r="FR42" s="357"/>
      <c r="FS42" s="357"/>
      <c r="FT42" s="357"/>
      <c r="FU42" s="357"/>
      <c r="FV42" s="357"/>
      <c r="FW42" s="357"/>
      <c r="FX42" s="357"/>
      <c r="FY42" s="357"/>
      <c r="FZ42" s="357"/>
      <c r="GA42" s="357"/>
      <c r="GB42" s="357"/>
      <c r="GC42" s="357"/>
      <c r="GD42" s="357"/>
      <c r="GE42" s="357"/>
      <c r="GF42" s="40"/>
      <c r="GG42" s="40"/>
      <c r="GH42" s="40"/>
      <c r="GI42" s="42"/>
    </row>
    <row r="43" spans="1:191" ht="7.95" customHeight="1" x14ac:dyDescent="0.3">
      <c r="A43" s="352" t="s">
        <v>120</v>
      </c>
      <c r="B43" s="352"/>
      <c r="C43" s="352"/>
      <c r="D43" s="352"/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257"/>
      <c r="AS43" s="257"/>
      <c r="AT43" s="257"/>
      <c r="AU43" s="257"/>
      <c r="AV43" s="257"/>
      <c r="AW43" s="257"/>
      <c r="AX43" s="257"/>
      <c r="AY43" s="257"/>
      <c r="AZ43" s="257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55"/>
      <c r="CY43" s="344"/>
      <c r="CZ43" s="344"/>
      <c r="DA43" s="344"/>
      <c r="DB43" s="344"/>
      <c r="DC43" s="344"/>
      <c r="DD43" s="344"/>
      <c r="DE43" s="344"/>
      <c r="DF43" s="344"/>
      <c r="DG43" s="344"/>
      <c r="DH43" s="344"/>
      <c r="DI43" s="344"/>
      <c r="DJ43" s="344"/>
      <c r="DK43" s="344"/>
      <c r="DL43" s="344"/>
      <c r="DM43" s="344"/>
      <c r="DN43" s="344"/>
      <c r="DO43" s="344"/>
      <c r="DP43" s="344"/>
      <c r="DQ43" s="344"/>
      <c r="DR43" s="344"/>
      <c r="DS43" s="344"/>
      <c r="DT43" s="344"/>
      <c r="DU43" s="344"/>
      <c r="DV43" s="344"/>
      <c r="DW43" s="344"/>
      <c r="DX43" s="344"/>
      <c r="DY43" s="344"/>
      <c r="DZ43" s="344"/>
      <c r="EA43" s="344"/>
      <c r="EB43" s="354"/>
      <c r="EC43" s="354"/>
      <c r="ED43" s="354"/>
      <c r="EE43" s="354"/>
      <c r="EF43" s="354"/>
      <c r="EG43" s="354"/>
      <c r="EH43" s="354"/>
      <c r="EI43" s="354"/>
      <c r="EJ43" s="354"/>
      <c r="EK43" s="354"/>
      <c r="EL43" s="354"/>
      <c r="EM43" s="354"/>
      <c r="EN43" s="354"/>
      <c r="EO43" s="354"/>
      <c r="EP43" s="354"/>
      <c r="EQ43" s="354"/>
      <c r="ER43" s="354"/>
      <c r="ES43" s="40"/>
      <c r="ET43" s="40"/>
      <c r="EU43" s="297"/>
      <c r="EV43" s="297"/>
      <c r="EW43" s="297"/>
      <c r="EX43" s="297"/>
      <c r="EY43" s="297"/>
      <c r="EZ43" s="297"/>
      <c r="FA43" s="297"/>
      <c r="FB43" s="297"/>
      <c r="FC43" s="297"/>
      <c r="FD43" s="297"/>
      <c r="FE43" s="297"/>
      <c r="FF43" s="297"/>
      <c r="FG43" s="40"/>
      <c r="FH43" s="40"/>
      <c r="FI43" s="349"/>
      <c r="FJ43" s="349"/>
      <c r="FK43" s="349"/>
      <c r="FL43" s="349"/>
      <c r="FM43" s="349"/>
      <c r="FN43" s="349"/>
      <c r="FO43" s="349"/>
      <c r="FP43" s="349"/>
      <c r="FQ43" s="349"/>
      <c r="FR43" s="349"/>
      <c r="FS43" s="349"/>
      <c r="FT43" s="349"/>
      <c r="FU43" s="349"/>
      <c r="FV43" s="349"/>
      <c r="FW43" s="349"/>
      <c r="FX43" s="349"/>
      <c r="FY43" s="349"/>
      <c r="FZ43" s="349"/>
      <c r="GA43" s="349"/>
      <c r="GB43" s="349"/>
      <c r="GC43" s="349"/>
      <c r="GD43" s="349"/>
      <c r="GE43" s="349"/>
      <c r="GF43" s="40"/>
      <c r="GG43" s="40"/>
      <c r="GH43" s="40"/>
      <c r="GI43" s="42"/>
    </row>
    <row r="44" spans="1:191" s="62" customFormat="1" ht="6.6" customHeight="1" x14ac:dyDescent="0.3">
      <c r="A44" s="352"/>
      <c r="B44" s="352"/>
      <c r="C44" s="352"/>
      <c r="D44" s="352"/>
      <c r="E44" s="352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352"/>
      <c r="T44" s="352"/>
      <c r="U44" s="352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45"/>
      <c r="BY44" s="45"/>
      <c r="BZ44" s="45"/>
      <c r="CA44" s="45"/>
      <c r="CB44" s="45"/>
      <c r="CC44" s="45"/>
      <c r="CD44" s="45"/>
      <c r="CE44" s="45"/>
      <c r="CF44" s="45"/>
      <c r="CG44" s="45"/>
      <c r="CH44" s="45"/>
      <c r="CI44" s="45"/>
      <c r="CJ44" s="45"/>
      <c r="CK44" s="45"/>
      <c r="CL44" s="45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60"/>
      <c r="CY44" s="45"/>
      <c r="CZ44" s="45"/>
      <c r="DA44" s="45"/>
      <c r="DB44" s="45"/>
      <c r="DC44" s="45"/>
      <c r="DD44" s="45"/>
      <c r="DE44" s="45"/>
      <c r="DF44" s="45"/>
      <c r="DG44" s="45"/>
      <c r="DH44" s="45"/>
      <c r="DI44" s="45"/>
      <c r="DJ44" s="45"/>
      <c r="DK44" s="45"/>
      <c r="DL44" s="45"/>
      <c r="DM44" s="45"/>
      <c r="DN44" s="45"/>
      <c r="DO44" s="45"/>
      <c r="DP44" s="45"/>
      <c r="DQ44" s="45"/>
      <c r="DR44" s="45"/>
      <c r="DS44" s="45"/>
      <c r="DT44" s="45"/>
      <c r="DU44" s="45"/>
      <c r="DV44" s="45"/>
      <c r="DW44" s="45"/>
      <c r="DX44" s="45"/>
      <c r="DY44" s="45"/>
      <c r="DZ44" s="45"/>
      <c r="EA44" s="45"/>
      <c r="EB44" s="234" t="s">
        <v>121</v>
      </c>
      <c r="EC44" s="234"/>
      <c r="ED44" s="234"/>
      <c r="EE44" s="234"/>
      <c r="EF44" s="234"/>
      <c r="EG44" s="234"/>
      <c r="EH44" s="234"/>
      <c r="EI44" s="234"/>
      <c r="EJ44" s="234"/>
      <c r="EK44" s="234"/>
      <c r="EL44" s="234"/>
      <c r="EM44" s="234"/>
      <c r="EN44" s="234"/>
      <c r="EO44" s="234"/>
      <c r="EP44" s="234"/>
      <c r="EQ44" s="234"/>
      <c r="ER44" s="234"/>
      <c r="ES44" s="45"/>
      <c r="ET44" s="45"/>
      <c r="EU44" s="234" t="s">
        <v>122</v>
      </c>
      <c r="EV44" s="234"/>
      <c r="EW44" s="234"/>
      <c r="EX44" s="234"/>
      <c r="EY44" s="234"/>
      <c r="EZ44" s="234"/>
      <c r="FA44" s="234"/>
      <c r="FB44" s="234"/>
      <c r="FC44" s="234"/>
      <c r="FD44" s="234"/>
      <c r="FE44" s="234"/>
      <c r="FF44" s="234"/>
      <c r="FG44" s="45"/>
      <c r="FH44" s="45"/>
      <c r="FI44" s="234"/>
      <c r="FJ44" s="234"/>
      <c r="FK44" s="234"/>
      <c r="FL44" s="234"/>
      <c r="FM44" s="234"/>
      <c r="FN44" s="234"/>
      <c r="FO44" s="234"/>
      <c r="FP44" s="234"/>
      <c r="FQ44" s="234"/>
      <c r="FR44" s="234"/>
      <c r="FS44" s="234"/>
      <c r="FT44" s="234"/>
      <c r="FU44" s="234"/>
      <c r="FV44" s="234"/>
      <c r="FW44" s="234"/>
      <c r="FX44" s="234"/>
      <c r="FY44" s="234"/>
      <c r="FZ44" s="234"/>
      <c r="GA44" s="234"/>
      <c r="GB44" s="234"/>
      <c r="GC44" s="234"/>
      <c r="GD44" s="234"/>
      <c r="GE44" s="234"/>
      <c r="GF44" s="45"/>
      <c r="GG44" s="45"/>
      <c r="GH44" s="45"/>
      <c r="GI44" s="61"/>
    </row>
    <row r="45" spans="1:191" x14ac:dyDescent="0.3">
      <c r="A45" s="349" t="s">
        <v>123</v>
      </c>
      <c r="B45" s="349"/>
      <c r="C45" s="349"/>
      <c r="D45" s="349"/>
      <c r="E45" s="349"/>
      <c r="F45" s="349"/>
      <c r="G45" s="349"/>
      <c r="H45" s="349"/>
      <c r="I45" s="349"/>
      <c r="J45" s="349"/>
      <c r="K45" s="349"/>
      <c r="L45" s="349"/>
      <c r="M45" s="349"/>
      <c r="N45" s="349"/>
      <c r="O45" s="349"/>
      <c r="P45" s="349"/>
      <c r="Q45" s="349"/>
      <c r="R45" s="349"/>
      <c r="S45" s="349"/>
      <c r="T45" s="349"/>
      <c r="U45" s="349"/>
      <c r="V45" s="349"/>
      <c r="W45" s="349"/>
      <c r="X45" s="63"/>
      <c r="Y45" s="350"/>
      <c r="Z45" s="350"/>
      <c r="AA45" s="350"/>
      <c r="AB45" s="350"/>
      <c r="AC45" s="350"/>
      <c r="AD45" s="350"/>
      <c r="AE45" s="350"/>
      <c r="AF45" s="63"/>
      <c r="AG45" s="349" t="s">
        <v>124</v>
      </c>
      <c r="AH45" s="349"/>
      <c r="AI45" s="349"/>
      <c r="AJ45" s="349"/>
      <c r="AK45" s="349"/>
      <c r="AL45" s="349"/>
      <c r="AM45" s="349"/>
      <c r="AN45" s="349"/>
      <c r="AO45" s="349"/>
      <c r="AP45" s="349"/>
      <c r="AQ45" s="349"/>
      <c r="AR45" s="349"/>
      <c r="AS45" s="349"/>
      <c r="AT45" s="349"/>
      <c r="AU45" s="349"/>
      <c r="AV45" s="349"/>
      <c r="AW45" s="349"/>
      <c r="AX45" s="349"/>
      <c r="AY45" s="64"/>
      <c r="AZ45" s="40"/>
      <c r="BA45" s="65" t="s">
        <v>125</v>
      </c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40"/>
      <c r="BM45" s="40"/>
      <c r="BN45" s="40"/>
      <c r="BO45" s="40"/>
      <c r="BP45" s="40"/>
      <c r="BQ45" s="351"/>
      <c r="BR45" s="351"/>
      <c r="BS45" s="351"/>
      <c r="BT45" s="351"/>
      <c r="BU45" s="351"/>
      <c r="BV45" s="351"/>
      <c r="BW45" s="351"/>
      <c r="BX45" s="351"/>
      <c r="BY45" s="351"/>
      <c r="BZ45" s="351"/>
      <c r="CA45" s="40"/>
      <c r="CB45" s="40"/>
      <c r="CC45" s="297"/>
      <c r="CD45" s="297"/>
      <c r="CE45" s="297"/>
      <c r="CF45" s="297"/>
      <c r="CG45" s="297"/>
      <c r="CH45" s="297"/>
      <c r="CI45" s="297"/>
      <c r="CJ45" s="297"/>
      <c r="CK45" s="297"/>
      <c r="CL45" s="297"/>
      <c r="CM45" s="297"/>
      <c r="CN45" s="297"/>
      <c r="CO45" s="297"/>
      <c r="CP45" s="297"/>
      <c r="CQ45" s="297"/>
      <c r="CR45" s="297"/>
      <c r="CS45" s="297"/>
      <c r="CT45" s="297"/>
      <c r="CU45" s="297"/>
      <c r="CV45" s="40"/>
      <c r="CW45" s="40"/>
      <c r="CX45" s="55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2"/>
    </row>
    <row r="46" spans="1:191" s="62" customFormat="1" ht="7.2" customHeight="1" x14ac:dyDescent="0.3">
      <c r="A46" s="358" t="s">
        <v>121</v>
      </c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  <c r="M46" s="358"/>
      <c r="N46" s="358"/>
      <c r="O46" s="358"/>
      <c r="P46" s="358"/>
      <c r="Q46" s="358"/>
      <c r="R46" s="358"/>
      <c r="S46" s="358"/>
      <c r="T46" s="358"/>
      <c r="U46" s="358"/>
      <c r="V46" s="358"/>
      <c r="W46" s="358"/>
      <c r="X46" s="67"/>
      <c r="Y46" s="358" t="s">
        <v>122</v>
      </c>
      <c r="Z46" s="358"/>
      <c r="AA46" s="358"/>
      <c r="AB46" s="358"/>
      <c r="AC46" s="358"/>
      <c r="AD46" s="358"/>
      <c r="AE46" s="358"/>
      <c r="AF46" s="67"/>
      <c r="AG46" s="358" t="s">
        <v>126</v>
      </c>
      <c r="AH46" s="358"/>
      <c r="AI46" s="358"/>
      <c r="AJ46" s="358"/>
      <c r="AK46" s="358"/>
      <c r="AL46" s="358"/>
      <c r="AM46" s="358"/>
      <c r="AN46" s="358"/>
      <c r="AO46" s="358"/>
      <c r="AP46" s="358"/>
      <c r="AQ46" s="358"/>
      <c r="AR46" s="358"/>
      <c r="AS46" s="358"/>
      <c r="AT46" s="358"/>
      <c r="AU46" s="358"/>
      <c r="AV46" s="358"/>
      <c r="AW46" s="358"/>
      <c r="AX46" s="358"/>
      <c r="AY46" s="68"/>
      <c r="AZ46" s="45"/>
      <c r="BA46" s="45"/>
      <c r="BB46" s="45"/>
      <c r="BC46" s="45"/>
      <c r="BD46" s="45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234" t="s">
        <v>122</v>
      </c>
      <c r="BR46" s="234"/>
      <c r="BS46" s="234"/>
      <c r="BT46" s="234"/>
      <c r="BU46" s="234"/>
      <c r="BV46" s="234"/>
      <c r="BW46" s="234"/>
      <c r="BX46" s="234"/>
      <c r="BY46" s="234"/>
      <c r="BZ46" s="234"/>
      <c r="CA46" s="70"/>
      <c r="CB46" s="70"/>
      <c r="CC46" s="234" t="s">
        <v>126</v>
      </c>
      <c r="CD46" s="234"/>
      <c r="CE46" s="234"/>
      <c r="CF46" s="234"/>
      <c r="CG46" s="234"/>
      <c r="CH46" s="234"/>
      <c r="CI46" s="234"/>
      <c r="CJ46" s="234"/>
      <c r="CK46" s="234"/>
      <c r="CL46" s="234"/>
      <c r="CM46" s="234"/>
      <c r="CN46" s="234"/>
      <c r="CO46" s="234"/>
      <c r="CP46" s="234"/>
      <c r="CQ46" s="234"/>
      <c r="CR46" s="234"/>
      <c r="CS46" s="234"/>
      <c r="CT46" s="234"/>
      <c r="CU46" s="234"/>
      <c r="CV46" s="45"/>
      <c r="CW46" s="45"/>
      <c r="CX46" s="60"/>
      <c r="CY46" s="344" t="s">
        <v>127</v>
      </c>
      <c r="CZ46" s="344"/>
      <c r="DA46" s="344"/>
      <c r="DB46" s="344"/>
      <c r="DC46" s="344"/>
      <c r="DD46" s="344"/>
      <c r="DE46" s="344"/>
      <c r="DF46" s="344"/>
      <c r="DG46" s="344"/>
      <c r="DH46" s="344"/>
      <c r="DI46" s="344"/>
      <c r="DJ46" s="344"/>
      <c r="DK46" s="344"/>
      <c r="DL46" s="344"/>
      <c r="DM46" s="344"/>
      <c r="DN46" s="344"/>
      <c r="DO46" s="344"/>
      <c r="DP46" s="344"/>
      <c r="DQ46" s="344"/>
      <c r="DR46" s="344"/>
      <c r="DS46" s="344"/>
      <c r="DT46" s="344"/>
      <c r="DU46" s="344"/>
      <c r="DV46" s="344"/>
      <c r="DW46" s="344"/>
      <c r="DX46" s="344"/>
      <c r="DY46" s="344"/>
      <c r="DZ46" s="344"/>
      <c r="EA46" s="344"/>
      <c r="EB46" s="344"/>
      <c r="EC46" s="344"/>
      <c r="ED46" s="344"/>
      <c r="EE46" s="344"/>
      <c r="EF46" s="344"/>
      <c r="EG46" s="344"/>
      <c r="EH46" s="344"/>
      <c r="EI46" s="344"/>
      <c r="EJ46" s="344"/>
      <c r="EK46" s="344"/>
      <c r="EL46" s="344"/>
      <c r="EM46" s="344"/>
      <c r="EN46" s="344"/>
      <c r="EO46" s="344"/>
      <c r="EP46" s="344"/>
      <c r="EQ46" s="344"/>
      <c r="ER46" s="344"/>
      <c r="ES46" s="344"/>
      <c r="ET46" s="344"/>
      <c r="EU46" s="344"/>
      <c r="EV46" s="344"/>
      <c r="EW46" s="344"/>
      <c r="EX46" s="344"/>
      <c r="EY46" s="344"/>
      <c r="EZ46" s="344"/>
      <c r="FA46" s="344"/>
      <c r="FB46" s="344"/>
      <c r="FC46" s="344"/>
      <c r="FD46" s="344"/>
      <c r="FE46" s="344"/>
      <c r="FF46" s="344"/>
      <c r="FG46" s="344"/>
      <c r="FH46" s="344"/>
      <c r="FI46" s="45"/>
      <c r="FJ46" s="45"/>
      <c r="FK46" s="45"/>
      <c r="FL46" s="45"/>
      <c r="FM46" s="45"/>
      <c r="FN46" s="45"/>
      <c r="FO46" s="45"/>
      <c r="FP46" s="45"/>
      <c r="FQ46" s="45"/>
      <c r="FR46" s="45"/>
      <c r="FS46" s="45"/>
      <c r="FT46" s="45"/>
      <c r="FU46" s="45"/>
      <c r="FV46" s="45"/>
      <c r="FW46" s="45"/>
      <c r="FX46" s="45"/>
      <c r="FY46" s="45"/>
      <c r="FZ46" s="45"/>
      <c r="GA46" s="45"/>
      <c r="GB46" s="45"/>
      <c r="GC46" s="45"/>
      <c r="GD46" s="45"/>
      <c r="GE46" s="45"/>
      <c r="GF46" s="45"/>
      <c r="GG46" s="45"/>
      <c r="GH46" s="45"/>
      <c r="GI46" s="61"/>
    </row>
    <row r="47" spans="1:191" ht="12.6" customHeight="1" x14ac:dyDescent="0.3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55"/>
      <c r="CY47" s="344"/>
      <c r="CZ47" s="344"/>
      <c r="DA47" s="344"/>
      <c r="DB47" s="344"/>
      <c r="DC47" s="344"/>
      <c r="DD47" s="344"/>
      <c r="DE47" s="344"/>
      <c r="DF47" s="344"/>
      <c r="DG47" s="344"/>
      <c r="DH47" s="344"/>
      <c r="DI47" s="344"/>
      <c r="DJ47" s="344"/>
      <c r="DK47" s="344"/>
      <c r="DL47" s="344"/>
      <c r="DM47" s="344"/>
      <c r="DN47" s="344"/>
      <c r="DO47" s="344"/>
      <c r="DP47" s="344"/>
      <c r="DQ47" s="344"/>
      <c r="DR47" s="344"/>
      <c r="DS47" s="344"/>
      <c r="DT47" s="344"/>
      <c r="DU47" s="344"/>
      <c r="DV47" s="344"/>
      <c r="DW47" s="344"/>
      <c r="DX47" s="344"/>
      <c r="DY47" s="344"/>
      <c r="DZ47" s="344"/>
      <c r="EA47" s="344"/>
      <c r="EB47" s="344"/>
      <c r="EC47" s="344"/>
      <c r="ED47" s="344"/>
      <c r="EE47" s="344"/>
      <c r="EF47" s="344"/>
      <c r="EG47" s="344"/>
      <c r="EH47" s="344"/>
      <c r="EI47" s="344"/>
      <c r="EJ47" s="344"/>
      <c r="EK47" s="344"/>
      <c r="EL47" s="344"/>
      <c r="EM47" s="344"/>
      <c r="EN47" s="344"/>
      <c r="EO47" s="344"/>
      <c r="EP47" s="344"/>
      <c r="EQ47" s="344"/>
      <c r="ER47" s="344"/>
      <c r="ES47" s="344"/>
      <c r="ET47" s="344"/>
      <c r="EU47" s="344"/>
      <c r="EV47" s="344"/>
      <c r="EW47" s="344"/>
      <c r="EX47" s="344"/>
      <c r="EY47" s="344"/>
      <c r="EZ47" s="344"/>
      <c r="FA47" s="344"/>
      <c r="FB47" s="344"/>
      <c r="FC47" s="344"/>
      <c r="FD47" s="344"/>
      <c r="FE47" s="344"/>
      <c r="FF47" s="344"/>
      <c r="FG47" s="344"/>
      <c r="FH47" s="344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2"/>
    </row>
    <row r="48" spans="1:191" x14ac:dyDescent="0.3">
      <c r="A48" s="72" t="s">
        <v>128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349" t="s">
        <v>129</v>
      </c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40"/>
      <c r="BA48" s="40"/>
      <c r="BB48" s="350"/>
      <c r="BC48" s="350"/>
      <c r="BD48" s="350"/>
      <c r="BE48" s="350"/>
      <c r="BF48" s="350"/>
      <c r="BG48" s="350"/>
      <c r="BH48" s="350"/>
      <c r="BI48" s="350"/>
      <c r="BJ48" s="350"/>
      <c r="BK48" s="350"/>
      <c r="BL48" s="350"/>
      <c r="BM48" s="350"/>
      <c r="BN48" s="350"/>
      <c r="BO48" s="350"/>
      <c r="BP48" s="40"/>
      <c r="BQ48" s="40"/>
      <c r="BR48" s="349" t="s">
        <v>130</v>
      </c>
      <c r="BS48" s="349"/>
      <c r="BT48" s="349"/>
      <c r="BU48" s="349"/>
      <c r="BV48" s="349"/>
      <c r="BW48" s="349"/>
      <c r="BX48" s="349"/>
      <c r="BY48" s="349"/>
      <c r="BZ48" s="349"/>
      <c r="CA48" s="349"/>
      <c r="CB48" s="349"/>
      <c r="CC48" s="349"/>
      <c r="CD48" s="349"/>
      <c r="CE48" s="349"/>
      <c r="CF48" s="349"/>
      <c r="CG48" s="349"/>
      <c r="CH48" s="349"/>
      <c r="CI48" s="349"/>
      <c r="CJ48" s="349"/>
      <c r="CK48" s="349"/>
      <c r="CL48" s="349"/>
      <c r="CM48" s="349"/>
      <c r="CN48" s="349"/>
      <c r="CO48" s="349"/>
      <c r="CP48" s="349"/>
      <c r="CQ48" s="349"/>
      <c r="CR48" s="40"/>
      <c r="CS48" s="40"/>
      <c r="CT48" s="40"/>
      <c r="CU48" s="40"/>
      <c r="CV48" s="40"/>
      <c r="CW48" s="40"/>
      <c r="CX48" s="73"/>
      <c r="CY48" s="363"/>
      <c r="CZ48" s="363"/>
      <c r="DA48" s="363"/>
      <c r="DB48" s="363"/>
      <c r="DC48" s="363"/>
      <c r="DD48" s="363"/>
      <c r="DE48" s="363"/>
      <c r="DF48" s="363"/>
      <c r="DG48" s="363"/>
      <c r="DH48" s="363"/>
      <c r="DI48" s="363"/>
      <c r="DJ48" s="363"/>
      <c r="DK48" s="363"/>
      <c r="DL48" s="363"/>
      <c r="DM48" s="363"/>
      <c r="DN48" s="363"/>
      <c r="DO48" s="363"/>
      <c r="DP48" s="363"/>
      <c r="DQ48" s="363"/>
      <c r="DR48" s="363"/>
      <c r="DS48" s="363"/>
      <c r="DT48" s="363"/>
      <c r="DU48" s="363"/>
      <c r="DV48" s="363"/>
      <c r="DW48" s="363"/>
      <c r="DX48" s="363"/>
      <c r="DY48" s="363"/>
      <c r="DZ48" s="363"/>
      <c r="EA48" s="363"/>
      <c r="EB48" s="363"/>
      <c r="EC48" s="363"/>
      <c r="ED48" s="363"/>
      <c r="EE48" s="363"/>
      <c r="EF48" s="363"/>
      <c r="EG48" s="363"/>
      <c r="EH48" s="363"/>
      <c r="EI48" s="363"/>
      <c r="EJ48" s="363"/>
      <c r="EK48" s="363"/>
      <c r="EL48" s="363"/>
      <c r="EM48" s="363"/>
      <c r="EN48" s="363"/>
      <c r="EO48" s="363"/>
      <c r="EP48" s="363"/>
      <c r="EQ48" s="363"/>
      <c r="ER48" s="363"/>
      <c r="ES48" s="363"/>
      <c r="ET48" s="363"/>
      <c r="EU48" s="363"/>
      <c r="EV48" s="363"/>
      <c r="EW48" s="363"/>
      <c r="EX48" s="363"/>
      <c r="EY48" s="363"/>
      <c r="EZ48" s="363"/>
      <c r="FA48" s="363"/>
      <c r="FB48" s="363"/>
      <c r="FC48" s="363"/>
      <c r="FD48" s="363"/>
      <c r="FE48" s="363"/>
      <c r="FF48" s="363"/>
      <c r="FG48" s="363"/>
      <c r="FH48" s="363"/>
      <c r="FI48" s="363"/>
      <c r="FJ48" s="363"/>
      <c r="FK48" s="363"/>
      <c r="FL48" s="363"/>
      <c r="FM48" s="363"/>
      <c r="FN48" s="363"/>
      <c r="FO48" s="363"/>
      <c r="FP48" s="363"/>
      <c r="FQ48" s="363"/>
      <c r="FR48" s="363"/>
      <c r="FS48" s="363"/>
      <c r="FT48" s="363"/>
      <c r="FU48" s="363"/>
      <c r="FV48" s="363"/>
      <c r="FW48" s="363"/>
      <c r="FX48" s="363"/>
      <c r="FY48" s="363"/>
      <c r="FZ48" s="363"/>
      <c r="GA48" s="363"/>
      <c r="GB48" s="363"/>
      <c r="GC48" s="363"/>
      <c r="GD48" s="363"/>
      <c r="GE48" s="363"/>
      <c r="GF48" s="40"/>
      <c r="GG48" s="40"/>
      <c r="GH48" s="40"/>
      <c r="GI48" s="42"/>
    </row>
    <row r="49" spans="1:191" s="33" customFormat="1" ht="7.2" customHeight="1" x14ac:dyDescent="0.3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234" t="s">
        <v>121</v>
      </c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4"/>
      <c r="AT49" s="234"/>
      <c r="AU49" s="234"/>
      <c r="AV49" s="234"/>
      <c r="AW49" s="234"/>
      <c r="AX49" s="234"/>
      <c r="AY49" s="234"/>
      <c r="AZ49" s="49"/>
      <c r="BA49" s="49"/>
      <c r="BB49" s="234" t="s">
        <v>122</v>
      </c>
      <c r="BC49" s="234"/>
      <c r="BD49" s="234"/>
      <c r="BE49" s="234"/>
      <c r="BF49" s="234"/>
      <c r="BG49" s="234"/>
      <c r="BH49" s="234"/>
      <c r="BI49" s="234"/>
      <c r="BJ49" s="234"/>
      <c r="BK49" s="234"/>
      <c r="BL49" s="234"/>
      <c r="BM49" s="234"/>
      <c r="BN49" s="234"/>
      <c r="BO49" s="234"/>
      <c r="BP49" s="70"/>
      <c r="BQ49" s="70"/>
      <c r="BR49" s="234" t="s">
        <v>126</v>
      </c>
      <c r="BS49" s="234"/>
      <c r="BT49" s="234"/>
      <c r="BU49" s="234"/>
      <c r="BV49" s="234"/>
      <c r="BW49" s="234"/>
      <c r="BX49" s="234"/>
      <c r="BY49" s="234"/>
      <c r="BZ49" s="234"/>
      <c r="CA49" s="234"/>
      <c r="CB49" s="234"/>
      <c r="CC49" s="234"/>
      <c r="CD49" s="234"/>
      <c r="CE49" s="234"/>
      <c r="CF49" s="234"/>
      <c r="CG49" s="234"/>
      <c r="CH49" s="234"/>
      <c r="CI49" s="234"/>
      <c r="CJ49" s="234"/>
      <c r="CK49" s="234"/>
      <c r="CL49" s="234"/>
      <c r="CM49" s="234"/>
      <c r="CN49" s="234"/>
      <c r="CO49" s="234"/>
      <c r="CP49" s="234"/>
      <c r="CQ49" s="234"/>
      <c r="CR49" s="49"/>
      <c r="CS49" s="49"/>
      <c r="CT49" s="49"/>
      <c r="CU49" s="49"/>
      <c r="CV49" s="49"/>
      <c r="CW49" s="49"/>
      <c r="CX49" s="74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 s="49"/>
      <c r="DQ49" s="49"/>
      <c r="DR49" s="49"/>
      <c r="DS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75"/>
    </row>
    <row r="50" spans="1:191" x14ac:dyDescent="0.3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76" t="s">
        <v>131</v>
      </c>
      <c r="AT50" s="41"/>
      <c r="AU50" s="41"/>
      <c r="AV50" s="41"/>
      <c r="AW50" s="41"/>
      <c r="AX50" s="41"/>
      <c r="AY50" s="41"/>
      <c r="AZ50" s="41"/>
      <c r="BA50" s="41"/>
      <c r="BB50" s="41"/>
      <c r="BC50" s="41" t="s">
        <v>132</v>
      </c>
      <c r="BD50" s="41"/>
      <c r="BE50" s="359" t="str">
        <f>FM7</f>
        <v>12</v>
      </c>
      <c r="BF50" s="349"/>
      <c r="BG50" s="349"/>
      <c r="BH50" s="349"/>
      <c r="BI50" s="349"/>
      <c r="BJ50" s="57" t="s">
        <v>109</v>
      </c>
      <c r="BK50" s="57"/>
      <c r="BL50" s="57"/>
      <c r="BM50" s="349" t="str">
        <f>VLOOKUP(FS7,$GJ$112:$GK$123,2,FALSE)</f>
        <v>апреля</v>
      </c>
      <c r="BN50" s="349"/>
      <c r="BO50" s="349"/>
      <c r="BP50" s="349"/>
      <c r="BQ50" s="349"/>
      <c r="BR50" s="349"/>
      <c r="BS50" s="349"/>
      <c r="BT50" s="349"/>
      <c r="BU50" s="349"/>
      <c r="BV50" s="349"/>
      <c r="BW50" s="349"/>
      <c r="BX50" s="349"/>
      <c r="BY50" s="349"/>
      <c r="BZ50" s="349"/>
      <c r="CA50" s="349"/>
      <c r="CB50" s="349"/>
      <c r="CC50" s="349"/>
      <c r="CD50" s="349"/>
      <c r="CE50" s="56"/>
      <c r="CF50" s="56"/>
      <c r="CG50" s="360" t="str">
        <f>FZ7</f>
        <v>2023</v>
      </c>
      <c r="CH50" s="361"/>
      <c r="CI50" s="361"/>
      <c r="CJ50" s="361"/>
      <c r="CK50" s="361"/>
      <c r="CL50" s="361"/>
      <c r="CM50" s="361"/>
      <c r="CN50" s="56"/>
      <c r="CO50" s="41" t="s">
        <v>133</v>
      </c>
      <c r="CP50" s="77"/>
      <c r="CQ50" s="40"/>
      <c r="CR50" s="40"/>
      <c r="CS50" s="40"/>
      <c r="CT50" s="40"/>
      <c r="CU50" s="40"/>
      <c r="CV50" s="40"/>
      <c r="CW50" s="40"/>
      <c r="CX50" s="55"/>
      <c r="CY50" s="41" t="s">
        <v>134</v>
      </c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362"/>
      <c r="EE50" s="362"/>
      <c r="EF50" s="362"/>
      <c r="EG50" s="362"/>
      <c r="EH50" s="362"/>
      <c r="EI50" s="362"/>
      <c r="EJ50" s="362"/>
      <c r="EK50" s="362"/>
      <c r="EL50" s="362"/>
      <c r="EM50" s="362"/>
      <c r="EN50" s="362"/>
      <c r="EO50" s="362"/>
      <c r="EP50" s="362"/>
      <c r="EQ50" s="362"/>
      <c r="ER50" s="362"/>
      <c r="ES50" s="362"/>
      <c r="ET50" s="40"/>
      <c r="EU50" s="40"/>
      <c r="EV50" s="362"/>
      <c r="EW50" s="362"/>
      <c r="EX50" s="362"/>
      <c r="EY50" s="362"/>
      <c r="EZ50" s="362"/>
      <c r="FA50" s="362"/>
      <c r="FB50" s="362"/>
      <c r="FC50" s="362"/>
      <c r="FD50" s="362"/>
      <c r="FE50" s="362"/>
      <c r="FF50" s="362"/>
      <c r="FG50" s="40"/>
      <c r="FH50" s="40"/>
      <c r="FI50" s="362"/>
      <c r="FJ50" s="362"/>
      <c r="FK50" s="362"/>
      <c r="FL50" s="362"/>
      <c r="FM50" s="362"/>
      <c r="FN50" s="362"/>
      <c r="FO50" s="362"/>
      <c r="FP50" s="362"/>
      <c r="FQ50" s="362"/>
      <c r="FR50" s="362"/>
      <c r="FS50" s="362"/>
      <c r="FT50" s="362"/>
      <c r="FU50" s="362"/>
      <c r="FV50" s="362"/>
      <c r="FW50" s="362"/>
      <c r="FX50" s="362"/>
      <c r="FY50" s="362"/>
      <c r="FZ50" s="362"/>
      <c r="GA50" s="362"/>
      <c r="GB50" s="362"/>
      <c r="GC50" s="362"/>
      <c r="GD50" s="362"/>
      <c r="GE50" s="362"/>
      <c r="GF50" s="40"/>
      <c r="GG50" s="40"/>
      <c r="GH50" s="40"/>
      <c r="GI50" s="42"/>
    </row>
    <row r="51" spans="1:191" ht="7.2" customHeight="1" x14ac:dyDescent="0.3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1"/>
      <c r="CS51" s="41"/>
      <c r="CT51" s="40"/>
      <c r="CU51" s="40"/>
      <c r="CV51" s="40"/>
      <c r="CW51" s="40"/>
      <c r="CX51" s="55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316" t="s">
        <v>121</v>
      </c>
      <c r="EE51" s="316"/>
      <c r="EF51" s="316"/>
      <c r="EG51" s="316"/>
      <c r="EH51" s="316"/>
      <c r="EI51" s="316"/>
      <c r="EJ51" s="316"/>
      <c r="EK51" s="316"/>
      <c r="EL51" s="316"/>
      <c r="EM51" s="316"/>
      <c r="EN51" s="316"/>
      <c r="EO51" s="316"/>
      <c r="EP51" s="316"/>
      <c r="EQ51" s="316"/>
      <c r="ER51" s="316"/>
      <c r="ES51" s="316"/>
      <c r="ET51" s="40"/>
      <c r="EU51" s="40"/>
      <c r="EV51" s="316" t="s">
        <v>122</v>
      </c>
      <c r="EW51" s="316"/>
      <c r="EX51" s="316"/>
      <c r="EY51" s="316"/>
      <c r="EZ51" s="316"/>
      <c r="FA51" s="316"/>
      <c r="FB51" s="316"/>
      <c r="FC51" s="316"/>
      <c r="FD51" s="316"/>
      <c r="FE51" s="316"/>
      <c r="FF51" s="316"/>
      <c r="FG51" s="40"/>
      <c r="FH51" s="40"/>
      <c r="FI51" s="316" t="s">
        <v>126</v>
      </c>
      <c r="FJ51" s="316"/>
      <c r="FK51" s="316"/>
      <c r="FL51" s="316"/>
      <c r="FM51" s="316"/>
      <c r="FN51" s="316"/>
      <c r="FO51" s="316"/>
      <c r="FP51" s="316"/>
      <c r="FQ51" s="316"/>
      <c r="FR51" s="316"/>
      <c r="FS51" s="316"/>
      <c r="FT51" s="316"/>
      <c r="FU51" s="316"/>
      <c r="FV51" s="316"/>
      <c r="FW51" s="316"/>
      <c r="FX51" s="316"/>
      <c r="FY51" s="316"/>
      <c r="FZ51" s="316"/>
      <c r="GA51" s="316"/>
      <c r="GB51" s="316"/>
      <c r="GC51" s="316"/>
      <c r="GD51" s="316"/>
      <c r="GE51" s="316"/>
      <c r="GF51" s="40"/>
      <c r="GG51" s="40"/>
      <c r="GH51" s="40"/>
      <c r="GI51" s="42"/>
    </row>
    <row r="52" spans="1:191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</row>
    <row r="53" spans="1:191" ht="15" thickBot="1" x14ac:dyDescent="0.35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372" t="s">
        <v>135</v>
      </c>
      <c r="BY53" s="372"/>
      <c r="BZ53" s="372"/>
      <c r="CA53" s="372"/>
      <c r="CB53" s="372"/>
      <c r="CC53" s="372"/>
      <c r="CD53" s="372"/>
      <c r="CE53" s="372"/>
      <c r="CF53" s="372"/>
      <c r="CG53" s="372"/>
      <c r="CH53" s="372"/>
      <c r="CI53" s="372"/>
      <c r="CJ53" s="372"/>
      <c r="CK53" s="372"/>
      <c r="CL53" s="372"/>
      <c r="CM53" s="372"/>
      <c r="CN53" s="372"/>
      <c r="CO53" s="372"/>
      <c r="CP53" s="372"/>
      <c r="CQ53" s="372"/>
      <c r="CR53" s="372"/>
      <c r="CS53" s="372"/>
      <c r="CT53" s="372"/>
      <c r="CU53" s="372"/>
      <c r="CV53" s="372"/>
      <c r="CW53" s="372"/>
      <c r="CX53" s="372"/>
      <c r="CY53" s="372"/>
      <c r="CZ53" s="372"/>
      <c r="DA53" s="372"/>
      <c r="DB53" s="372"/>
      <c r="DC53" s="372"/>
      <c r="DD53" s="372"/>
      <c r="DE53" s="78"/>
      <c r="DF53" s="78"/>
      <c r="DG53" s="78"/>
      <c r="DH53" s="78"/>
      <c r="DI53" s="78"/>
      <c r="DJ53" s="78"/>
      <c r="DK53" s="78"/>
      <c r="DL53" s="78"/>
      <c r="DM53" s="78"/>
      <c r="DN53" s="78"/>
      <c r="DO53" s="78"/>
      <c r="DP53" s="78"/>
      <c r="DQ53" s="78"/>
      <c r="DR53" s="78"/>
      <c r="DS53" s="78"/>
      <c r="DT53" s="78"/>
      <c r="DU53" s="78"/>
      <c r="DV53" s="78"/>
      <c r="DW53" s="78"/>
      <c r="DX53" s="78"/>
      <c r="DY53" s="78"/>
      <c r="DZ53" s="78"/>
      <c r="EA53" s="78"/>
      <c r="EB53" s="78"/>
      <c r="EC53" s="78"/>
      <c r="ED53" s="78"/>
      <c r="EE53" s="78"/>
      <c r="EF53" s="78"/>
      <c r="EG53" s="78"/>
      <c r="EH53" s="78"/>
      <c r="EI53" s="78"/>
      <c r="EJ53" s="78"/>
      <c r="EK53" s="78"/>
      <c r="EL53" s="78"/>
      <c r="EM53" s="78"/>
      <c r="EN53" s="78"/>
      <c r="EO53" s="78"/>
      <c r="EP53" s="78"/>
      <c r="EQ53" s="78"/>
      <c r="ER53" s="78"/>
      <c r="ES53" s="78"/>
      <c r="ET53" s="79"/>
      <c r="EU53" s="79"/>
      <c r="EV53" s="79"/>
      <c r="EW53" s="79"/>
      <c r="EX53" s="79"/>
      <c r="EY53" s="79"/>
      <c r="EZ53" s="79"/>
      <c r="FA53" s="79"/>
      <c r="FB53" s="79"/>
      <c r="FC53" s="79"/>
      <c r="FD53" s="79"/>
      <c r="FE53" s="79"/>
      <c r="FF53" s="79"/>
      <c r="FG53" s="79"/>
      <c r="FH53" s="79"/>
      <c r="FI53" s="79"/>
      <c r="FJ53" s="79"/>
      <c r="FK53" s="79"/>
      <c r="FL53" s="79"/>
      <c r="FM53" s="79"/>
      <c r="FN53" s="79"/>
      <c r="FO53" s="79"/>
      <c r="FP53" s="79"/>
      <c r="FQ53" s="79"/>
      <c r="FR53" s="79"/>
      <c r="FS53" s="79"/>
      <c r="FT53" s="79"/>
      <c r="FU53" s="79"/>
      <c r="FV53" s="79"/>
      <c r="FW53" s="79"/>
      <c r="FX53" s="79"/>
      <c r="FY53" s="79"/>
      <c r="FZ53" s="79"/>
      <c r="GA53" s="79"/>
      <c r="GB53" s="79"/>
      <c r="GC53" s="79"/>
      <c r="GD53" s="79"/>
      <c r="GE53" s="79"/>
      <c r="GF53" s="79"/>
      <c r="GG53" s="79" t="s">
        <v>136</v>
      </c>
      <c r="GH53" s="79"/>
      <c r="GI53" s="42"/>
    </row>
    <row r="54" spans="1:191" ht="9.6" customHeight="1" x14ac:dyDescent="0.3">
      <c r="A54" s="367" t="s">
        <v>137</v>
      </c>
      <c r="B54" s="367"/>
      <c r="C54" s="367"/>
      <c r="D54" s="367"/>
      <c r="E54" s="367"/>
      <c r="F54" s="367"/>
      <c r="G54" s="367"/>
      <c r="H54" s="367"/>
      <c r="I54" s="367"/>
      <c r="J54" s="367"/>
      <c r="K54" s="367"/>
      <c r="L54" s="367"/>
      <c r="M54" s="367"/>
      <c r="N54" s="367"/>
      <c r="O54" s="367"/>
      <c r="P54" s="367"/>
      <c r="Q54" s="367"/>
      <c r="R54" s="367"/>
      <c r="S54" s="367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373"/>
      <c r="AE54" s="373"/>
      <c r="AF54" s="373"/>
      <c r="AG54" s="373"/>
      <c r="AH54" s="78"/>
      <c r="AI54" s="78" t="s">
        <v>138</v>
      </c>
      <c r="AJ54" s="78"/>
      <c r="AK54" s="78"/>
      <c r="AL54" s="78"/>
      <c r="AM54" s="78"/>
      <c r="AN54" s="78"/>
      <c r="AO54" s="78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78"/>
      <c r="BE54" s="78" t="s">
        <v>56</v>
      </c>
      <c r="BF54" s="78"/>
      <c r="BG54" s="78"/>
      <c r="BH54" s="78"/>
      <c r="BI54" s="373"/>
      <c r="BJ54" s="373"/>
      <c r="BK54" s="373"/>
      <c r="BL54" s="373"/>
      <c r="BM54" s="373"/>
      <c r="BN54" s="373"/>
      <c r="BO54" s="373"/>
      <c r="BP54" s="373"/>
      <c r="BQ54" s="373"/>
      <c r="BR54" s="373"/>
      <c r="BS54" s="373"/>
      <c r="BT54" s="373"/>
      <c r="BU54" s="373"/>
      <c r="BV54" s="373"/>
      <c r="BW54" s="78"/>
      <c r="BX54" s="372"/>
      <c r="BY54" s="372"/>
      <c r="BZ54" s="372"/>
      <c r="CA54" s="372"/>
      <c r="CB54" s="372"/>
      <c r="CC54" s="372"/>
      <c r="CD54" s="372"/>
      <c r="CE54" s="372"/>
      <c r="CF54" s="372"/>
      <c r="CG54" s="372"/>
      <c r="CH54" s="372"/>
      <c r="CI54" s="372"/>
      <c r="CJ54" s="372"/>
      <c r="CK54" s="372"/>
      <c r="CL54" s="372"/>
      <c r="CM54" s="372"/>
      <c r="CN54" s="372"/>
      <c r="CO54" s="372"/>
      <c r="CP54" s="372"/>
      <c r="CQ54" s="372"/>
      <c r="CR54" s="372"/>
      <c r="CS54" s="372"/>
      <c r="CT54" s="372"/>
      <c r="CU54" s="372"/>
      <c r="CV54" s="372"/>
      <c r="CW54" s="372"/>
      <c r="CX54" s="372"/>
      <c r="CY54" s="372"/>
      <c r="CZ54" s="372"/>
      <c r="DA54" s="372"/>
      <c r="DB54" s="372"/>
      <c r="DC54" s="372"/>
      <c r="DD54" s="372"/>
      <c r="DE54" s="78"/>
      <c r="DF54" s="78"/>
      <c r="DG54" s="78"/>
      <c r="DH54" s="78"/>
      <c r="DI54" s="78"/>
      <c r="DJ54" s="78"/>
      <c r="DK54" s="78"/>
      <c r="DL54" s="78"/>
      <c r="DM54" s="78"/>
      <c r="DN54" s="78"/>
      <c r="DO54" s="78"/>
      <c r="DP54" s="78"/>
      <c r="DQ54" s="78"/>
      <c r="DR54" s="78"/>
      <c r="DS54" s="78"/>
      <c r="DT54" s="78"/>
      <c r="DU54" s="78"/>
      <c r="DV54" s="78"/>
      <c r="DW54" s="78"/>
      <c r="DX54" s="78"/>
      <c r="DY54" s="78"/>
      <c r="DZ54" s="78"/>
      <c r="EA54" s="78"/>
      <c r="EB54" s="78"/>
      <c r="EC54" s="78"/>
      <c r="ED54" s="78"/>
      <c r="EE54" s="78"/>
      <c r="EF54" s="78"/>
      <c r="EG54" s="78"/>
      <c r="EH54" s="78"/>
      <c r="EI54" s="78"/>
      <c r="EJ54" s="78"/>
      <c r="EK54" s="78"/>
      <c r="EL54" s="78"/>
      <c r="EM54" s="78"/>
      <c r="EN54" s="78"/>
      <c r="EO54" s="78"/>
      <c r="EP54" s="78"/>
      <c r="EQ54" s="78"/>
      <c r="ER54" s="78"/>
      <c r="ES54" s="79"/>
      <c r="ET54" s="79"/>
      <c r="EU54" s="79"/>
      <c r="EV54" s="79"/>
      <c r="EW54" s="79"/>
      <c r="EX54" s="79"/>
      <c r="EY54" s="79"/>
      <c r="EZ54" s="79"/>
      <c r="FA54" s="79"/>
      <c r="FB54" s="79"/>
      <c r="FC54" s="79"/>
      <c r="FD54" s="79"/>
      <c r="FE54" s="79"/>
      <c r="FF54" s="79"/>
      <c r="FG54" s="79"/>
      <c r="FH54" s="79"/>
      <c r="FI54" s="79"/>
      <c r="FJ54" s="79"/>
      <c r="FK54" s="79"/>
      <c r="FL54" s="79"/>
      <c r="FM54" s="79"/>
      <c r="FN54" s="79"/>
      <c r="FO54" s="79"/>
      <c r="FP54" s="374" t="str">
        <f>FM6</f>
        <v>1036</v>
      </c>
      <c r="FQ54" s="375"/>
      <c r="FR54" s="375"/>
      <c r="FS54" s="375"/>
      <c r="FT54" s="375"/>
      <c r="FU54" s="375"/>
      <c r="FV54" s="375"/>
      <c r="FW54" s="375"/>
      <c r="FX54" s="375"/>
      <c r="FY54" s="375"/>
      <c r="FZ54" s="375"/>
      <c r="GA54" s="375"/>
      <c r="GB54" s="375"/>
      <c r="GC54" s="375"/>
      <c r="GD54" s="375"/>
      <c r="GE54" s="375"/>
      <c r="GF54" s="375"/>
      <c r="GG54" s="375"/>
      <c r="GH54" s="376"/>
      <c r="GI54" s="42"/>
    </row>
    <row r="55" spans="1:191" ht="12.6" customHeight="1" x14ac:dyDescent="0.3">
      <c r="A55" s="78" t="s">
        <v>139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 t="s">
        <v>132</v>
      </c>
      <c r="W55" s="78"/>
      <c r="X55" s="373"/>
      <c r="Y55" s="373"/>
      <c r="Z55" s="373"/>
      <c r="AA55" s="373"/>
      <c r="AB55" s="78" t="s">
        <v>109</v>
      </c>
      <c r="AC55" s="78"/>
      <c r="AD55" s="364" t="s">
        <v>140</v>
      </c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80"/>
      <c r="AV55" s="81"/>
      <c r="AW55" s="365" t="str">
        <f>FZ7</f>
        <v>2023</v>
      </c>
      <c r="AX55" s="366"/>
      <c r="AY55" s="366"/>
      <c r="AZ55" s="366"/>
      <c r="BA55" s="366"/>
      <c r="BB55" s="366"/>
      <c r="BC55" s="366"/>
      <c r="BD55" s="78" t="s">
        <v>110</v>
      </c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  <c r="CY55" s="78"/>
      <c r="CZ55" s="78"/>
      <c r="DA55" s="78"/>
      <c r="DB55" s="78"/>
      <c r="DC55" s="78"/>
      <c r="DD55" s="78"/>
      <c r="DE55" s="78"/>
      <c r="DF55" s="78"/>
      <c r="DG55" s="78"/>
      <c r="DH55" s="78"/>
      <c r="DI55" s="78"/>
      <c r="DJ55" s="78"/>
      <c r="DK55" s="78"/>
      <c r="DL55" s="78"/>
      <c r="DM55" s="78"/>
      <c r="DN55" s="78"/>
      <c r="DO55" s="78"/>
      <c r="DP55" s="78"/>
      <c r="DQ55" s="78"/>
      <c r="DR55" s="78"/>
      <c r="DS55" s="78"/>
      <c r="DT55" s="78"/>
      <c r="DU55" s="78"/>
      <c r="DV55" s="78"/>
      <c r="DW55" s="78"/>
      <c r="DX55" s="78"/>
      <c r="DY55" s="78"/>
      <c r="DZ55" s="78"/>
      <c r="EA55" s="78"/>
      <c r="EB55" s="78"/>
      <c r="EC55" s="78"/>
      <c r="ED55" s="78"/>
      <c r="EE55" s="78"/>
      <c r="EF55" s="78"/>
      <c r="EG55" s="78"/>
      <c r="EH55" s="78"/>
      <c r="EI55" s="78"/>
      <c r="EJ55" s="78"/>
      <c r="EK55" s="78"/>
      <c r="EL55" s="78"/>
      <c r="EM55" s="78"/>
      <c r="EN55" s="78"/>
      <c r="EO55" s="78"/>
      <c r="EP55" s="78"/>
      <c r="EQ55" s="78"/>
      <c r="ER55" s="78"/>
      <c r="ES55" s="78"/>
      <c r="ET55" s="78"/>
      <c r="EU55" s="78"/>
      <c r="EV55" s="78"/>
      <c r="EW55" s="78"/>
      <c r="EX55" s="78"/>
      <c r="EY55" s="78"/>
      <c r="EZ55" s="78"/>
      <c r="FA55" s="78"/>
      <c r="FB55" s="78"/>
      <c r="FC55" s="78"/>
      <c r="FD55" s="78"/>
      <c r="FE55" s="78"/>
      <c r="FF55" s="78"/>
      <c r="FG55" s="78"/>
      <c r="FH55" s="78"/>
      <c r="FI55" s="78"/>
      <c r="FJ55" s="78"/>
      <c r="FK55" s="78"/>
      <c r="FL55" s="78"/>
      <c r="FM55" s="78"/>
      <c r="FN55" s="82" t="s">
        <v>141</v>
      </c>
      <c r="FO55" s="78"/>
      <c r="FP55" s="377"/>
      <c r="FQ55" s="378"/>
      <c r="FR55" s="378"/>
      <c r="FS55" s="378"/>
      <c r="FT55" s="378"/>
      <c r="FU55" s="378"/>
      <c r="FV55" s="378"/>
      <c r="FW55" s="378"/>
      <c r="FX55" s="378"/>
      <c r="FY55" s="378"/>
      <c r="FZ55" s="378"/>
      <c r="GA55" s="378"/>
      <c r="GB55" s="378"/>
      <c r="GC55" s="378"/>
      <c r="GD55" s="378"/>
      <c r="GE55" s="378"/>
      <c r="GF55" s="378"/>
      <c r="GG55" s="378"/>
      <c r="GH55" s="379"/>
      <c r="GI55" s="42"/>
    </row>
    <row r="56" spans="1:191" ht="9.6" customHeight="1" x14ac:dyDescent="0.3">
      <c r="A56" s="367" t="s">
        <v>142</v>
      </c>
      <c r="B56" s="367"/>
      <c r="C56" s="367"/>
      <c r="D56" s="367"/>
      <c r="E56" s="367"/>
      <c r="F56" s="367"/>
      <c r="G56" s="367"/>
      <c r="H56" s="367"/>
      <c r="I56" s="367"/>
      <c r="J56" s="367"/>
      <c r="K56" s="367"/>
      <c r="L56" s="367"/>
      <c r="M56" s="367"/>
      <c r="N56" s="368" t="s">
        <v>44</v>
      </c>
      <c r="O56" s="368"/>
      <c r="P56" s="368"/>
      <c r="Q56" s="368"/>
      <c r="R56" s="368"/>
      <c r="S56" s="368"/>
      <c r="T56" s="368"/>
      <c r="U56" s="368"/>
      <c r="V56" s="368"/>
      <c r="W56" s="368"/>
      <c r="X56" s="368"/>
      <c r="Y56" s="368"/>
      <c r="Z56" s="368"/>
      <c r="AA56" s="368"/>
      <c r="AB56" s="368"/>
      <c r="AC56" s="368"/>
      <c r="AD56" s="368"/>
      <c r="AE56" s="368"/>
      <c r="AF56" s="368"/>
      <c r="AG56" s="368"/>
      <c r="AH56" s="368"/>
      <c r="AI56" s="368"/>
      <c r="AJ56" s="368"/>
      <c r="AK56" s="368"/>
      <c r="AL56" s="368"/>
      <c r="AM56" s="368"/>
      <c r="AN56" s="368"/>
      <c r="AO56" s="368"/>
      <c r="AP56" s="368"/>
      <c r="AQ56" s="368"/>
      <c r="AR56" s="368"/>
      <c r="AS56" s="368"/>
      <c r="AT56" s="368"/>
      <c r="AU56" s="368"/>
      <c r="AV56" s="368"/>
      <c r="AW56" s="368"/>
      <c r="AX56" s="368"/>
      <c r="AY56" s="368"/>
      <c r="AZ56" s="368"/>
      <c r="BA56" s="368"/>
      <c r="BB56" s="368"/>
      <c r="BC56" s="368"/>
      <c r="BD56" s="368"/>
      <c r="BE56" s="368"/>
      <c r="BF56" s="368"/>
      <c r="BG56" s="368"/>
      <c r="BH56" s="368"/>
      <c r="BI56" s="368"/>
      <c r="BJ56" s="368"/>
      <c r="BK56" s="368"/>
      <c r="BL56" s="368"/>
      <c r="BM56" s="368"/>
      <c r="BN56" s="368"/>
      <c r="BO56" s="368"/>
      <c r="BP56" s="368"/>
      <c r="BQ56" s="368"/>
      <c r="BR56" s="368"/>
      <c r="BS56" s="368"/>
      <c r="BT56" s="368"/>
      <c r="BU56" s="368"/>
      <c r="BV56" s="368"/>
      <c r="BW56" s="368"/>
      <c r="BX56" s="368"/>
      <c r="BY56" s="368"/>
      <c r="BZ56" s="368"/>
      <c r="CA56" s="368"/>
      <c r="CB56" s="78"/>
      <c r="CC56" s="370" t="s">
        <v>143</v>
      </c>
      <c r="CD56" s="370"/>
      <c r="CE56" s="370"/>
      <c r="CF56" s="370"/>
      <c r="CG56" s="370"/>
      <c r="CH56" s="370"/>
      <c r="CI56" s="370"/>
      <c r="CJ56" s="370"/>
      <c r="CK56" s="370"/>
      <c r="CL56" s="370"/>
      <c r="CM56" s="370"/>
      <c r="CN56" s="370"/>
      <c r="CO56" s="368" t="s">
        <v>144</v>
      </c>
      <c r="CP56" s="368"/>
      <c r="CQ56" s="368"/>
      <c r="CR56" s="368"/>
      <c r="CS56" s="368"/>
      <c r="CT56" s="368"/>
      <c r="CU56" s="368"/>
      <c r="CV56" s="368"/>
      <c r="CW56" s="368"/>
      <c r="CX56" s="368"/>
      <c r="CY56" s="368"/>
      <c r="CZ56" s="368"/>
      <c r="DA56" s="368"/>
      <c r="DB56" s="368"/>
      <c r="DC56" s="368"/>
      <c r="DD56" s="368"/>
      <c r="DE56" s="368"/>
      <c r="DF56" s="368"/>
      <c r="DG56" s="368"/>
      <c r="DH56" s="368"/>
      <c r="DI56" s="368"/>
      <c r="DJ56" s="368"/>
      <c r="DK56" s="368"/>
      <c r="DL56" s="380" t="s">
        <v>145</v>
      </c>
      <c r="DM56" s="380"/>
      <c r="DN56" s="380"/>
      <c r="DO56" s="380"/>
      <c r="DP56" s="380"/>
      <c r="DQ56" s="380"/>
      <c r="DR56" s="380"/>
      <c r="DS56" s="380"/>
      <c r="DT56" s="380"/>
      <c r="DU56" s="380"/>
      <c r="DV56" s="380"/>
      <c r="DW56" s="380"/>
      <c r="DX56" s="380"/>
      <c r="DY56" s="380"/>
      <c r="DZ56" s="380"/>
      <c r="EA56" s="380"/>
      <c r="EB56" s="380"/>
      <c r="EC56" s="380"/>
      <c r="ED56" s="380"/>
      <c r="EE56" s="380"/>
      <c r="EF56" s="380"/>
      <c r="EG56" s="380"/>
      <c r="EH56" s="380"/>
      <c r="EI56" s="380"/>
      <c r="EJ56" s="380"/>
      <c r="EK56" s="63"/>
      <c r="EL56" s="83"/>
      <c r="EM56" s="83"/>
      <c r="EN56" s="368" t="s">
        <v>146</v>
      </c>
      <c r="EO56" s="368"/>
      <c r="EP56" s="368"/>
      <c r="EQ56" s="368"/>
      <c r="ER56" s="368"/>
      <c r="ES56" s="368"/>
      <c r="ET56" s="368"/>
      <c r="EU56" s="368"/>
      <c r="EV56" s="368"/>
      <c r="EW56" s="368"/>
      <c r="EX56" s="368"/>
      <c r="EY56" s="368"/>
      <c r="EZ56" s="368"/>
      <c r="FA56" s="368"/>
      <c r="FB56" s="381" t="s">
        <v>147</v>
      </c>
      <c r="FC56" s="381"/>
      <c r="FD56" s="381"/>
      <c r="FE56" s="381"/>
      <c r="FF56" s="381"/>
      <c r="FG56" s="381"/>
      <c r="FH56" s="381"/>
      <c r="FI56" s="381"/>
      <c r="FJ56" s="381"/>
      <c r="FK56" s="381"/>
      <c r="FL56" s="381"/>
      <c r="FM56" s="381"/>
      <c r="FN56" s="381"/>
      <c r="FO56" s="78"/>
      <c r="FP56" s="382" t="s">
        <v>327</v>
      </c>
      <c r="FQ56" s="383"/>
      <c r="FR56" s="383"/>
      <c r="FS56" s="383"/>
      <c r="FT56" s="383"/>
      <c r="FU56" s="383"/>
      <c r="FV56" s="383"/>
      <c r="FW56" s="383"/>
      <c r="FX56" s="383"/>
      <c r="FY56" s="383"/>
      <c r="FZ56" s="383"/>
      <c r="GA56" s="383"/>
      <c r="GB56" s="383"/>
      <c r="GC56" s="383"/>
      <c r="GD56" s="383"/>
      <c r="GE56" s="383"/>
      <c r="GF56" s="383"/>
      <c r="GG56" s="383"/>
      <c r="GH56" s="384"/>
      <c r="GI56" s="42"/>
    </row>
    <row r="57" spans="1:191" ht="6.6" customHeight="1" x14ac:dyDescent="0.3">
      <c r="A57" s="367"/>
      <c r="B57" s="367"/>
      <c r="C57" s="367"/>
      <c r="D57" s="367"/>
      <c r="E57" s="367"/>
      <c r="F57" s="367"/>
      <c r="G57" s="367"/>
      <c r="H57" s="367"/>
      <c r="I57" s="367"/>
      <c r="J57" s="367"/>
      <c r="K57" s="367"/>
      <c r="L57" s="367"/>
      <c r="M57" s="367"/>
      <c r="N57" s="369"/>
      <c r="O57" s="369"/>
      <c r="P57" s="369"/>
      <c r="Q57" s="369"/>
      <c r="R57" s="369"/>
      <c r="S57" s="369"/>
      <c r="T57" s="369"/>
      <c r="U57" s="369"/>
      <c r="V57" s="369"/>
      <c r="W57" s="369"/>
      <c r="X57" s="369"/>
      <c r="Y57" s="369"/>
      <c r="Z57" s="369"/>
      <c r="AA57" s="369"/>
      <c r="AB57" s="369"/>
      <c r="AC57" s="369"/>
      <c r="AD57" s="369"/>
      <c r="AE57" s="369"/>
      <c r="AF57" s="369"/>
      <c r="AG57" s="369"/>
      <c r="AH57" s="369"/>
      <c r="AI57" s="369"/>
      <c r="AJ57" s="369"/>
      <c r="AK57" s="369"/>
      <c r="AL57" s="369"/>
      <c r="AM57" s="369"/>
      <c r="AN57" s="369"/>
      <c r="AO57" s="369"/>
      <c r="AP57" s="369"/>
      <c r="AQ57" s="369"/>
      <c r="AR57" s="369"/>
      <c r="AS57" s="369"/>
      <c r="AT57" s="369"/>
      <c r="AU57" s="369"/>
      <c r="AV57" s="369"/>
      <c r="AW57" s="369"/>
      <c r="AX57" s="369"/>
      <c r="AY57" s="369"/>
      <c r="AZ57" s="369"/>
      <c r="BA57" s="369"/>
      <c r="BB57" s="369"/>
      <c r="BC57" s="369"/>
      <c r="BD57" s="369"/>
      <c r="BE57" s="369"/>
      <c r="BF57" s="369"/>
      <c r="BG57" s="369"/>
      <c r="BH57" s="369"/>
      <c r="BI57" s="369"/>
      <c r="BJ57" s="369"/>
      <c r="BK57" s="369"/>
      <c r="BL57" s="369"/>
      <c r="BM57" s="369"/>
      <c r="BN57" s="369"/>
      <c r="BO57" s="369"/>
      <c r="BP57" s="369"/>
      <c r="BQ57" s="369"/>
      <c r="BR57" s="369"/>
      <c r="BS57" s="369"/>
      <c r="BT57" s="369"/>
      <c r="BU57" s="369"/>
      <c r="BV57" s="369"/>
      <c r="BW57" s="369"/>
      <c r="BX57" s="369"/>
      <c r="BY57" s="369"/>
      <c r="BZ57" s="369"/>
      <c r="CA57" s="369"/>
      <c r="CB57" s="78"/>
      <c r="CC57" s="370"/>
      <c r="CD57" s="370"/>
      <c r="CE57" s="370"/>
      <c r="CF57" s="370"/>
      <c r="CG57" s="370"/>
      <c r="CH57" s="370"/>
      <c r="CI57" s="370"/>
      <c r="CJ57" s="370"/>
      <c r="CK57" s="370"/>
      <c r="CL57" s="370"/>
      <c r="CM57" s="370"/>
      <c r="CN57" s="370"/>
      <c r="CO57" s="371"/>
      <c r="CP57" s="371"/>
      <c r="CQ57" s="371"/>
      <c r="CR57" s="371"/>
      <c r="CS57" s="371"/>
      <c r="CT57" s="371"/>
      <c r="CU57" s="371"/>
      <c r="CV57" s="371"/>
      <c r="CW57" s="371"/>
      <c r="CX57" s="371"/>
      <c r="CY57" s="371"/>
      <c r="CZ57" s="371"/>
      <c r="DA57" s="371"/>
      <c r="DB57" s="371"/>
      <c r="DC57" s="371"/>
      <c r="DD57" s="371"/>
      <c r="DE57" s="371"/>
      <c r="DF57" s="371"/>
      <c r="DG57" s="371"/>
      <c r="DH57" s="371"/>
      <c r="DI57" s="371"/>
      <c r="DJ57" s="371"/>
      <c r="DK57" s="371"/>
      <c r="DL57" s="380"/>
      <c r="DM57" s="380"/>
      <c r="DN57" s="380"/>
      <c r="DO57" s="380"/>
      <c r="DP57" s="380"/>
      <c r="DQ57" s="380"/>
      <c r="DR57" s="380"/>
      <c r="DS57" s="380"/>
      <c r="DT57" s="380"/>
      <c r="DU57" s="380"/>
      <c r="DV57" s="380"/>
      <c r="DW57" s="380"/>
      <c r="DX57" s="380"/>
      <c r="DY57" s="380"/>
      <c r="DZ57" s="380"/>
      <c r="EA57" s="380"/>
      <c r="EB57" s="380"/>
      <c r="EC57" s="380"/>
      <c r="ED57" s="380"/>
      <c r="EE57" s="380"/>
      <c r="EF57" s="380"/>
      <c r="EG57" s="380"/>
      <c r="EH57" s="380"/>
      <c r="EI57" s="380"/>
      <c r="EJ57" s="380"/>
      <c r="EK57" s="63"/>
      <c r="EL57" s="83"/>
      <c r="EM57" s="84"/>
      <c r="EN57" s="369"/>
      <c r="EO57" s="369"/>
      <c r="EP57" s="369"/>
      <c r="EQ57" s="369"/>
      <c r="ER57" s="369"/>
      <c r="ES57" s="369"/>
      <c r="ET57" s="369"/>
      <c r="EU57" s="369"/>
      <c r="EV57" s="369"/>
      <c r="EW57" s="369"/>
      <c r="EX57" s="369"/>
      <c r="EY57" s="369"/>
      <c r="EZ57" s="369"/>
      <c r="FA57" s="369"/>
      <c r="FB57" s="388" t="s">
        <v>148</v>
      </c>
      <c r="FC57" s="388"/>
      <c r="FD57" s="388"/>
      <c r="FE57" s="388"/>
      <c r="FF57" s="388"/>
      <c r="FG57" s="388"/>
      <c r="FH57" s="388"/>
      <c r="FI57" s="388"/>
      <c r="FJ57" s="388"/>
      <c r="FK57" s="388"/>
      <c r="FL57" s="388"/>
      <c r="FM57" s="388"/>
      <c r="FN57" s="388"/>
      <c r="FO57" s="78"/>
      <c r="FP57" s="385"/>
      <c r="FQ57" s="386"/>
      <c r="FR57" s="386"/>
      <c r="FS57" s="386"/>
      <c r="FT57" s="386"/>
      <c r="FU57" s="386"/>
      <c r="FV57" s="386"/>
      <c r="FW57" s="386"/>
      <c r="FX57" s="386"/>
      <c r="FY57" s="386"/>
      <c r="FZ57" s="386"/>
      <c r="GA57" s="386"/>
      <c r="GB57" s="386"/>
      <c r="GC57" s="386"/>
      <c r="GD57" s="386"/>
      <c r="GE57" s="386"/>
      <c r="GF57" s="386"/>
      <c r="GG57" s="386"/>
      <c r="GH57" s="387"/>
      <c r="GI57" s="42"/>
    </row>
    <row r="58" spans="1:191" ht="7.95" customHeight="1" x14ac:dyDescent="0.3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389" t="s">
        <v>149</v>
      </c>
      <c r="O58" s="389"/>
      <c r="P58" s="389"/>
      <c r="Q58" s="389"/>
      <c r="R58" s="389"/>
      <c r="S58" s="389"/>
      <c r="T58" s="389"/>
      <c r="U58" s="389"/>
      <c r="V58" s="389"/>
      <c r="W58" s="389"/>
      <c r="X58" s="389"/>
      <c r="Y58" s="389"/>
      <c r="Z58" s="389"/>
      <c r="AA58" s="389"/>
      <c r="AB58" s="389"/>
      <c r="AC58" s="389"/>
      <c r="AD58" s="389"/>
      <c r="AE58" s="389"/>
      <c r="AF58" s="389"/>
      <c r="AG58" s="389"/>
      <c r="AH58" s="389"/>
      <c r="AI58" s="389"/>
      <c r="AJ58" s="389"/>
      <c r="AK58" s="389"/>
      <c r="AL58" s="389"/>
      <c r="AM58" s="389"/>
      <c r="AN58" s="389"/>
      <c r="AO58" s="389"/>
      <c r="AP58" s="389"/>
      <c r="AQ58" s="389"/>
      <c r="AR58" s="389"/>
      <c r="AS58" s="389"/>
      <c r="AT58" s="389"/>
      <c r="AU58" s="389"/>
      <c r="AV58" s="389"/>
      <c r="AW58" s="389"/>
      <c r="AX58" s="389"/>
      <c r="AY58" s="389"/>
      <c r="AZ58" s="389"/>
      <c r="BA58" s="389"/>
      <c r="BB58" s="389"/>
      <c r="BC58" s="389"/>
      <c r="BD58" s="389"/>
      <c r="BE58" s="389"/>
      <c r="BF58" s="389"/>
      <c r="BG58" s="389"/>
      <c r="BH58" s="389"/>
      <c r="BI58" s="389"/>
      <c r="BJ58" s="389"/>
      <c r="BK58" s="389"/>
      <c r="BL58" s="389"/>
      <c r="BM58" s="389"/>
      <c r="BN58" s="389"/>
      <c r="BO58" s="389"/>
      <c r="BP58" s="389"/>
      <c r="BQ58" s="389"/>
      <c r="BR58" s="389"/>
      <c r="BS58" s="389"/>
      <c r="BT58" s="389"/>
      <c r="BU58" s="389"/>
      <c r="BV58" s="389"/>
      <c r="BW58" s="389"/>
      <c r="BX58" s="389"/>
      <c r="BY58" s="389"/>
      <c r="BZ58" s="389"/>
      <c r="CA58" s="389"/>
      <c r="CB58" s="86"/>
      <c r="CC58" s="86"/>
      <c r="CD58" s="86"/>
      <c r="CE58" s="86"/>
      <c r="CF58" s="86"/>
      <c r="CG58" s="86"/>
      <c r="CH58" s="87"/>
      <c r="CI58" s="87"/>
      <c r="CJ58" s="87"/>
      <c r="CK58" s="87"/>
      <c r="CL58" s="87"/>
      <c r="CM58" s="87"/>
      <c r="CN58" s="85"/>
      <c r="CO58" s="390" t="s">
        <v>150</v>
      </c>
      <c r="CP58" s="390"/>
      <c r="CQ58" s="390"/>
      <c r="CR58" s="390"/>
      <c r="CS58" s="390"/>
      <c r="CT58" s="390"/>
      <c r="CU58" s="390"/>
      <c r="CV58" s="390"/>
      <c r="CW58" s="390"/>
      <c r="CX58" s="390"/>
      <c r="CY58" s="390"/>
      <c r="CZ58" s="390"/>
      <c r="DA58" s="390"/>
      <c r="DB58" s="390"/>
      <c r="DC58" s="390"/>
      <c r="DD58" s="390"/>
      <c r="DE58" s="390"/>
      <c r="DF58" s="390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5"/>
      <c r="DU58" s="89"/>
      <c r="DV58" s="89"/>
      <c r="DW58" s="89"/>
      <c r="DX58" s="89"/>
      <c r="DY58" s="89"/>
      <c r="DZ58" s="89"/>
      <c r="EA58" s="89"/>
      <c r="EB58" s="89"/>
      <c r="EC58" s="89"/>
      <c r="ED58" s="89"/>
      <c r="EE58" s="89"/>
      <c r="EF58" s="89"/>
      <c r="EG58" s="89"/>
      <c r="EH58" s="89"/>
      <c r="EI58" s="89"/>
      <c r="EJ58" s="89"/>
      <c r="EK58" s="89"/>
      <c r="EL58" s="89"/>
      <c r="EM58" s="89"/>
      <c r="EN58" s="89"/>
      <c r="EO58" s="89"/>
      <c r="EP58" s="89"/>
      <c r="EQ58" s="89"/>
      <c r="ER58" s="89"/>
      <c r="ES58" s="89"/>
      <c r="ET58" s="89"/>
      <c r="EU58" s="89"/>
      <c r="EV58" s="89"/>
      <c r="EW58" s="89"/>
      <c r="EX58" s="85"/>
      <c r="EY58" s="85"/>
      <c r="EZ58" s="85"/>
      <c r="FA58" s="85"/>
      <c r="FB58" s="388"/>
      <c r="FC58" s="388"/>
      <c r="FD58" s="388"/>
      <c r="FE58" s="388"/>
      <c r="FF58" s="388"/>
      <c r="FG58" s="388"/>
      <c r="FH58" s="388"/>
      <c r="FI58" s="388"/>
      <c r="FJ58" s="388"/>
      <c r="FK58" s="388"/>
      <c r="FL58" s="388"/>
      <c r="FM58" s="388"/>
      <c r="FN58" s="388"/>
      <c r="FO58" s="85"/>
      <c r="FP58" s="391"/>
      <c r="FQ58" s="392"/>
      <c r="FR58" s="392"/>
      <c r="FS58" s="392"/>
      <c r="FT58" s="392"/>
      <c r="FU58" s="392"/>
      <c r="FV58" s="392"/>
      <c r="FW58" s="392"/>
      <c r="FX58" s="392"/>
      <c r="FY58" s="392"/>
      <c r="FZ58" s="392"/>
      <c r="GA58" s="392"/>
      <c r="GB58" s="392"/>
      <c r="GC58" s="392"/>
      <c r="GD58" s="392"/>
      <c r="GE58" s="392"/>
      <c r="GF58" s="392"/>
      <c r="GG58" s="392"/>
      <c r="GH58" s="393"/>
      <c r="GI58" s="42"/>
    </row>
    <row r="59" spans="1:191" x14ac:dyDescent="0.3">
      <c r="A59" s="78" t="s">
        <v>151</v>
      </c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214" t="str">
        <f>P9</f>
        <v xml:space="preserve"> ООО "СибЛесТранс" 664074, г. Иркутск, ул. Леси Украинки, д. 35-101, ОГРН: 1023801752810, ИНН: 38121061605</v>
      </c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E59" s="214"/>
      <c r="FF59" s="214"/>
      <c r="FG59" s="214"/>
      <c r="FH59" s="214"/>
      <c r="FI59" s="214"/>
      <c r="FJ59" s="214"/>
      <c r="FK59" s="214"/>
      <c r="FL59" s="214"/>
      <c r="FM59" s="214"/>
      <c r="FN59" s="78"/>
      <c r="FO59" s="90"/>
      <c r="FP59" s="394"/>
      <c r="FQ59" s="373"/>
      <c r="FR59" s="373"/>
      <c r="FS59" s="373"/>
      <c r="FT59" s="373"/>
      <c r="FU59" s="373"/>
      <c r="FV59" s="373"/>
      <c r="FW59" s="373"/>
      <c r="FX59" s="373"/>
      <c r="FY59" s="373"/>
      <c r="FZ59" s="373"/>
      <c r="GA59" s="373"/>
      <c r="GB59" s="373"/>
      <c r="GC59" s="373"/>
      <c r="GD59" s="373"/>
      <c r="GE59" s="373"/>
      <c r="GF59" s="373"/>
      <c r="GG59" s="373"/>
      <c r="GH59" s="395"/>
      <c r="GI59" s="42"/>
    </row>
    <row r="60" spans="1:191" ht="7.2" customHeight="1" x14ac:dyDescent="0.3">
      <c r="A60" s="78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398" t="s">
        <v>152</v>
      </c>
      <c r="Y60" s="398"/>
      <c r="Z60" s="398"/>
      <c r="AA60" s="398"/>
      <c r="AB60" s="398"/>
      <c r="AC60" s="398"/>
      <c r="AD60" s="398"/>
      <c r="AE60" s="398"/>
      <c r="AF60" s="398"/>
      <c r="AG60" s="39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  <c r="AR60" s="398"/>
      <c r="AS60" s="398"/>
      <c r="AT60" s="398"/>
      <c r="AU60" s="398"/>
      <c r="AV60" s="398"/>
      <c r="AW60" s="398"/>
      <c r="AX60" s="398"/>
      <c r="AY60" s="398"/>
      <c r="AZ60" s="398"/>
      <c r="BA60" s="398"/>
      <c r="BB60" s="398"/>
      <c r="BC60" s="398"/>
      <c r="BD60" s="398"/>
      <c r="BE60" s="398"/>
      <c r="BF60" s="398"/>
      <c r="BG60" s="398"/>
      <c r="BH60" s="398"/>
      <c r="BI60" s="398"/>
      <c r="BJ60" s="398"/>
      <c r="BK60" s="398"/>
      <c r="BL60" s="398"/>
      <c r="BM60" s="398"/>
      <c r="BN60" s="398"/>
      <c r="BO60" s="398"/>
      <c r="BP60" s="398"/>
      <c r="BQ60" s="398"/>
      <c r="BR60" s="398"/>
      <c r="BS60" s="398"/>
      <c r="BT60" s="398"/>
      <c r="BU60" s="398"/>
      <c r="BV60" s="398"/>
      <c r="BW60" s="398"/>
      <c r="BX60" s="398"/>
      <c r="BY60" s="398"/>
      <c r="BZ60" s="398"/>
      <c r="CA60" s="398"/>
      <c r="CB60" s="398"/>
      <c r="CC60" s="398"/>
      <c r="CD60" s="398"/>
      <c r="CE60" s="398"/>
      <c r="CF60" s="398"/>
      <c r="CG60" s="398"/>
      <c r="CH60" s="398"/>
      <c r="CI60" s="398"/>
      <c r="CJ60" s="398"/>
      <c r="CK60" s="398"/>
      <c r="CL60" s="398"/>
      <c r="CM60" s="398"/>
      <c r="CN60" s="398"/>
      <c r="CO60" s="398"/>
      <c r="CP60" s="398"/>
      <c r="CQ60" s="398"/>
      <c r="CR60" s="398"/>
      <c r="CS60" s="398"/>
      <c r="CT60" s="398"/>
      <c r="CU60" s="398"/>
      <c r="CV60" s="398"/>
      <c r="CW60" s="398"/>
      <c r="CX60" s="398"/>
      <c r="CY60" s="398"/>
      <c r="CZ60" s="398"/>
      <c r="DA60" s="398"/>
      <c r="DB60" s="398"/>
      <c r="DC60" s="398"/>
      <c r="DD60" s="398"/>
      <c r="DE60" s="398"/>
      <c r="DF60" s="398"/>
      <c r="DG60" s="398"/>
      <c r="DH60" s="398"/>
      <c r="DI60" s="398"/>
      <c r="DJ60" s="398"/>
      <c r="DK60" s="398"/>
      <c r="DL60" s="398"/>
      <c r="DM60" s="398"/>
      <c r="DN60" s="398"/>
      <c r="DO60" s="398"/>
      <c r="DP60" s="398"/>
      <c r="DQ60" s="398"/>
      <c r="DR60" s="398"/>
      <c r="DS60" s="398"/>
      <c r="DT60" s="398"/>
      <c r="DU60" s="398"/>
      <c r="DV60" s="398"/>
      <c r="DW60" s="398"/>
      <c r="DX60" s="398"/>
      <c r="DY60" s="398"/>
      <c r="DZ60" s="398"/>
      <c r="EA60" s="398"/>
      <c r="EB60" s="398"/>
      <c r="EC60" s="398"/>
      <c r="ED60" s="398"/>
      <c r="EE60" s="398"/>
      <c r="EF60" s="398"/>
      <c r="EG60" s="398"/>
      <c r="EH60" s="398"/>
      <c r="EI60" s="398"/>
      <c r="EJ60" s="398"/>
      <c r="EK60" s="398"/>
      <c r="EL60" s="398"/>
      <c r="EM60" s="398"/>
      <c r="EN60" s="398"/>
      <c r="EO60" s="398"/>
      <c r="EP60" s="398"/>
      <c r="EQ60" s="398"/>
      <c r="ER60" s="398"/>
      <c r="ES60" s="398"/>
      <c r="ET60" s="398"/>
      <c r="EU60" s="398"/>
      <c r="EV60" s="398"/>
      <c r="EW60" s="398"/>
      <c r="EX60" s="398"/>
      <c r="EY60" s="398"/>
      <c r="EZ60" s="398"/>
      <c r="FA60" s="398"/>
      <c r="FB60" s="398"/>
      <c r="FC60" s="398"/>
      <c r="FD60" s="398"/>
      <c r="FE60" s="398"/>
      <c r="FF60" s="398"/>
      <c r="FG60" s="398"/>
      <c r="FH60" s="398"/>
      <c r="FI60" s="398"/>
      <c r="FJ60" s="398"/>
      <c r="FK60" s="398"/>
      <c r="FL60" s="398"/>
      <c r="FM60" s="398"/>
      <c r="FN60" s="78"/>
      <c r="FO60" s="78"/>
      <c r="FP60" s="399"/>
      <c r="FQ60" s="400"/>
      <c r="FR60" s="400"/>
      <c r="FS60" s="400"/>
      <c r="FT60" s="400"/>
      <c r="FU60" s="400"/>
      <c r="FV60" s="400"/>
      <c r="FW60" s="400"/>
      <c r="FX60" s="400"/>
      <c r="FY60" s="400"/>
      <c r="FZ60" s="400"/>
      <c r="GA60" s="400"/>
      <c r="GB60" s="400"/>
      <c r="GC60" s="400"/>
      <c r="GD60" s="400"/>
      <c r="GE60" s="400"/>
      <c r="GF60" s="400"/>
      <c r="GG60" s="400"/>
      <c r="GH60" s="401"/>
      <c r="GI60" s="42"/>
    </row>
    <row r="61" spans="1:191" ht="10.199999999999999" customHeight="1" x14ac:dyDescent="0.3">
      <c r="A61" s="78" t="s">
        <v>153</v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402" t="s">
        <v>118</v>
      </c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  <c r="AA61" s="402"/>
      <c r="AB61" s="402"/>
      <c r="AC61" s="402"/>
      <c r="AD61" s="402"/>
      <c r="AE61" s="402"/>
      <c r="AF61" s="402"/>
      <c r="AG61" s="402"/>
      <c r="AH61" s="402"/>
      <c r="AI61" s="402"/>
      <c r="AJ61" s="402"/>
      <c r="AK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BC61" s="402"/>
      <c r="BD61" s="402"/>
      <c r="BE61" s="402"/>
      <c r="BF61" s="402"/>
      <c r="BG61" s="402"/>
      <c r="BH61" s="402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2"/>
      <c r="BT61" s="402"/>
      <c r="BU61" s="402"/>
      <c r="BV61" s="402"/>
      <c r="BW61" s="402"/>
      <c r="BX61" s="402"/>
      <c r="BY61" s="402"/>
      <c r="BZ61" s="402"/>
      <c r="CA61" s="50"/>
      <c r="CB61" s="50"/>
      <c r="CC61" s="91" t="s">
        <v>154</v>
      </c>
      <c r="CD61" s="78"/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403" t="s">
        <v>155</v>
      </c>
      <c r="CV61" s="403"/>
      <c r="CW61" s="403"/>
      <c r="CX61" s="403"/>
      <c r="CY61" s="403"/>
      <c r="CZ61" s="403"/>
      <c r="DA61" s="403"/>
      <c r="DB61" s="403"/>
      <c r="DC61" s="403"/>
      <c r="DD61" s="403"/>
      <c r="DE61" s="403"/>
      <c r="DF61" s="403"/>
      <c r="DG61" s="403"/>
      <c r="DH61" s="403"/>
      <c r="DI61" s="403"/>
      <c r="DJ61" s="403"/>
      <c r="DK61" s="403"/>
      <c r="DL61" s="403"/>
      <c r="DM61" s="403"/>
      <c r="DN61" s="403"/>
      <c r="DO61" s="403"/>
      <c r="DP61" s="403"/>
      <c r="DQ61" s="403"/>
      <c r="DR61" s="403"/>
      <c r="DS61" s="403"/>
      <c r="DT61" s="403"/>
      <c r="DU61" s="403"/>
      <c r="DV61" s="403"/>
      <c r="DW61" s="403"/>
      <c r="DX61" s="403"/>
      <c r="DY61" s="403"/>
      <c r="DZ61" s="403"/>
      <c r="EA61" s="403"/>
      <c r="EB61" s="403"/>
      <c r="EC61" s="403"/>
      <c r="ED61" s="403"/>
      <c r="EE61" s="403"/>
      <c r="EF61" s="403"/>
      <c r="EG61" s="403"/>
      <c r="EH61" s="403"/>
      <c r="EI61" s="403"/>
      <c r="EJ61" s="403"/>
      <c r="EK61" s="403"/>
      <c r="EL61" s="403"/>
      <c r="EM61" s="403"/>
      <c r="EN61" s="403"/>
      <c r="EO61" s="403"/>
      <c r="EP61" s="403"/>
      <c r="EQ61" s="403"/>
      <c r="ER61" s="403"/>
      <c r="ES61" s="403"/>
      <c r="ET61" s="403"/>
      <c r="EU61" s="403"/>
      <c r="EV61" s="403"/>
      <c r="EW61" s="403"/>
      <c r="EX61" s="403"/>
      <c r="EY61" s="403"/>
      <c r="EZ61" s="403"/>
      <c r="FA61" s="403"/>
      <c r="FB61" s="92"/>
      <c r="FC61" s="92"/>
      <c r="FD61" s="92"/>
      <c r="FE61" s="92"/>
      <c r="FF61" s="92"/>
      <c r="FG61" s="92"/>
      <c r="FH61" s="92"/>
      <c r="FI61" s="92"/>
      <c r="FJ61" s="92"/>
      <c r="FK61" s="92"/>
      <c r="FL61" s="78"/>
      <c r="FM61" s="78"/>
      <c r="FN61" s="78"/>
      <c r="FO61" s="78"/>
      <c r="FP61" s="391"/>
      <c r="FQ61" s="392"/>
      <c r="FR61" s="392"/>
      <c r="FS61" s="392"/>
      <c r="FT61" s="392"/>
      <c r="FU61" s="392"/>
      <c r="FV61" s="392"/>
      <c r="FW61" s="392"/>
      <c r="FX61" s="392"/>
      <c r="FY61" s="392"/>
      <c r="FZ61" s="392"/>
      <c r="GA61" s="392"/>
      <c r="GB61" s="392"/>
      <c r="GC61" s="392"/>
      <c r="GD61" s="392"/>
      <c r="GE61" s="392"/>
      <c r="GF61" s="392"/>
      <c r="GG61" s="392"/>
      <c r="GH61" s="393"/>
      <c r="GI61" s="42"/>
    </row>
    <row r="62" spans="1:191" ht="9" customHeight="1" x14ac:dyDescent="0.3">
      <c r="A62" s="78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404" t="s">
        <v>156</v>
      </c>
      <c r="M62" s="404"/>
      <c r="N62" s="404"/>
      <c r="O62" s="404"/>
      <c r="P62" s="404"/>
      <c r="Q62" s="404"/>
      <c r="R62" s="404"/>
      <c r="S62" s="404"/>
      <c r="T62" s="404"/>
      <c r="U62" s="404"/>
      <c r="V62" s="404"/>
      <c r="W62" s="404"/>
      <c r="X62" s="404"/>
      <c r="Y62" s="404"/>
      <c r="Z62" s="404"/>
      <c r="AA62" s="404"/>
      <c r="AB62" s="404"/>
      <c r="AC62" s="404"/>
      <c r="AD62" s="404"/>
      <c r="AE62" s="404"/>
      <c r="AF62" s="404"/>
      <c r="AG62" s="404"/>
      <c r="AH62" s="404"/>
      <c r="AI62" s="404"/>
      <c r="AJ62" s="404"/>
      <c r="AK62" s="404"/>
      <c r="AL62" s="404"/>
      <c r="AM62" s="404"/>
      <c r="AN62" s="404"/>
      <c r="AO62" s="404"/>
      <c r="AP62" s="404"/>
      <c r="AQ62" s="404"/>
      <c r="AR62" s="404"/>
      <c r="AS62" s="404"/>
      <c r="AT62" s="404"/>
      <c r="AU62" s="404"/>
      <c r="AV62" s="404"/>
      <c r="AW62" s="404"/>
      <c r="AX62" s="404"/>
      <c r="AY62" s="404"/>
      <c r="AZ62" s="404"/>
      <c r="BA62" s="404"/>
      <c r="BB62" s="404"/>
      <c r="BC62" s="404"/>
      <c r="BD62" s="404"/>
      <c r="BE62" s="404"/>
      <c r="BF62" s="404"/>
      <c r="BG62" s="404"/>
      <c r="BH62" s="404"/>
      <c r="BI62" s="404"/>
      <c r="BJ62" s="404"/>
      <c r="BK62" s="404"/>
      <c r="BL62" s="404"/>
      <c r="BM62" s="404"/>
      <c r="BN62" s="404"/>
      <c r="BO62" s="404"/>
      <c r="BP62" s="404"/>
      <c r="BQ62" s="404"/>
      <c r="BR62" s="404"/>
      <c r="BS62" s="404"/>
      <c r="BT62" s="404"/>
      <c r="BU62" s="404"/>
      <c r="BV62" s="404"/>
      <c r="BW62" s="404"/>
      <c r="BX62" s="404"/>
      <c r="BY62" s="404"/>
      <c r="BZ62" s="404"/>
      <c r="CA62" s="88"/>
      <c r="CB62" s="88"/>
      <c r="CC62" s="78"/>
      <c r="CD62" s="78"/>
      <c r="CE62" s="78"/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8"/>
      <c r="CV62" s="78"/>
      <c r="CW62" s="78"/>
      <c r="CX62" s="78"/>
      <c r="CY62" s="78"/>
      <c r="CZ62" s="78"/>
      <c r="DA62" s="78"/>
      <c r="DB62" s="78"/>
      <c r="DC62" s="78"/>
      <c r="DD62" s="78"/>
      <c r="DE62" s="78"/>
      <c r="DF62" s="78"/>
      <c r="DG62" s="78"/>
      <c r="DH62" s="78"/>
      <c r="DI62" s="78"/>
      <c r="DJ62" s="78"/>
      <c r="DK62" s="78"/>
      <c r="DL62" s="78"/>
      <c r="DM62" s="78"/>
      <c r="DN62" s="78"/>
      <c r="DO62" s="78"/>
      <c r="DP62" s="78"/>
      <c r="DQ62" s="78"/>
      <c r="DR62" s="78"/>
      <c r="DS62" s="78"/>
      <c r="DT62" s="78"/>
      <c r="DU62" s="78"/>
      <c r="DV62" s="78"/>
      <c r="DW62" s="78"/>
      <c r="DX62" s="78"/>
      <c r="DY62" s="78"/>
      <c r="DZ62" s="78"/>
      <c r="EA62" s="78"/>
      <c r="EB62" s="78"/>
      <c r="EC62" s="78"/>
      <c r="ED62" s="78"/>
      <c r="EE62" s="78"/>
      <c r="EF62" s="78"/>
      <c r="EG62" s="78"/>
      <c r="EH62" s="78"/>
      <c r="EI62" s="78"/>
      <c r="EJ62" s="78"/>
      <c r="EK62" s="78"/>
      <c r="EL62" s="78"/>
      <c r="EM62" s="78"/>
      <c r="EN62" s="78"/>
      <c r="EO62" s="78"/>
      <c r="EP62" s="78"/>
      <c r="EQ62" s="78"/>
      <c r="ER62" s="78"/>
      <c r="ES62" s="78"/>
      <c r="ET62" s="78"/>
      <c r="EU62" s="78"/>
      <c r="EV62" s="78"/>
      <c r="EW62" s="78"/>
      <c r="EX62" s="78"/>
      <c r="EY62" s="78"/>
      <c r="EZ62" s="78"/>
      <c r="FA62" s="78"/>
      <c r="FB62" s="78"/>
      <c r="FC62" s="78"/>
      <c r="FD62" s="78"/>
      <c r="FE62" s="78"/>
      <c r="FF62" s="78"/>
      <c r="FG62" s="78"/>
      <c r="FH62" s="78"/>
      <c r="FI62" s="78"/>
      <c r="FJ62" s="78"/>
      <c r="FK62" s="78"/>
      <c r="FL62" s="78"/>
      <c r="FM62" s="78"/>
      <c r="FN62" s="78"/>
      <c r="FO62" s="78"/>
      <c r="FP62" s="391"/>
      <c r="FQ62" s="392"/>
      <c r="FR62" s="392"/>
      <c r="FS62" s="392"/>
      <c r="FT62" s="392"/>
      <c r="FU62" s="392"/>
      <c r="FV62" s="392"/>
      <c r="FW62" s="392"/>
      <c r="FX62" s="392"/>
      <c r="FY62" s="392"/>
      <c r="FZ62" s="392"/>
      <c r="GA62" s="392"/>
      <c r="GB62" s="392"/>
      <c r="GC62" s="392"/>
      <c r="GD62" s="392"/>
      <c r="GE62" s="392"/>
      <c r="GF62" s="392"/>
      <c r="GG62" s="392"/>
      <c r="GH62" s="393"/>
      <c r="GI62" s="42"/>
    </row>
    <row r="63" spans="1:191" x14ac:dyDescent="0.3">
      <c r="A63" s="405" t="s">
        <v>157</v>
      </c>
      <c r="B63" s="405"/>
      <c r="C63" s="405"/>
      <c r="D63" s="405"/>
      <c r="E63" s="405"/>
      <c r="F63" s="405"/>
      <c r="G63" s="405"/>
      <c r="H63" s="405"/>
      <c r="I63" s="405"/>
      <c r="J63" s="405"/>
      <c r="K63" s="405"/>
      <c r="L63" s="405"/>
      <c r="M63" s="405"/>
      <c r="N63" s="405"/>
      <c r="O63" s="405"/>
      <c r="P63" s="405"/>
      <c r="Q63" s="405"/>
      <c r="R63" s="405"/>
      <c r="S63" s="405"/>
      <c r="T63" s="405"/>
      <c r="U63" s="405"/>
      <c r="V63" s="405"/>
      <c r="W63" s="405"/>
      <c r="X63" s="78"/>
      <c r="Y63" s="362" t="s">
        <v>158</v>
      </c>
      <c r="Z63" s="362"/>
      <c r="AA63" s="362"/>
      <c r="AB63" s="362"/>
      <c r="AC63" s="362"/>
      <c r="AD63" s="362"/>
      <c r="AE63" s="362"/>
      <c r="AF63" s="362"/>
      <c r="AG63" s="362"/>
      <c r="AH63" s="362"/>
      <c r="AI63" s="362"/>
      <c r="AJ63" s="362"/>
      <c r="AK63" s="362"/>
      <c r="AL63" s="362"/>
      <c r="AM63" s="362"/>
      <c r="AN63" s="362"/>
      <c r="AO63" s="362"/>
      <c r="AP63" s="362"/>
      <c r="AQ63" s="362"/>
      <c r="AR63" s="362"/>
      <c r="AS63" s="362"/>
      <c r="AT63" s="362"/>
      <c r="AU63" s="362"/>
      <c r="AV63" s="362"/>
      <c r="AW63" s="362"/>
      <c r="AX63" s="362"/>
      <c r="AY63" s="362"/>
      <c r="AZ63" s="362"/>
      <c r="BA63" s="362"/>
      <c r="BB63" s="362"/>
      <c r="BC63" s="362"/>
      <c r="BD63" s="362"/>
      <c r="BE63" s="362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V63" s="362"/>
      <c r="BW63" s="362"/>
      <c r="BX63" s="362"/>
      <c r="BY63" s="362"/>
      <c r="BZ63" s="362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 t="s">
        <v>159</v>
      </c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362" t="s">
        <v>160</v>
      </c>
      <c r="DG63" s="362"/>
      <c r="DH63" s="362"/>
      <c r="DI63" s="362"/>
      <c r="DJ63" s="362"/>
      <c r="DK63" s="362"/>
      <c r="DL63" s="362"/>
      <c r="DM63" s="362"/>
      <c r="DN63" s="362"/>
      <c r="DO63" s="362"/>
      <c r="DP63" s="362"/>
      <c r="DQ63" s="362"/>
      <c r="DR63" s="362"/>
      <c r="DS63" s="362"/>
      <c r="DT63" s="362"/>
      <c r="DU63" s="362"/>
      <c r="DV63" s="362"/>
      <c r="DW63" s="362"/>
      <c r="DX63" s="362"/>
      <c r="DY63" s="362"/>
      <c r="DZ63" s="362"/>
      <c r="EA63" s="362"/>
      <c r="EB63" s="362"/>
      <c r="EC63" s="362"/>
      <c r="ED63" s="362"/>
      <c r="EE63" s="362"/>
      <c r="EF63" s="362"/>
      <c r="EG63" s="362"/>
      <c r="EH63" s="362"/>
      <c r="EI63" s="362"/>
      <c r="EJ63" s="362"/>
      <c r="EK63" s="362"/>
      <c r="EL63" s="362"/>
      <c r="EM63" s="362"/>
      <c r="EN63" s="362"/>
      <c r="EO63" s="362"/>
      <c r="EP63" s="362"/>
      <c r="EQ63" s="362"/>
      <c r="ER63" s="362"/>
      <c r="ES63" s="362"/>
      <c r="ET63" s="362"/>
      <c r="EU63" s="362"/>
      <c r="EV63" s="362"/>
      <c r="EW63" s="362"/>
      <c r="EX63" s="362"/>
      <c r="EY63" s="362"/>
      <c r="EZ63" s="362"/>
      <c r="FA63" s="362"/>
      <c r="FB63" s="362"/>
      <c r="FC63" s="362"/>
      <c r="FD63" s="362"/>
      <c r="FE63" s="362"/>
      <c r="FF63" s="362"/>
      <c r="FG63" s="362"/>
      <c r="FH63" s="362"/>
      <c r="FI63" s="78"/>
      <c r="FJ63" s="78"/>
      <c r="FK63" s="78"/>
      <c r="FL63" s="78"/>
      <c r="FM63" s="78"/>
      <c r="FN63" s="82" t="s">
        <v>161</v>
      </c>
      <c r="FO63" s="78"/>
      <c r="FP63" s="394"/>
      <c r="FQ63" s="373"/>
      <c r="FR63" s="373"/>
      <c r="FS63" s="373"/>
      <c r="FT63" s="373"/>
      <c r="FU63" s="373"/>
      <c r="FV63" s="373"/>
      <c r="FW63" s="373"/>
      <c r="FX63" s="373"/>
      <c r="FY63" s="373"/>
      <c r="FZ63" s="373"/>
      <c r="GA63" s="373"/>
      <c r="GB63" s="373"/>
      <c r="GC63" s="373"/>
      <c r="GD63" s="373"/>
      <c r="GE63" s="373"/>
      <c r="GF63" s="373"/>
      <c r="GG63" s="373"/>
      <c r="GH63" s="395"/>
      <c r="GI63" s="42"/>
    </row>
    <row r="64" spans="1:191" ht="2.4" customHeight="1" x14ac:dyDescent="0.3">
      <c r="A64" s="405"/>
      <c r="B64" s="405"/>
      <c r="C64" s="405"/>
      <c r="D64" s="405"/>
      <c r="E64" s="405"/>
      <c r="F64" s="405"/>
      <c r="G64" s="405"/>
      <c r="H64" s="405"/>
      <c r="I64" s="405"/>
      <c r="J64" s="405"/>
      <c r="K64" s="405"/>
      <c r="L64" s="405"/>
      <c r="M64" s="405"/>
      <c r="N64" s="405"/>
      <c r="O64" s="405"/>
      <c r="P64" s="405"/>
      <c r="Q64" s="405"/>
      <c r="R64" s="405"/>
      <c r="S64" s="405"/>
      <c r="T64" s="405"/>
      <c r="U64" s="405"/>
      <c r="V64" s="405"/>
      <c r="W64" s="405"/>
      <c r="X64" s="78"/>
      <c r="Y64" s="404"/>
      <c r="Z64" s="404"/>
      <c r="AA64" s="404"/>
      <c r="AB64" s="404"/>
      <c r="AC64" s="404"/>
      <c r="AD64" s="404"/>
      <c r="AE64" s="404"/>
      <c r="AF64" s="404"/>
      <c r="AG64" s="404"/>
      <c r="AH64" s="404"/>
      <c r="AI64" s="404"/>
      <c r="AJ64" s="404"/>
      <c r="AK64" s="404"/>
      <c r="AL64" s="404"/>
      <c r="AM64" s="404"/>
      <c r="AN64" s="404"/>
      <c r="AO64" s="404"/>
      <c r="AP64" s="404"/>
      <c r="AQ64" s="404"/>
      <c r="AR64" s="404"/>
      <c r="AS64" s="404"/>
      <c r="AT64" s="404"/>
      <c r="AU64" s="404"/>
      <c r="AV64" s="404"/>
      <c r="AW64" s="404"/>
      <c r="AX64" s="404"/>
      <c r="AY64" s="404"/>
      <c r="AZ64" s="404"/>
      <c r="BA64" s="404"/>
      <c r="BB64" s="404"/>
      <c r="BC64" s="404"/>
      <c r="BD64" s="404"/>
      <c r="BE64" s="404"/>
      <c r="BF64" s="404"/>
      <c r="BG64" s="404"/>
      <c r="BH64" s="404"/>
      <c r="BI64" s="404"/>
      <c r="BJ64" s="404"/>
      <c r="BK64" s="404"/>
      <c r="BL64" s="404"/>
      <c r="BM64" s="404"/>
      <c r="BN64" s="404"/>
      <c r="BO64" s="404"/>
      <c r="BP64" s="404"/>
      <c r="BQ64" s="404"/>
      <c r="BR64" s="404"/>
      <c r="BS64" s="404"/>
      <c r="BT64" s="404"/>
      <c r="BU64" s="404"/>
      <c r="BV64" s="404"/>
      <c r="BW64" s="404"/>
      <c r="BX64" s="404"/>
      <c r="BY64" s="404"/>
      <c r="BZ64" s="404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399"/>
      <c r="FQ64" s="400"/>
      <c r="FR64" s="400"/>
      <c r="FS64" s="400"/>
      <c r="FT64" s="400"/>
      <c r="FU64" s="400"/>
      <c r="FV64" s="400"/>
      <c r="FW64" s="400"/>
      <c r="FX64" s="400"/>
      <c r="FY64" s="400"/>
      <c r="FZ64" s="400"/>
      <c r="GA64" s="400"/>
      <c r="GB64" s="400"/>
      <c r="GC64" s="400"/>
      <c r="GD64" s="400"/>
      <c r="GE64" s="400"/>
      <c r="GF64" s="400"/>
      <c r="GG64" s="400"/>
      <c r="GH64" s="401"/>
      <c r="GI64" s="42"/>
    </row>
    <row r="65" spans="1:191" ht="12.6" customHeight="1" x14ac:dyDescent="0.3">
      <c r="A65" s="367" t="s">
        <v>137</v>
      </c>
      <c r="B65" s="367"/>
      <c r="C65" s="367"/>
      <c r="D65" s="367"/>
      <c r="E65" s="367"/>
      <c r="F65" s="367"/>
      <c r="G65" s="367"/>
      <c r="H65" s="367"/>
      <c r="I65" s="367"/>
      <c r="J65" s="367"/>
      <c r="K65" s="367"/>
      <c r="L65" s="367"/>
      <c r="M65" s="367"/>
      <c r="N65" s="367"/>
      <c r="O65" s="367"/>
      <c r="P65" s="367"/>
      <c r="Q65" s="367"/>
      <c r="R65" s="367"/>
      <c r="S65" s="367"/>
      <c r="T65" s="373"/>
      <c r="U65" s="373"/>
      <c r="V65" s="373"/>
      <c r="W65" s="373"/>
      <c r="X65" s="373"/>
      <c r="Y65" s="373"/>
      <c r="Z65" s="373"/>
      <c r="AA65" s="373"/>
      <c r="AB65" s="373"/>
      <c r="AC65" s="373"/>
      <c r="AD65" s="373"/>
      <c r="AE65" s="373"/>
      <c r="AF65" s="373"/>
      <c r="AG65" s="373"/>
      <c r="AH65" s="78"/>
      <c r="AI65" s="78" t="s">
        <v>138</v>
      </c>
      <c r="AJ65" s="78"/>
      <c r="AK65" s="78"/>
      <c r="AL65" s="78"/>
      <c r="AM65" s="78"/>
      <c r="AN65" s="78"/>
      <c r="AO65" s="78"/>
      <c r="AP65" s="373"/>
      <c r="AQ65" s="373"/>
      <c r="AR65" s="373"/>
      <c r="AS65" s="373"/>
      <c r="AT65" s="373"/>
      <c r="AU65" s="373"/>
      <c r="AV65" s="373"/>
      <c r="AW65" s="373"/>
      <c r="AX65" s="373"/>
      <c r="AY65" s="373"/>
      <c r="AZ65" s="373"/>
      <c r="BA65" s="373"/>
      <c r="BB65" s="373"/>
      <c r="BC65" s="373"/>
      <c r="BD65" s="78"/>
      <c r="BE65" s="78" t="s">
        <v>56</v>
      </c>
      <c r="BF65" s="78"/>
      <c r="BG65" s="78"/>
      <c r="BH65" s="78"/>
      <c r="BI65" s="373"/>
      <c r="BJ65" s="373"/>
      <c r="BK65" s="373"/>
      <c r="BL65" s="373"/>
      <c r="BM65" s="373"/>
      <c r="BN65" s="373"/>
      <c r="BO65" s="373"/>
      <c r="BP65" s="373"/>
      <c r="BQ65" s="373"/>
      <c r="BR65" s="373"/>
      <c r="BS65" s="373"/>
      <c r="BT65" s="373"/>
      <c r="BU65" s="373"/>
      <c r="BV65" s="373"/>
      <c r="BW65" s="93"/>
      <c r="BX65" s="93"/>
      <c r="BY65" s="93"/>
      <c r="BZ65" s="93"/>
      <c r="CA65" s="93"/>
      <c r="CB65" s="93"/>
      <c r="CC65" s="93"/>
      <c r="CD65" s="93"/>
      <c r="CE65" s="93"/>
      <c r="CF65" s="93"/>
      <c r="CG65" s="93"/>
      <c r="CH65" s="93"/>
      <c r="CI65" s="93"/>
      <c r="CJ65" s="93"/>
      <c r="CK65" s="93"/>
      <c r="CL65" s="93"/>
      <c r="CM65" s="93"/>
      <c r="CN65" s="93"/>
      <c r="CO65" s="93"/>
      <c r="CP65" s="93"/>
      <c r="CQ65" s="93"/>
      <c r="CR65" s="93"/>
      <c r="CS65" s="93"/>
      <c r="CT65" s="93"/>
      <c r="CU65" s="93"/>
      <c r="CV65" s="93"/>
      <c r="CW65" s="93"/>
      <c r="CX65" s="93"/>
      <c r="CY65" s="93"/>
      <c r="CZ65" s="93"/>
      <c r="DA65" s="93"/>
      <c r="DB65" s="93"/>
      <c r="DC65" s="93"/>
      <c r="DD65" s="93"/>
      <c r="DE65" s="93"/>
      <c r="DF65" s="93"/>
      <c r="DG65" s="93"/>
      <c r="DH65" s="93"/>
      <c r="DI65" s="93"/>
      <c r="DJ65" s="93"/>
      <c r="DK65" s="93"/>
      <c r="DL65" s="93"/>
      <c r="DM65" s="93"/>
      <c r="DN65" s="93"/>
      <c r="DO65" s="93"/>
      <c r="DP65" s="93"/>
      <c r="DQ65" s="93"/>
      <c r="DR65" s="93"/>
      <c r="DS65" s="93"/>
      <c r="DT65" s="93"/>
      <c r="DU65" s="93"/>
      <c r="DV65" s="93"/>
      <c r="DW65" s="93"/>
      <c r="DX65" s="93"/>
      <c r="DY65" s="78"/>
      <c r="DZ65" s="78"/>
      <c r="EA65" s="78"/>
      <c r="EB65" s="78"/>
      <c r="EC65" s="78"/>
      <c r="ED65" s="78"/>
      <c r="EE65" s="78"/>
      <c r="EF65" s="78"/>
      <c r="EG65" s="78"/>
      <c r="EH65" s="78"/>
      <c r="EI65" s="78"/>
      <c r="EJ65" s="78"/>
      <c r="EK65" s="78"/>
      <c r="EL65" s="78"/>
      <c r="EM65" s="78"/>
      <c r="EN65" s="78"/>
      <c r="EO65" s="78"/>
      <c r="EP65" s="78"/>
      <c r="EQ65" s="78"/>
      <c r="ER65" s="78"/>
      <c r="ES65" s="78"/>
      <c r="ET65" s="78"/>
      <c r="EU65" s="78"/>
      <c r="EV65" s="78"/>
      <c r="EW65" s="78"/>
      <c r="EX65" s="78"/>
      <c r="EY65" s="78"/>
      <c r="EZ65" s="78"/>
      <c r="FA65" s="78"/>
      <c r="FB65" s="78"/>
      <c r="FC65" s="78"/>
      <c r="FD65" s="78"/>
      <c r="FE65" s="78"/>
      <c r="FF65" s="78"/>
      <c r="FG65" s="78"/>
      <c r="FH65" s="78"/>
      <c r="FI65" s="78"/>
      <c r="FJ65" s="78"/>
      <c r="FK65" s="78"/>
      <c r="FL65" s="78"/>
      <c r="FM65" s="78"/>
      <c r="FN65" s="78"/>
      <c r="FO65" s="78"/>
      <c r="FP65" s="391"/>
      <c r="FQ65" s="392"/>
      <c r="FR65" s="392"/>
      <c r="FS65" s="392"/>
      <c r="FT65" s="392"/>
      <c r="FU65" s="392"/>
      <c r="FV65" s="392"/>
      <c r="FW65" s="392"/>
      <c r="FX65" s="392"/>
      <c r="FY65" s="392"/>
      <c r="FZ65" s="392"/>
      <c r="GA65" s="392"/>
      <c r="GB65" s="392"/>
      <c r="GC65" s="392"/>
      <c r="GD65" s="392"/>
      <c r="GE65" s="392"/>
      <c r="GF65" s="392"/>
      <c r="GG65" s="392"/>
      <c r="GH65" s="393"/>
      <c r="GI65" s="42"/>
    </row>
    <row r="66" spans="1:191" ht="13.95" customHeight="1" x14ac:dyDescent="0.3">
      <c r="A66" s="78" t="s">
        <v>162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396" t="s">
        <v>330</v>
      </c>
      <c r="R66" s="396"/>
      <c r="S66" s="396"/>
      <c r="T66" s="396"/>
      <c r="U66" s="396"/>
      <c r="V66" s="396"/>
      <c r="W66" s="396"/>
      <c r="X66" s="396"/>
      <c r="Y66" s="396"/>
      <c r="Z66" s="396"/>
      <c r="AA66" s="396"/>
      <c r="AB66" s="396"/>
      <c r="AC66" s="396"/>
      <c r="AD66" s="396"/>
      <c r="AE66" s="396"/>
      <c r="AF66" s="396"/>
      <c r="AG66" s="396"/>
      <c r="AH66" s="396"/>
      <c r="AI66" s="396"/>
      <c r="AJ66" s="396"/>
      <c r="AK66" s="396"/>
      <c r="AL66" s="396"/>
      <c r="AM66" s="396"/>
      <c r="AN66" s="396"/>
      <c r="AO66" s="396"/>
      <c r="AP66" s="396"/>
      <c r="AQ66" s="396"/>
      <c r="AR66" s="396"/>
      <c r="AS66" s="396"/>
      <c r="AT66" s="396"/>
      <c r="AU66" s="396"/>
      <c r="AV66" s="396"/>
      <c r="AW66" s="396"/>
      <c r="AX66" s="396"/>
      <c r="AY66" s="396"/>
      <c r="AZ66" s="396"/>
      <c r="BA66" s="396"/>
      <c r="BB66" s="396"/>
      <c r="BC66" s="396"/>
      <c r="BD66" s="396"/>
      <c r="BE66" s="396"/>
      <c r="BF66" s="396"/>
      <c r="BG66" s="396"/>
      <c r="BH66" s="396"/>
      <c r="BI66" s="396"/>
      <c r="BJ66" s="396"/>
      <c r="BK66" s="396"/>
      <c r="BL66" s="396"/>
      <c r="BM66" s="396"/>
      <c r="BN66" s="396"/>
      <c r="BO66" s="396"/>
      <c r="BP66" s="396"/>
      <c r="BQ66" s="396"/>
      <c r="BR66" s="396"/>
      <c r="BS66" s="396"/>
      <c r="BT66" s="396"/>
      <c r="BU66" s="396"/>
      <c r="BV66" s="396"/>
      <c r="BW66" s="396"/>
      <c r="BX66" s="396"/>
      <c r="BY66" s="396"/>
      <c r="BZ66" s="396"/>
      <c r="CA66" s="396"/>
      <c r="CB66" s="396"/>
      <c r="CC66" s="78"/>
      <c r="CD66" s="78" t="s">
        <v>164</v>
      </c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397" t="s">
        <v>329</v>
      </c>
      <c r="CU66" s="397"/>
      <c r="CV66" s="397"/>
      <c r="CW66" s="397"/>
      <c r="CX66" s="397"/>
      <c r="CY66" s="397"/>
      <c r="CZ66" s="397"/>
      <c r="DA66" s="397"/>
      <c r="DB66" s="397"/>
      <c r="DC66" s="397"/>
      <c r="DD66" s="397"/>
      <c r="DE66" s="397"/>
      <c r="DF66" s="397"/>
      <c r="DG66" s="397"/>
      <c r="DH66" s="397"/>
      <c r="DI66" s="397"/>
      <c r="DJ66" s="397"/>
      <c r="DK66" s="397"/>
      <c r="DL66" s="397"/>
      <c r="DM66" s="397"/>
      <c r="DN66" s="397"/>
      <c r="DO66" s="397"/>
      <c r="DP66" s="397"/>
      <c r="DQ66" s="397"/>
      <c r="DR66" s="397"/>
      <c r="DS66" s="397"/>
      <c r="DT66" s="397"/>
      <c r="DU66" s="397"/>
      <c r="DV66" s="397"/>
      <c r="DW66" s="397"/>
      <c r="DX66" s="397"/>
      <c r="DY66" s="397"/>
      <c r="DZ66" s="397"/>
      <c r="EA66" s="397"/>
      <c r="EB66" s="397"/>
      <c r="EC66" s="397"/>
      <c r="ED66" s="397"/>
      <c r="EE66" s="397"/>
      <c r="EF66" s="397"/>
      <c r="EG66" s="397"/>
      <c r="EH66" s="397"/>
      <c r="EI66" s="397"/>
      <c r="EJ66" s="397"/>
      <c r="EK66" s="397"/>
      <c r="EL66" s="397"/>
      <c r="EM66" s="397"/>
      <c r="EN66" s="397"/>
      <c r="EO66" s="397"/>
      <c r="EP66" s="397"/>
      <c r="EQ66" s="397"/>
      <c r="ER66" s="397"/>
      <c r="ES66" s="397"/>
      <c r="ET66" s="397"/>
      <c r="EU66" s="397"/>
      <c r="EV66" s="397"/>
      <c r="EW66" s="397"/>
      <c r="EX66" s="397"/>
      <c r="EY66" s="397"/>
      <c r="EZ66" s="397"/>
      <c r="FA66" s="397"/>
      <c r="FB66" s="397"/>
      <c r="FC66" s="397"/>
      <c r="FD66" s="78"/>
      <c r="FE66" s="78"/>
      <c r="FF66" s="78"/>
      <c r="FG66" s="78"/>
      <c r="FH66" s="78"/>
      <c r="FI66" s="78"/>
      <c r="FJ66" s="78"/>
      <c r="FK66" s="78"/>
      <c r="FL66" s="78"/>
      <c r="FM66" s="78"/>
      <c r="FN66" s="82" t="s">
        <v>166</v>
      </c>
      <c r="FO66" s="78"/>
      <c r="FP66" s="394"/>
      <c r="FQ66" s="373"/>
      <c r="FR66" s="373"/>
      <c r="FS66" s="373"/>
      <c r="FT66" s="373"/>
      <c r="FU66" s="373"/>
      <c r="FV66" s="373"/>
      <c r="FW66" s="373"/>
      <c r="FX66" s="373"/>
      <c r="FY66" s="373"/>
      <c r="FZ66" s="373"/>
      <c r="GA66" s="373"/>
      <c r="GB66" s="373"/>
      <c r="GC66" s="373"/>
      <c r="GD66" s="373"/>
      <c r="GE66" s="373"/>
      <c r="GF66" s="373"/>
      <c r="GG66" s="373"/>
      <c r="GH66" s="395"/>
      <c r="GI66" s="42"/>
    </row>
    <row r="67" spans="1:191" ht="7.95" customHeight="1" x14ac:dyDescent="0.3">
      <c r="A67" s="78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404" t="s">
        <v>167</v>
      </c>
      <c r="R67" s="404"/>
      <c r="S67" s="404"/>
      <c r="T67" s="404"/>
      <c r="U67" s="404"/>
      <c r="V67" s="404"/>
      <c r="W67" s="404"/>
      <c r="X67" s="404"/>
      <c r="Y67" s="404"/>
      <c r="Z67" s="404"/>
      <c r="AA67" s="404"/>
      <c r="AB67" s="404"/>
      <c r="AC67" s="404"/>
      <c r="AD67" s="404"/>
      <c r="AE67" s="404"/>
      <c r="AF67" s="404"/>
      <c r="AG67" s="404"/>
      <c r="AH67" s="404"/>
      <c r="AI67" s="404"/>
      <c r="AJ67" s="404"/>
      <c r="AK67" s="404"/>
      <c r="AL67" s="404"/>
      <c r="AM67" s="404"/>
      <c r="AN67" s="404"/>
      <c r="AO67" s="404"/>
      <c r="AP67" s="404"/>
      <c r="AQ67" s="404"/>
      <c r="AR67" s="404"/>
      <c r="AS67" s="404"/>
      <c r="AT67" s="404"/>
      <c r="AU67" s="404"/>
      <c r="AV67" s="404"/>
      <c r="AW67" s="404"/>
      <c r="AX67" s="404"/>
      <c r="AY67" s="404"/>
      <c r="AZ67" s="404"/>
      <c r="BA67" s="404"/>
      <c r="BB67" s="404"/>
      <c r="BC67" s="404"/>
      <c r="BD67" s="404"/>
      <c r="BE67" s="404"/>
      <c r="BF67" s="404"/>
      <c r="BG67" s="404"/>
      <c r="BH67" s="404"/>
      <c r="BI67" s="404"/>
      <c r="BJ67" s="404"/>
      <c r="BK67" s="404"/>
      <c r="BL67" s="404"/>
      <c r="BM67" s="404"/>
      <c r="BN67" s="404"/>
      <c r="BO67" s="404"/>
      <c r="BP67" s="404"/>
      <c r="BQ67" s="404"/>
      <c r="BR67" s="404"/>
      <c r="BS67" s="404"/>
      <c r="BT67" s="404"/>
      <c r="BU67" s="404"/>
      <c r="BV67" s="404"/>
      <c r="BW67" s="404"/>
      <c r="BX67" s="404"/>
      <c r="BY67" s="404"/>
      <c r="BZ67" s="404"/>
      <c r="CA67" s="404"/>
      <c r="CB67" s="404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404" t="s">
        <v>167</v>
      </c>
      <c r="CU67" s="404"/>
      <c r="CV67" s="404"/>
      <c r="CW67" s="404"/>
      <c r="CX67" s="404"/>
      <c r="CY67" s="404"/>
      <c r="CZ67" s="404"/>
      <c r="DA67" s="404"/>
      <c r="DB67" s="404"/>
      <c r="DC67" s="404"/>
      <c r="DD67" s="404"/>
      <c r="DE67" s="404"/>
      <c r="DF67" s="404"/>
      <c r="DG67" s="404"/>
      <c r="DH67" s="404"/>
      <c r="DI67" s="404"/>
      <c r="DJ67" s="404"/>
      <c r="DK67" s="404"/>
      <c r="DL67" s="404"/>
      <c r="DM67" s="404"/>
      <c r="DN67" s="404"/>
      <c r="DO67" s="404"/>
      <c r="DP67" s="404"/>
      <c r="DQ67" s="404"/>
      <c r="DR67" s="404"/>
      <c r="DS67" s="404"/>
      <c r="DT67" s="404"/>
      <c r="DU67" s="404"/>
      <c r="DV67" s="404"/>
      <c r="DW67" s="404"/>
      <c r="DX67" s="404"/>
      <c r="DY67" s="404"/>
      <c r="DZ67" s="404"/>
      <c r="EA67" s="404"/>
      <c r="EB67" s="404"/>
      <c r="EC67" s="404"/>
      <c r="ED67" s="404"/>
      <c r="EE67" s="404"/>
      <c r="EF67" s="404"/>
      <c r="EG67" s="404"/>
      <c r="EH67" s="404"/>
      <c r="EI67" s="404"/>
      <c r="EJ67" s="404"/>
      <c r="EK67" s="404"/>
      <c r="EL67" s="404"/>
      <c r="EM67" s="404"/>
      <c r="EN67" s="404"/>
      <c r="EO67" s="404"/>
      <c r="EP67" s="404"/>
      <c r="EQ67" s="404"/>
      <c r="ER67" s="404"/>
      <c r="ES67" s="404"/>
      <c r="ET67" s="404"/>
      <c r="EU67" s="404"/>
      <c r="EV67" s="404"/>
      <c r="EW67" s="404"/>
      <c r="EX67" s="404"/>
      <c r="EY67" s="404"/>
      <c r="EZ67" s="404"/>
      <c r="FA67" s="404"/>
      <c r="FB67" s="404"/>
      <c r="FC67" s="404"/>
      <c r="FD67" s="78"/>
      <c r="FE67" s="78"/>
      <c r="FF67" s="78"/>
      <c r="FG67" s="78"/>
      <c r="FH67" s="78"/>
      <c r="FI67" s="78"/>
      <c r="FJ67" s="78"/>
      <c r="FK67" s="78"/>
      <c r="FL67" s="78"/>
      <c r="FM67" s="78"/>
      <c r="FN67" s="78"/>
      <c r="FO67" s="78"/>
      <c r="FP67" s="399"/>
      <c r="FQ67" s="400"/>
      <c r="FR67" s="400"/>
      <c r="FS67" s="400"/>
      <c r="FT67" s="400"/>
      <c r="FU67" s="400"/>
      <c r="FV67" s="400"/>
      <c r="FW67" s="400"/>
      <c r="FX67" s="400"/>
      <c r="FY67" s="400"/>
      <c r="FZ67" s="400"/>
      <c r="GA67" s="400"/>
      <c r="GB67" s="400"/>
      <c r="GC67" s="400"/>
      <c r="GD67" s="400"/>
      <c r="GE67" s="400"/>
      <c r="GF67" s="400"/>
      <c r="GG67" s="400"/>
      <c r="GH67" s="401"/>
      <c r="GI67" s="42"/>
    </row>
    <row r="68" spans="1:191" x14ac:dyDescent="0.3">
      <c r="A68" s="78" t="s">
        <v>168</v>
      </c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300" t="s">
        <v>169</v>
      </c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  <c r="AF68" s="300"/>
      <c r="AG68" s="300"/>
      <c r="AH68" s="300"/>
      <c r="AI68" s="300"/>
      <c r="AJ68" s="300"/>
      <c r="AK68" s="300"/>
      <c r="AL68" s="300"/>
      <c r="AM68" s="300"/>
      <c r="AN68" s="300"/>
      <c r="AO68" s="300"/>
      <c r="AP68" s="300"/>
      <c r="AQ68" s="300"/>
      <c r="AR68" s="300"/>
      <c r="AS68" s="300"/>
      <c r="AT68" s="300"/>
      <c r="AU68" s="300"/>
      <c r="AV68" s="300"/>
      <c r="AW68" s="300"/>
      <c r="AX68" s="300"/>
      <c r="AY68" s="300"/>
      <c r="AZ68" s="300"/>
      <c r="BA68" s="300"/>
      <c r="BB68" s="300"/>
      <c r="BC68" s="300"/>
      <c r="BD68" s="300"/>
      <c r="BE68" s="300"/>
      <c r="BF68" s="300"/>
      <c r="BG68" s="300"/>
      <c r="BH68" s="300"/>
      <c r="BI68" s="300"/>
      <c r="BJ68" s="300"/>
      <c r="BK68" s="300"/>
      <c r="BL68" s="300"/>
      <c r="BM68" s="300"/>
      <c r="BN68" s="300"/>
      <c r="BO68" s="300"/>
      <c r="BP68" s="300"/>
      <c r="BQ68" s="300"/>
      <c r="BR68" s="300"/>
      <c r="BS68" s="300"/>
      <c r="BT68" s="300"/>
      <c r="BU68" s="300"/>
      <c r="BV68" s="78"/>
      <c r="BW68" s="78" t="s">
        <v>170</v>
      </c>
      <c r="BX68" s="78"/>
      <c r="BY68" s="78"/>
      <c r="BZ68" s="78"/>
      <c r="CA68" s="78"/>
      <c r="CB68" s="78"/>
      <c r="CC68" s="78"/>
      <c r="CD68" s="78"/>
      <c r="CE68" s="78"/>
      <c r="CF68" s="78"/>
      <c r="CG68" s="78"/>
      <c r="CH68" s="369" t="s">
        <v>171</v>
      </c>
      <c r="CI68" s="369"/>
      <c r="CJ68" s="369"/>
      <c r="CK68" s="369"/>
      <c r="CL68" s="369"/>
      <c r="CM68" s="369"/>
      <c r="CN68" s="369"/>
      <c r="CO68" s="369"/>
      <c r="CP68" s="369"/>
      <c r="CQ68" s="369"/>
      <c r="CR68" s="369"/>
      <c r="CS68" s="369"/>
      <c r="CT68" s="369"/>
      <c r="CU68" s="369"/>
      <c r="CV68" s="369"/>
      <c r="CW68" s="369"/>
      <c r="CX68" s="369"/>
      <c r="CY68" s="369"/>
      <c r="CZ68" s="78"/>
      <c r="DA68" s="94" t="s">
        <v>145</v>
      </c>
      <c r="DB68" s="78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95"/>
      <c r="DP68" s="95"/>
      <c r="DQ68" s="95"/>
      <c r="DR68" s="95"/>
      <c r="DS68" s="95"/>
      <c r="DT68" s="95"/>
      <c r="DU68" s="95"/>
      <c r="DV68" s="371" t="s">
        <v>172</v>
      </c>
      <c r="DW68" s="371"/>
      <c r="DX68" s="371"/>
      <c r="DY68" s="371"/>
      <c r="DZ68" s="371"/>
      <c r="EA68" s="371"/>
      <c r="EB68" s="371"/>
      <c r="EC68" s="371"/>
      <c r="ED68" s="371"/>
      <c r="EE68" s="371"/>
      <c r="EF68" s="371"/>
      <c r="EG68" s="371"/>
      <c r="EH68" s="371"/>
      <c r="EI68" s="371"/>
      <c r="EJ68" s="371"/>
      <c r="EK68" s="371"/>
      <c r="EL68" s="371"/>
      <c r="EM68" s="371"/>
      <c r="EN68" s="371"/>
      <c r="EO68" s="371"/>
      <c r="EP68" s="371"/>
      <c r="EQ68" s="371"/>
      <c r="ER68" s="371"/>
      <c r="ES68" s="371"/>
      <c r="ET68" s="371"/>
      <c r="EU68" s="371"/>
      <c r="EV68" s="371"/>
      <c r="EW68" s="371"/>
      <c r="EX68" s="96"/>
      <c r="EY68" s="96"/>
      <c r="EZ68" s="96"/>
      <c r="FA68" s="96"/>
      <c r="FB68" s="96"/>
      <c r="FC68" s="96"/>
      <c r="FD68" s="96"/>
      <c r="FE68" s="96"/>
      <c r="FF68" s="96"/>
      <c r="FG68" s="96"/>
      <c r="FH68" s="96"/>
      <c r="FI68" s="96"/>
      <c r="FJ68" s="96"/>
      <c r="FK68" s="96"/>
      <c r="FL68" s="96"/>
      <c r="FM68" s="96"/>
      <c r="FN68" s="82" t="s">
        <v>173</v>
      </c>
      <c r="FO68" s="78"/>
      <c r="FP68" s="394"/>
      <c r="FQ68" s="373"/>
      <c r="FR68" s="373"/>
      <c r="FS68" s="373"/>
      <c r="FT68" s="373"/>
      <c r="FU68" s="373"/>
      <c r="FV68" s="373"/>
      <c r="FW68" s="373"/>
      <c r="FX68" s="373"/>
      <c r="FY68" s="373"/>
      <c r="FZ68" s="373"/>
      <c r="GA68" s="373"/>
      <c r="GB68" s="373"/>
      <c r="GC68" s="373"/>
      <c r="GD68" s="373"/>
      <c r="GE68" s="373"/>
      <c r="GF68" s="373"/>
      <c r="GG68" s="373"/>
      <c r="GH68" s="395"/>
      <c r="GI68" s="42"/>
    </row>
    <row r="69" spans="1:191" ht="9" customHeight="1" x14ac:dyDescent="0.3">
      <c r="A69" s="78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404" t="s">
        <v>174</v>
      </c>
      <c r="R69" s="404"/>
      <c r="S69" s="404"/>
      <c r="T69" s="404"/>
      <c r="U69" s="404"/>
      <c r="V69" s="404"/>
      <c r="W69" s="404"/>
      <c r="X69" s="404"/>
      <c r="Y69" s="404"/>
      <c r="Z69" s="404"/>
      <c r="AA69" s="404"/>
      <c r="AB69" s="404"/>
      <c r="AC69" s="404"/>
      <c r="AD69" s="404"/>
      <c r="AE69" s="404"/>
      <c r="AF69" s="404"/>
      <c r="AG69" s="404"/>
      <c r="AH69" s="404"/>
      <c r="AI69" s="404"/>
      <c r="AJ69" s="404"/>
      <c r="AK69" s="404"/>
      <c r="AL69" s="404"/>
      <c r="AM69" s="404"/>
      <c r="AN69" s="404"/>
      <c r="AO69" s="404"/>
      <c r="AP69" s="404"/>
      <c r="AQ69" s="404"/>
      <c r="AR69" s="404"/>
      <c r="AS69" s="404"/>
      <c r="AT69" s="404"/>
      <c r="AU69" s="404"/>
      <c r="AV69" s="404"/>
      <c r="AW69" s="404"/>
      <c r="AX69" s="404"/>
      <c r="AY69" s="404"/>
      <c r="AZ69" s="404"/>
      <c r="BA69" s="404"/>
      <c r="BB69" s="404"/>
      <c r="BC69" s="404"/>
      <c r="BD69" s="404"/>
      <c r="BE69" s="404"/>
      <c r="BF69" s="404"/>
      <c r="BG69" s="404"/>
      <c r="BH69" s="404"/>
      <c r="BI69" s="404"/>
      <c r="BJ69" s="404"/>
      <c r="BK69" s="404"/>
      <c r="BL69" s="404"/>
      <c r="BM69" s="404"/>
      <c r="BN69" s="404"/>
      <c r="BO69" s="404"/>
      <c r="BP69" s="404"/>
      <c r="BQ69" s="404"/>
      <c r="BR69" s="404"/>
      <c r="BS69" s="404"/>
      <c r="BT69" s="404"/>
      <c r="BU69" s="404"/>
      <c r="BV69" s="78"/>
      <c r="BW69" s="78"/>
      <c r="BX69" s="78"/>
      <c r="BY69" s="78"/>
      <c r="BZ69" s="78"/>
      <c r="CA69" s="78"/>
      <c r="CB69" s="78"/>
      <c r="CC69" s="78"/>
      <c r="CD69" s="78"/>
      <c r="CE69" s="78"/>
      <c r="CF69" s="78"/>
      <c r="CG69" s="78"/>
      <c r="CH69" s="404" t="s">
        <v>150</v>
      </c>
      <c r="CI69" s="404"/>
      <c r="CJ69" s="404"/>
      <c r="CK69" s="404"/>
      <c r="CL69" s="404"/>
      <c r="CM69" s="404"/>
      <c r="CN69" s="404"/>
      <c r="CO69" s="404"/>
      <c r="CP69" s="404"/>
      <c r="CQ69" s="404"/>
      <c r="CR69" s="404"/>
      <c r="CS69" s="404"/>
      <c r="CT69" s="404"/>
      <c r="CU69" s="404"/>
      <c r="CV69" s="404"/>
      <c r="CW69" s="404"/>
      <c r="CX69" s="404"/>
      <c r="CY69" s="404"/>
      <c r="CZ69" s="78"/>
      <c r="DA69" s="78"/>
      <c r="DB69" s="78"/>
      <c r="DC69" s="78"/>
      <c r="DD69" s="78"/>
      <c r="DE69" s="78"/>
      <c r="DF69" s="78"/>
      <c r="DG69" s="78"/>
      <c r="DH69" s="78"/>
      <c r="DI69" s="78"/>
      <c r="DJ69" s="78"/>
      <c r="DK69" s="78"/>
      <c r="DL69" s="78"/>
      <c r="DM69" s="78"/>
      <c r="DN69" s="78"/>
      <c r="DO69" s="78"/>
      <c r="DP69" s="78"/>
      <c r="DQ69" s="78"/>
      <c r="DR69" s="78"/>
      <c r="DS69" s="78"/>
      <c r="DT69" s="78"/>
      <c r="DU69" s="78"/>
      <c r="DV69" s="78"/>
      <c r="DW69" s="78"/>
      <c r="DX69" s="78"/>
      <c r="DY69" s="78"/>
      <c r="DZ69" s="78"/>
      <c r="EA69" s="78"/>
      <c r="EB69" s="78"/>
      <c r="EC69" s="78"/>
      <c r="ED69" s="78"/>
      <c r="EE69" s="78"/>
      <c r="EF69" s="78"/>
      <c r="EG69" s="78"/>
      <c r="EH69" s="78"/>
      <c r="EI69" s="78"/>
      <c r="EJ69" s="78"/>
      <c r="EK69" s="78"/>
      <c r="EL69" s="78"/>
      <c r="EM69" s="78"/>
      <c r="EN69" s="78"/>
      <c r="EO69" s="78"/>
      <c r="EP69" s="78"/>
      <c r="EQ69" s="78"/>
      <c r="ER69" s="78"/>
      <c r="ES69" s="78"/>
      <c r="ET69" s="78"/>
      <c r="EU69" s="78"/>
      <c r="EV69" s="78"/>
      <c r="EW69" s="78"/>
      <c r="EX69" s="97"/>
      <c r="EY69" s="97"/>
      <c r="EZ69" s="97"/>
      <c r="FA69" s="97"/>
      <c r="FB69" s="97"/>
      <c r="FC69" s="97"/>
      <c r="FD69" s="97"/>
      <c r="FE69" s="97"/>
      <c r="FF69" s="97"/>
      <c r="FG69" s="97"/>
      <c r="FH69" s="97"/>
      <c r="FI69" s="97"/>
      <c r="FJ69" s="97"/>
      <c r="FK69" s="97"/>
      <c r="FL69" s="97"/>
      <c r="FM69" s="97"/>
      <c r="FN69" s="97"/>
      <c r="FO69" s="78"/>
      <c r="FP69" s="399"/>
      <c r="FQ69" s="400"/>
      <c r="FR69" s="400"/>
      <c r="FS69" s="400"/>
      <c r="FT69" s="400"/>
      <c r="FU69" s="400"/>
      <c r="FV69" s="400"/>
      <c r="FW69" s="400"/>
      <c r="FX69" s="400"/>
      <c r="FY69" s="400"/>
      <c r="FZ69" s="400"/>
      <c r="GA69" s="400"/>
      <c r="GB69" s="400"/>
      <c r="GC69" s="400"/>
      <c r="GD69" s="400"/>
      <c r="GE69" s="400"/>
      <c r="GF69" s="400"/>
      <c r="GG69" s="400"/>
      <c r="GH69" s="401"/>
      <c r="GI69" s="42"/>
    </row>
    <row r="70" spans="1:191" ht="11.4" customHeight="1" thickBot="1" x14ac:dyDescent="0.35">
      <c r="A70" s="300" t="s">
        <v>151</v>
      </c>
      <c r="B70" s="300"/>
      <c r="C70" s="300"/>
      <c r="D70" s="300"/>
      <c r="E70" s="300"/>
      <c r="F70" s="300"/>
      <c r="G70" s="300"/>
      <c r="H70" s="300"/>
      <c r="I70" s="300"/>
      <c r="J70" s="300"/>
      <c r="K70" s="300"/>
      <c r="L70" s="300"/>
      <c r="M70" s="300"/>
      <c r="N70" s="300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  <c r="AF70" s="300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96"/>
      <c r="AX70" s="96"/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78"/>
      <c r="BS70" s="78"/>
      <c r="BT70" s="78"/>
      <c r="BU70" s="78"/>
      <c r="BV70" s="78"/>
      <c r="BW70" s="96" t="s">
        <v>175</v>
      </c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409" t="s">
        <v>169</v>
      </c>
      <c r="CI70" s="409"/>
      <c r="CJ70" s="409"/>
      <c r="CK70" s="409"/>
      <c r="CL70" s="409"/>
      <c r="CM70" s="409"/>
      <c r="CN70" s="409"/>
      <c r="CO70" s="409"/>
      <c r="CP70" s="409"/>
      <c r="CQ70" s="409"/>
      <c r="CR70" s="409"/>
      <c r="CS70" s="409"/>
      <c r="CT70" s="409"/>
      <c r="CU70" s="409"/>
      <c r="CV70" s="409"/>
      <c r="CW70" s="409"/>
      <c r="CX70" s="409"/>
      <c r="CY70" s="409"/>
      <c r="CZ70" s="78"/>
      <c r="DA70" s="94" t="s">
        <v>145</v>
      </c>
      <c r="DB70" s="78"/>
      <c r="DC70" s="95"/>
      <c r="DD70" s="95"/>
      <c r="DE70" s="95"/>
      <c r="DF70" s="95"/>
      <c r="DG70" s="95"/>
      <c r="DH70" s="95"/>
      <c r="DI70" s="95"/>
      <c r="DJ70" s="95"/>
      <c r="DK70" s="95"/>
      <c r="DL70" s="95"/>
      <c r="DM70" s="95"/>
      <c r="DN70" s="95"/>
      <c r="DO70" s="95"/>
      <c r="DP70" s="95"/>
      <c r="DQ70" s="95"/>
      <c r="DR70" s="95"/>
      <c r="DS70" s="95"/>
      <c r="DT70" s="95"/>
      <c r="DU70" s="95"/>
      <c r="DV70" s="410"/>
      <c r="DW70" s="410"/>
      <c r="DX70" s="410"/>
      <c r="DY70" s="410"/>
      <c r="DZ70" s="410"/>
      <c r="EA70" s="410"/>
      <c r="EB70" s="410"/>
      <c r="EC70" s="410"/>
      <c r="ED70" s="410"/>
      <c r="EE70" s="410"/>
      <c r="EF70" s="410"/>
      <c r="EG70" s="410"/>
      <c r="EH70" s="410"/>
      <c r="EI70" s="410"/>
      <c r="EJ70" s="410"/>
      <c r="EK70" s="410"/>
      <c r="EL70" s="410"/>
      <c r="EM70" s="410"/>
      <c r="EN70" s="410"/>
      <c r="EO70" s="410"/>
      <c r="EP70" s="410"/>
      <c r="EQ70" s="410"/>
      <c r="ER70" s="410"/>
      <c r="ES70" s="410"/>
      <c r="ET70" s="410"/>
      <c r="EU70" s="410"/>
      <c r="EV70" s="410"/>
      <c r="EW70" s="410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 t="s">
        <v>173</v>
      </c>
      <c r="FO70" s="78"/>
      <c r="FP70" s="406"/>
      <c r="FQ70" s="407"/>
      <c r="FR70" s="407"/>
      <c r="FS70" s="407"/>
      <c r="FT70" s="407"/>
      <c r="FU70" s="407"/>
      <c r="FV70" s="407"/>
      <c r="FW70" s="407"/>
      <c r="FX70" s="407"/>
      <c r="FY70" s="407"/>
      <c r="FZ70" s="407"/>
      <c r="GA70" s="407"/>
      <c r="GB70" s="407"/>
      <c r="GC70" s="407"/>
      <c r="GD70" s="407"/>
      <c r="GE70" s="407"/>
      <c r="GF70" s="407"/>
      <c r="GG70" s="407"/>
      <c r="GH70" s="408"/>
      <c r="GI70" s="42"/>
    </row>
    <row r="71" spans="1:191" ht="7.2" customHeight="1" x14ac:dyDescent="0.3">
      <c r="A71" s="404" t="s">
        <v>176</v>
      </c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  <c r="P71" s="404"/>
      <c r="Q71" s="404"/>
      <c r="R71" s="404"/>
      <c r="S71" s="404"/>
      <c r="T71" s="404"/>
      <c r="U71" s="404"/>
      <c r="V71" s="404"/>
      <c r="W71" s="404"/>
      <c r="X71" s="404"/>
      <c r="Y71" s="404"/>
      <c r="Z71" s="404"/>
      <c r="AA71" s="404"/>
      <c r="AB71" s="404"/>
      <c r="AC71" s="404"/>
      <c r="AD71" s="404"/>
      <c r="AE71" s="404"/>
      <c r="AF71" s="404"/>
      <c r="AG71" s="78"/>
      <c r="AH71" s="78"/>
      <c r="AI71" s="78"/>
      <c r="AJ71" s="78"/>
      <c r="AK71" s="78"/>
      <c r="AL71" s="78"/>
      <c r="AM71" s="78"/>
      <c r="AN71" s="78"/>
      <c r="AO71" s="405" t="s">
        <v>177</v>
      </c>
      <c r="AP71" s="405"/>
      <c r="AQ71" s="405"/>
      <c r="AR71" s="405"/>
      <c r="AS71" s="405"/>
      <c r="AT71" s="405"/>
      <c r="AU71" s="405"/>
      <c r="AV71" s="405"/>
      <c r="AW71" s="405"/>
      <c r="AX71" s="405"/>
      <c r="AY71" s="405"/>
      <c r="AZ71" s="405"/>
      <c r="BA71" s="405"/>
      <c r="BB71" s="405"/>
      <c r="BC71" s="405"/>
      <c r="BD71" s="405"/>
      <c r="BE71" s="405"/>
      <c r="BF71" s="405"/>
      <c r="BG71" s="405"/>
      <c r="BH71" s="405"/>
      <c r="BI71" s="405"/>
      <c r="BJ71" s="405"/>
      <c r="BK71" s="405"/>
      <c r="BL71" s="405"/>
      <c r="BM71" s="405"/>
      <c r="BN71" s="405"/>
      <c r="BO71" s="405"/>
      <c r="BP71" s="405"/>
      <c r="BQ71" s="405"/>
      <c r="BR71" s="405"/>
      <c r="BS71" s="405"/>
      <c r="BT71" s="405"/>
      <c r="BU71" s="78"/>
      <c r="BV71" s="78"/>
      <c r="BW71" s="78"/>
      <c r="BX71" s="78"/>
      <c r="BY71" s="78"/>
      <c r="BZ71" s="78"/>
      <c r="CA71" s="78"/>
      <c r="CB71" s="78"/>
      <c r="CC71" s="78"/>
      <c r="CD71" s="78"/>
      <c r="CE71" s="78"/>
      <c r="CF71" s="78"/>
      <c r="CG71" s="78"/>
      <c r="CH71" s="404" t="s">
        <v>150</v>
      </c>
      <c r="CI71" s="404"/>
      <c r="CJ71" s="404"/>
      <c r="CK71" s="404"/>
      <c r="CL71" s="404"/>
      <c r="CM71" s="404"/>
      <c r="CN71" s="404"/>
      <c r="CO71" s="404"/>
      <c r="CP71" s="404"/>
      <c r="CQ71" s="404"/>
      <c r="CR71" s="404"/>
      <c r="CS71" s="404"/>
      <c r="CT71" s="404"/>
      <c r="CU71" s="404"/>
      <c r="CV71" s="404"/>
      <c r="CW71" s="404"/>
      <c r="CX71" s="404"/>
      <c r="CY71" s="404"/>
      <c r="CZ71" s="78"/>
      <c r="DA71" s="78"/>
      <c r="DB71" s="78"/>
      <c r="DC71" s="78"/>
      <c r="DD71" s="78"/>
      <c r="DE71" s="78"/>
      <c r="DF71" s="78"/>
      <c r="DG71" s="78"/>
      <c r="DH71" s="78"/>
      <c r="DI71" s="78"/>
      <c r="DJ71" s="78"/>
      <c r="DK71" s="78"/>
      <c r="DL71" s="78"/>
      <c r="DM71" s="78"/>
      <c r="DN71" s="78"/>
      <c r="DO71" s="78"/>
      <c r="DP71" s="78"/>
      <c r="DQ71" s="78"/>
      <c r="DR71" s="78"/>
      <c r="DS71" s="78"/>
      <c r="DT71" s="78"/>
      <c r="DU71" s="78"/>
      <c r="DV71" s="78"/>
      <c r="DW71" s="78"/>
      <c r="DX71" s="78"/>
      <c r="DY71" s="78"/>
      <c r="DZ71" s="78"/>
      <c r="EA71" s="78"/>
      <c r="EB71" s="78"/>
      <c r="EC71" s="78"/>
      <c r="ED71" s="78"/>
      <c r="EE71" s="78"/>
      <c r="EF71" s="78"/>
      <c r="EG71" s="78"/>
      <c r="EH71" s="78"/>
      <c r="EI71" s="78"/>
      <c r="EJ71" s="78"/>
      <c r="EK71" s="78"/>
      <c r="EL71" s="78"/>
      <c r="EM71" s="78"/>
      <c r="EN71" s="78"/>
      <c r="EO71" s="78"/>
      <c r="EP71" s="78"/>
      <c r="EQ71" s="78"/>
      <c r="ER71" s="78"/>
      <c r="ES71" s="78"/>
      <c r="ET71" s="78"/>
      <c r="EU71" s="78"/>
      <c r="EV71" s="97"/>
      <c r="EW71" s="97"/>
      <c r="EX71" s="97"/>
      <c r="EY71" s="97"/>
      <c r="EZ71" s="97"/>
      <c r="FA71" s="97"/>
      <c r="FB71" s="97"/>
      <c r="FC71" s="97"/>
      <c r="FD71" s="97"/>
      <c r="FE71" s="97"/>
      <c r="FF71" s="97"/>
      <c r="FG71" s="97"/>
      <c r="FH71" s="97"/>
      <c r="FI71" s="97"/>
      <c r="FJ71" s="97"/>
      <c r="FK71" s="97"/>
      <c r="FL71" s="97"/>
      <c r="FM71" s="97"/>
      <c r="FN71" s="97"/>
      <c r="FO71" s="78"/>
      <c r="FP71" s="78"/>
      <c r="FQ71" s="78"/>
      <c r="FR71" s="78"/>
      <c r="FS71" s="78"/>
      <c r="FT71" s="78"/>
      <c r="FU71" s="78"/>
      <c r="FV71" s="78"/>
      <c r="FW71" s="78"/>
      <c r="FX71" s="78"/>
      <c r="FY71" s="78"/>
      <c r="FZ71" s="78"/>
      <c r="GA71" s="78"/>
      <c r="GB71" s="78"/>
      <c r="GC71" s="78"/>
      <c r="GD71" s="78"/>
      <c r="GE71" s="78"/>
      <c r="GF71" s="78"/>
      <c r="GG71" s="78"/>
      <c r="GH71" s="78"/>
      <c r="GI71" s="42"/>
    </row>
    <row r="72" spans="1:191" ht="4.2" customHeight="1" thickBot="1" x14ac:dyDescent="0.35">
      <c r="A72" s="78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418"/>
      <c r="AP72" s="418"/>
      <c r="AQ72" s="418"/>
      <c r="AR72" s="418"/>
      <c r="AS72" s="418"/>
      <c r="AT72" s="418"/>
      <c r="AU72" s="418"/>
      <c r="AV72" s="418"/>
      <c r="AW72" s="418"/>
      <c r="AX72" s="418"/>
      <c r="AY72" s="418"/>
      <c r="AZ72" s="418"/>
      <c r="BA72" s="418"/>
      <c r="BB72" s="418"/>
      <c r="BC72" s="418"/>
      <c r="BD72" s="418"/>
      <c r="BE72" s="418"/>
      <c r="BF72" s="418"/>
      <c r="BG72" s="418"/>
      <c r="BH72" s="418"/>
      <c r="BI72" s="418"/>
      <c r="BJ72" s="418"/>
      <c r="BK72" s="418"/>
      <c r="BL72" s="418"/>
      <c r="BM72" s="418"/>
      <c r="BN72" s="418"/>
      <c r="BO72" s="418"/>
      <c r="BP72" s="418"/>
      <c r="BQ72" s="418"/>
      <c r="BR72" s="418"/>
      <c r="BS72" s="418"/>
      <c r="BT72" s="418"/>
      <c r="BU72" s="78"/>
      <c r="BV72" s="78"/>
      <c r="BW72" s="78"/>
      <c r="BX72" s="78"/>
      <c r="BY72" s="78"/>
      <c r="BZ72" s="78"/>
      <c r="CA72" s="78"/>
      <c r="CB72" s="78"/>
      <c r="CC72" s="78"/>
      <c r="CD72" s="78"/>
      <c r="CE72" s="78"/>
      <c r="CF72" s="78"/>
      <c r="CG72" s="78"/>
      <c r="CH72" s="78"/>
      <c r="CI72" s="78"/>
      <c r="CJ72" s="78"/>
      <c r="CK72" s="78"/>
      <c r="CL72" s="78"/>
      <c r="CM72" s="78"/>
      <c r="CN72" s="78"/>
      <c r="CO72" s="78"/>
      <c r="CP72" s="78"/>
      <c r="CQ72" s="78"/>
      <c r="CR72" s="78"/>
      <c r="CS72" s="78"/>
      <c r="CT72" s="78"/>
      <c r="CU72" s="78"/>
      <c r="CV72" s="78"/>
      <c r="CW72" s="78"/>
      <c r="CX72" s="78"/>
      <c r="CY72" s="78"/>
      <c r="CZ72" s="78"/>
      <c r="DA72" s="78"/>
      <c r="DB72" s="78"/>
      <c r="DC72" s="78"/>
      <c r="DD72" s="78"/>
      <c r="DE72" s="78"/>
      <c r="DF72" s="78"/>
      <c r="DG72" s="78"/>
      <c r="DH72" s="78"/>
      <c r="DI72" s="78"/>
      <c r="DJ72" s="78"/>
      <c r="DK72" s="78"/>
      <c r="DL72" s="78"/>
      <c r="DM72" s="78"/>
      <c r="DN72" s="78"/>
      <c r="DO72" s="78"/>
      <c r="DP72" s="78"/>
      <c r="DQ72" s="78"/>
      <c r="DR72" s="78"/>
      <c r="DS72" s="78"/>
      <c r="DT72" s="78"/>
      <c r="DU72" s="78"/>
      <c r="DV72" s="78"/>
      <c r="DW72" s="78"/>
      <c r="DX72" s="78"/>
      <c r="DY72" s="78"/>
      <c r="DZ72" s="78"/>
      <c r="EA72" s="78"/>
      <c r="EB72" s="78"/>
      <c r="EC72" s="78"/>
      <c r="ED72" s="78"/>
      <c r="EE72" s="78"/>
      <c r="EF72" s="78"/>
      <c r="EG72" s="78"/>
      <c r="EH72" s="78"/>
      <c r="EI72" s="78"/>
      <c r="EJ72" s="78"/>
      <c r="EK72" s="78"/>
      <c r="EL72" s="78"/>
      <c r="EM72" s="78"/>
      <c r="EN72" s="78"/>
      <c r="EO72" s="78"/>
      <c r="EP72" s="78"/>
      <c r="EQ72" s="78"/>
      <c r="ER72" s="78"/>
      <c r="ES72" s="78"/>
      <c r="ET72" s="78"/>
      <c r="EU72" s="78"/>
      <c r="EV72" s="97"/>
      <c r="EW72" s="97"/>
      <c r="EX72" s="97"/>
      <c r="EY72" s="97"/>
      <c r="EZ72" s="97"/>
      <c r="FA72" s="97"/>
      <c r="FB72" s="97"/>
      <c r="FC72" s="97"/>
      <c r="FD72" s="97"/>
      <c r="FE72" s="97"/>
      <c r="FF72" s="97"/>
      <c r="FG72" s="97"/>
      <c r="FH72" s="97"/>
      <c r="FI72" s="97"/>
      <c r="FJ72" s="97"/>
      <c r="FK72" s="97"/>
      <c r="FL72" s="97"/>
      <c r="FM72" s="97"/>
      <c r="FN72" s="97"/>
      <c r="FO72" s="78"/>
      <c r="FP72" s="78"/>
      <c r="FQ72" s="78"/>
      <c r="FR72" s="78"/>
      <c r="FS72" s="78"/>
      <c r="FT72" s="78"/>
      <c r="FU72" s="78"/>
      <c r="FV72" s="78"/>
      <c r="FW72" s="78"/>
      <c r="FX72" s="78"/>
      <c r="FY72" s="78"/>
      <c r="FZ72" s="78"/>
      <c r="GA72" s="78"/>
      <c r="GB72" s="78"/>
      <c r="GC72" s="78"/>
      <c r="GD72" s="78"/>
      <c r="GE72" s="78"/>
      <c r="GF72" s="78"/>
      <c r="GG72" s="78"/>
      <c r="GH72" s="78"/>
      <c r="GI72" s="42"/>
    </row>
    <row r="73" spans="1:191" ht="19.2" customHeight="1" thickTop="1" x14ac:dyDescent="0.3">
      <c r="A73" s="419" t="s">
        <v>178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  <c r="N73" s="420"/>
      <c r="O73" s="420"/>
      <c r="P73" s="420"/>
      <c r="Q73" s="420"/>
      <c r="R73" s="420"/>
      <c r="S73" s="420"/>
      <c r="T73" s="420"/>
      <c r="U73" s="420"/>
      <c r="V73" s="420"/>
      <c r="W73" s="420"/>
      <c r="X73" s="420"/>
      <c r="Y73" s="420"/>
      <c r="Z73" s="420"/>
      <c r="AA73" s="420"/>
      <c r="AB73" s="420"/>
      <c r="AC73" s="420"/>
      <c r="AD73" s="420"/>
      <c r="AE73" s="420"/>
      <c r="AF73" s="420"/>
      <c r="AG73" s="420"/>
      <c r="AH73" s="421"/>
      <c r="AI73" s="419" t="s">
        <v>179</v>
      </c>
      <c r="AJ73" s="420"/>
      <c r="AK73" s="420"/>
      <c r="AL73" s="420"/>
      <c r="AM73" s="420"/>
      <c r="AN73" s="420"/>
      <c r="AO73" s="420"/>
      <c r="AP73" s="420"/>
      <c r="AQ73" s="420"/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1"/>
      <c r="BU73" s="419" t="s">
        <v>43</v>
      </c>
      <c r="BV73" s="420"/>
      <c r="BW73" s="420"/>
      <c r="BX73" s="420"/>
      <c r="BY73" s="420"/>
      <c r="BZ73" s="420"/>
      <c r="CA73" s="420"/>
      <c r="CB73" s="420"/>
      <c r="CC73" s="420"/>
      <c r="CD73" s="420"/>
      <c r="CE73" s="420"/>
      <c r="CF73" s="420"/>
      <c r="CG73" s="420"/>
      <c r="CH73" s="420"/>
      <c r="CI73" s="420"/>
      <c r="CJ73" s="420"/>
      <c r="CK73" s="420"/>
      <c r="CL73" s="421"/>
      <c r="CM73" s="419" t="s">
        <v>180</v>
      </c>
      <c r="CN73" s="420"/>
      <c r="CO73" s="420"/>
      <c r="CP73" s="420"/>
      <c r="CQ73" s="420"/>
      <c r="CR73" s="420"/>
      <c r="CS73" s="420"/>
      <c r="CT73" s="420"/>
      <c r="CU73" s="420"/>
      <c r="CV73" s="420"/>
      <c r="CW73" s="420"/>
      <c r="CX73" s="420"/>
      <c r="CY73" s="420"/>
      <c r="CZ73" s="420"/>
      <c r="DA73" s="420"/>
      <c r="DB73" s="421"/>
      <c r="DC73" s="419" t="s">
        <v>181</v>
      </c>
      <c r="DD73" s="420"/>
      <c r="DE73" s="420"/>
      <c r="DF73" s="420"/>
      <c r="DG73" s="420"/>
      <c r="DH73" s="420"/>
      <c r="DI73" s="420"/>
      <c r="DJ73" s="420"/>
      <c r="DK73" s="420"/>
      <c r="DL73" s="420"/>
      <c r="DM73" s="420"/>
      <c r="DN73" s="420"/>
      <c r="DO73" s="420"/>
      <c r="DP73" s="420"/>
      <c r="DQ73" s="420"/>
      <c r="DR73" s="420"/>
      <c r="DS73" s="420"/>
      <c r="DT73" s="420"/>
      <c r="DU73" s="420"/>
      <c r="DV73" s="420"/>
      <c r="DW73" s="420"/>
      <c r="DX73" s="420"/>
      <c r="DY73" s="420"/>
      <c r="DZ73" s="420"/>
      <c r="EA73" s="420"/>
      <c r="EB73" s="420"/>
      <c r="EC73" s="420"/>
      <c r="ED73" s="420"/>
      <c r="EE73" s="420"/>
      <c r="EF73" s="420"/>
      <c r="EG73" s="420"/>
      <c r="EH73" s="420"/>
      <c r="EI73" s="421"/>
      <c r="EJ73" s="411" t="s">
        <v>182</v>
      </c>
      <c r="EK73" s="411"/>
      <c r="EL73" s="411"/>
      <c r="EM73" s="411"/>
      <c r="EN73" s="411"/>
      <c r="EO73" s="411"/>
      <c r="EP73" s="411"/>
      <c r="EQ73" s="411"/>
      <c r="ER73" s="411"/>
      <c r="ES73" s="411"/>
      <c r="ET73" s="411"/>
      <c r="EU73" s="412" t="s">
        <v>183</v>
      </c>
      <c r="EV73" s="412"/>
      <c r="EW73" s="412"/>
      <c r="EX73" s="412"/>
      <c r="EY73" s="412"/>
      <c r="EZ73" s="412"/>
      <c r="FA73" s="412"/>
      <c r="FB73" s="412"/>
      <c r="FC73" s="412"/>
      <c r="FD73" s="412"/>
      <c r="FE73" s="412"/>
      <c r="FF73" s="412"/>
      <c r="FG73" s="412"/>
      <c r="FH73" s="411" t="s">
        <v>184</v>
      </c>
      <c r="FI73" s="411"/>
      <c r="FJ73" s="411"/>
      <c r="FK73" s="411"/>
      <c r="FL73" s="411"/>
      <c r="FM73" s="411"/>
      <c r="FN73" s="411"/>
      <c r="FO73" s="411"/>
      <c r="FP73" s="411"/>
      <c r="FQ73" s="411"/>
      <c r="FR73" s="411"/>
      <c r="FS73" s="411"/>
      <c r="FT73" s="411"/>
      <c r="FU73" s="412" t="s">
        <v>185</v>
      </c>
      <c r="FV73" s="412"/>
      <c r="FW73" s="412"/>
      <c r="FX73" s="412"/>
      <c r="FY73" s="412"/>
      <c r="FZ73" s="412"/>
      <c r="GA73" s="412"/>
      <c r="GB73" s="412"/>
      <c r="GC73" s="412"/>
      <c r="GD73" s="412"/>
      <c r="GE73" s="412"/>
      <c r="GF73" s="412"/>
      <c r="GG73" s="412"/>
      <c r="GH73" s="412"/>
      <c r="GI73" s="42"/>
    </row>
    <row r="74" spans="1:191" ht="7.95" customHeight="1" x14ac:dyDescent="0.3">
      <c r="A74" s="413">
        <v>1</v>
      </c>
      <c r="B74" s="414"/>
      <c r="C74" s="414"/>
      <c r="D74" s="414"/>
      <c r="E74" s="414"/>
      <c r="F74" s="414"/>
      <c r="G74" s="414"/>
      <c r="H74" s="414"/>
      <c r="I74" s="414"/>
      <c r="J74" s="414"/>
      <c r="K74" s="414"/>
      <c r="L74" s="414"/>
      <c r="M74" s="414"/>
      <c r="N74" s="414"/>
      <c r="O74" s="414"/>
      <c r="P74" s="414"/>
      <c r="Q74" s="414"/>
      <c r="R74" s="414"/>
      <c r="S74" s="414"/>
      <c r="T74" s="414"/>
      <c r="U74" s="414"/>
      <c r="V74" s="414"/>
      <c r="W74" s="414"/>
      <c r="X74" s="414"/>
      <c r="Y74" s="414"/>
      <c r="Z74" s="414"/>
      <c r="AA74" s="414"/>
      <c r="AB74" s="414"/>
      <c r="AC74" s="414"/>
      <c r="AD74" s="414"/>
      <c r="AE74" s="414"/>
      <c r="AF74" s="414"/>
      <c r="AG74" s="414"/>
      <c r="AH74" s="415"/>
      <c r="AI74" s="413">
        <v>2</v>
      </c>
      <c r="AJ74" s="416"/>
      <c r="AK74" s="416"/>
      <c r="AL74" s="416"/>
      <c r="AM74" s="416"/>
      <c r="AN74" s="416"/>
      <c r="AO74" s="416"/>
      <c r="AP74" s="416"/>
      <c r="AQ74" s="416"/>
      <c r="AR74" s="416"/>
      <c r="AS74" s="416"/>
      <c r="AT74" s="416"/>
      <c r="AU74" s="416"/>
      <c r="AV74" s="416"/>
      <c r="AW74" s="416"/>
      <c r="AX74" s="416"/>
      <c r="AY74" s="416"/>
      <c r="AZ74" s="416"/>
      <c r="BA74" s="416"/>
      <c r="BB74" s="416"/>
      <c r="BC74" s="416"/>
      <c r="BD74" s="416"/>
      <c r="BE74" s="416"/>
      <c r="BF74" s="416"/>
      <c r="BG74" s="416"/>
      <c r="BH74" s="416"/>
      <c r="BI74" s="416"/>
      <c r="BJ74" s="416"/>
      <c r="BK74" s="416"/>
      <c r="BL74" s="416"/>
      <c r="BM74" s="416"/>
      <c r="BN74" s="416"/>
      <c r="BO74" s="416"/>
      <c r="BP74" s="416"/>
      <c r="BQ74" s="416"/>
      <c r="BR74" s="416"/>
      <c r="BS74" s="416"/>
      <c r="BT74" s="417"/>
      <c r="BU74" s="413">
        <v>3</v>
      </c>
      <c r="BV74" s="416"/>
      <c r="BW74" s="416"/>
      <c r="BX74" s="416"/>
      <c r="BY74" s="416"/>
      <c r="BZ74" s="416"/>
      <c r="CA74" s="416"/>
      <c r="CB74" s="416"/>
      <c r="CC74" s="416"/>
      <c r="CD74" s="416"/>
      <c r="CE74" s="416"/>
      <c r="CF74" s="416"/>
      <c r="CG74" s="416"/>
      <c r="CH74" s="416"/>
      <c r="CI74" s="416"/>
      <c r="CJ74" s="416"/>
      <c r="CK74" s="416"/>
      <c r="CL74" s="417"/>
      <c r="CM74" s="413">
        <v>4</v>
      </c>
      <c r="CN74" s="416"/>
      <c r="CO74" s="416"/>
      <c r="CP74" s="416"/>
      <c r="CQ74" s="416"/>
      <c r="CR74" s="416"/>
      <c r="CS74" s="416"/>
      <c r="CT74" s="416"/>
      <c r="CU74" s="416"/>
      <c r="CV74" s="416"/>
      <c r="CW74" s="416"/>
      <c r="CX74" s="416"/>
      <c r="CY74" s="416"/>
      <c r="CZ74" s="416"/>
      <c r="DA74" s="416"/>
      <c r="DB74" s="417"/>
      <c r="DC74" s="413">
        <v>5</v>
      </c>
      <c r="DD74" s="416"/>
      <c r="DE74" s="416"/>
      <c r="DF74" s="416"/>
      <c r="DG74" s="416"/>
      <c r="DH74" s="416"/>
      <c r="DI74" s="416"/>
      <c r="DJ74" s="416"/>
      <c r="DK74" s="416"/>
      <c r="DL74" s="416"/>
      <c r="DM74" s="416"/>
      <c r="DN74" s="416"/>
      <c r="DO74" s="416"/>
      <c r="DP74" s="416"/>
      <c r="DQ74" s="416"/>
      <c r="DR74" s="416"/>
      <c r="DS74" s="416"/>
      <c r="DT74" s="416"/>
      <c r="DU74" s="416"/>
      <c r="DV74" s="416"/>
      <c r="DW74" s="416"/>
      <c r="DX74" s="416"/>
      <c r="DY74" s="416"/>
      <c r="DZ74" s="416"/>
      <c r="EA74" s="416"/>
      <c r="EB74" s="416"/>
      <c r="EC74" s="416"/>
      <c r="ED74" s="416"/>
      <c r="EE74" s="416"/>
      <c r="EF74" s="416"/>
      <c r="EG74" s="416"/>
      <c r="EH74" s="416"/>
      <c r="EI74" s="417"/>
      <c r="EJ74" s="447">
        <v>6</v>
      </c>
      <c r="EK74" s="447"/>
      <c r="EL74" s="447"/>
      <c r="EM74" s="447"/>
      <c r="EN74" s="447"/>
      <c r="EO74" s="447"/>
      <c r="EP74" s="447"/>
      <c r="EQ74" s="447"/>
      <c r="ER74" s="447"/>
      <c r="ES74" s="447"/>
      <c r="ET74" s="447"/>
      <c r="EU74" s="447">
        <v>7</v>
      </c>
      <c r="EV74" s="447"/>
      <c r="EW74" s="447"/>
      <c r="EX74" s="447"/>
      <c r="EY74" s="447"/>
      <c r="EZ74" s="447"/>
      <c r="FA74" s="447"/>
      <c r="FB74" s="447"/>
      <c r="FC74" s="447"/>
      <c r="FD74" s="447"/>
      <c r="FE74" s="447"/>
      <c r="FF74" s="447"/>
      <c r="FG74" s="447"/>
      <c r="FH74" s="447">
        <v>8</v>
      </c>
      <c r="FI74" s="447"/>
      <c r="FJ74" s="447"/>
      <c r="FK74" s="447"/>
      <c r="FL74" s="447"/>
      <c r="FM74" s="447"/>
      <c r="FN74" s="447"/>
      <c r="FO74" s="447"/>
      <c r="FP74" s="447"/>
      <c r="FQ74" s="447"/>
      <c r="FR74" s="447"/>
      <c r="FS74" s="447"/>
      <c r="FT74" s="447"/>
      <c r="FU74" s="447">
        <v>9</v>
      </c>
      <c r="FV74" s="447"/>
      <c r="FW74" s="447"/>
      <c r="FX74" s="447"/>
      <c r="FY74" s="447"/>
      <c r="FZ74" s="447"/>
      <c r="GA74" s="447"/>
      <c r="GB74" s="447"/>
      <c r="GC74" s="447"/>
      <c r="GD74" s="447"/>
      <c r="GE74" s="447"/>
      <c r="GF74" s="447"/>
      <c r="GG74" s="447"/>
      <c r="GH74" s="447"/>
      <c r="GI74" s="42"/>
    </row>
    <row r="75" spans="1:191" x14ac:dyDescent="0.3">
      <c r="A75" s="422" t="s">
        <v>186</v>
      </c>
      <c r="B75" s="423"/>
      <c r="C75" s="423"/>
      <c r="D75" s="423"/>
      <c r="E75" s="423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  <c r="AA75" s="423"/>
      <c r="AB75" s="423"/>
      <c r="AC75" s="423"/>
      <c r="AD75" s="423"/>
      <c r="AE75" s="423"/>
      <c r="AF75" s="423"/>
      <c r="AG75" s="423"/>
      <c r="AH75" s="424"/>
      <c r="AI75" s="425"/>
      <c r="AJ75" s="426"/>
      <c r="AK75" s="426"/>
      <c r="AL75" s="426"/>
      <c r="AM75" s="426"/>
      <c r="AN75" s="426"/>
      <c r="AO75" s="426"/>
      <c r="AP75" s="426"/>
      <c r="AQ75" s="426"/>
      <c r="AR75" s="426"/>
      <c r="AS75" s="426"/>
      <c r="AT75" s="426"/>
      <c r="AU75" s="426"/>
      <c r="AV75" s="426"/>
      <c r="AW75" s="426"/>
      <c r="AX75" s="426"/>
      <c r="AY75" s="426"/>
      <c r="AZ75" s="426"/>
      <c r="BA75" s="426"/>
      <c r="BB75" s="426"/>
      <c r="BC75" s="426"/>
      <c r="BD75" s="426"/>
      <c r="BE75" s="426"/>
      <c r="BF75" s="426"/>
      <c r="BG75" s="426"/>
      <c r="BH75" s="426"/>
      <c r="BI75" s="426"/>
      <c r="BJ75" s="426"/>
      <c r="BK75" s="426"/>
      <c r="BL75" s="426"/>
      <c r="BM75" s="426"/>
      <c r="BN75" s="426"/>
      <c r="BO75" s="426"/>
      <c r="BP75" s="426"/>
      <c r="BQ75" s="426"/>
      <c r="BR75" s="426"/>
      <c r="BS75" s="426"/>
      <c r="BT75" s="427"/>
      <c r="BU75" s="425"/>
      <c r="BV75" s="426"/>
      <c r="BW75" s="426"/>
      <c r="BX75" s="426"/>
      <c r="BY75" s="426"/>
      <c r="BZ75" s="426"/>
      <c r="CA75" s="426"/>
      <c r="CB75" s="426"/>
      <c r="CC75" s="426"/>
      <c r="CD75" s="426"/>
      <c r="CE75" s="426"/>
      <c r="CF75" s="426"/>
      <c r="CG75" s="426"/>
      <c r="CH75" s="426"/>
      <c r="CI75" s="426"/>
      <c r="CJ75" s="426"/>
      <c r="CK75" s="426"/>
      <c r="CL75" s="426"/>
      <c r="CM75" s="428"/>
      <c r="CN75" s="429"/>
      <c r="CO75" s="429"/>
      <c r="CP75" s="429"/>
      <c r="CQ75" s="429"/>
      <c r="CR75" s="429"/>
      <c r="CS75" s="429"/>
      <c r="CT75" s="429"/>
      <c r="CU75" s="429"/>
      <c r="CV75" s="429"/>
      <c r="CW75" s="429"/>
      <c r="CX75" s="429"/>
      <c r="CY75" s="429"/>
      <c r="CZ75" s="429"/>
      <c r="DA75" s="429"/>
      <c r="DB75" s="430"/>
      <c r="DC75" s="431"/>
      <c r="DD75" s="431"/>
      <c r="DE75" s="431"/>
      <c r="DF75" s="431"/>
      <c r="DG75" s="431"/>
      <c r="DH75" s="431"/>
      <c r="DI75" s="431"/>
      <c r="DJ75" s="431"/>
      <c r="DK75" s="431"/>
      <c r="DL75" s="431"/>
      <c r="DM75" s="431"/>
      <c r="DN75" s="431"/>
      <c r="DO75" s="431"/>
      <c r="DP75" s="431"/>
      <c r="DQ75" s="431"/>
      <c r="DR75" s="431"/>
      <c r="DS75" s="431"/>
      <c r="DT75" s="431"/>
      <c r="DU75" s="431"/>
      <c r="DV75" s="431"/>
      <c r="DW75" s="431"/>
      <c r="DX75" s="431"/>
      <c r="DY75" s="431"/>
      <c r="DZ75" s="431"/>
      <c r="EA75" s="431"/>
      <c r="EB75" s="431"/>
      <c r="EC75" s="431"/>
      <c r="ED75" s="431"/>
      <c r="EE75" s="431"/>
      <c r="EF75" s="431"/>
      <c r="EG75" s="431"/>
      <c r="EH75" s="431"/>
      <c r="EI75" s="431"/>
      <c r="EJ75" s="425"/>
      <c r="EK75" s="432"/>
      <c r="EL75" s="432"/>
      <c r="EM75" s="432"/>
      <c r="EN75" s="432"/>
      <c r="EO75" s="432"/>
      <c r="EP75" s="432"/>
      <c r="EQ75" s="432"/>
      <c r="ER75" s="432"/>
      <c r="ES75" s="432"/>
      <c r="ET75" s="433"/>
      <c r="EU75" s="432"/>
      <c r="EV75" s="432"/>
      <c r="EW75" s="432"/>
      <c r="EX75" s="432"/>
      <c r="EY75" s="432"/>
      <c r="EZ75" s="432"/>
      <c r="FA75" s="432"/>
      <c r="FB75" s="432"/>
      <c r="FC75" s="432"/>
      <c r="FD75" s="432"/>
      <c r="FE75" s="432"/>
      <c r="FF75" s="432"/>
      <c r="FG75" s="432"/>
      <c r="FH75" s="425"/>
      <c r="FI75" s="432"/>
      <c r="FJ75" s="432"/>
      <c r="FK75" s="432"/>
      <c r="FL75" s="432"/>
      <c r="FM75" s="432"/>
      <c r="FN75" s="432"/>
      <c r="FO75" s="432"/>
      <c r="FP75" s="432"/>
      <c r="FQ75" s="432"/>
      <c r="FR75" s="432"/>
      <c r="FS75" s="432"/>
      <c r="FT75" s="433"/>
      <c r="FU75" s="434"/>
      <c r="FV75" s="434"/>
      <c r="FW75" s="434"/>
      <c r="FX75" s="434"/>
      <c r="FY75" s="434"/>
      <c r="FZ75" s="434"/>
      <c r="GA75" s="434"/>
      <c r="GB75" s="434"/>
      <c r="GC75" s="434"/>
      <c r="GD75" s="434"/>
      <c r="GE75" s="434"/>
      <c r="GF75" s="434"/>
      <c r="GG75" s="434"/>
      <c r="GH75" s="435"/>
      <c r="GI75" s="42"/>
    </row>
    <row r="76" spans="1:191" ht="8.4" customHeight="1" x14ac:dyDescent="0.3">
      <c r="A76" s="96" t="s">
        <v>187</v>
      </c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261" t="s">
        <v>188</v>
      </c>
      <c r="AT76" s="261"/>
      <c r="AU76" s="261"/>
      <c r="AV76" s="261"/>
      <c r="AW76" s="261"/>
      <c r="AX76" s="261"/>
      <c r="AY76" s="96"/>
      <c r="AZ76" s="96"/>
      <c r="BA76" s="96"/>
      <c r="BB76" s="96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98"/>
      <c r="BO76" s="78"/>
      <c r="BP76" s="96" t="s">
        <v>187</v>
      </c>
      <c r="BQ76" s="96"/>
      <c r="BR76" s="96"/>
      <c r="BS76" s="96"/>
      <c r="BT76" s="96"/>
      <c r="BU76" s="96"/>
      <c r="BV76" s="96"/>
      <c r="BW76" s="96"/>
      <c r="BX76" s="96"/>
      <c r="BY76" s="96"/>
      <c r="BZ76" s="96"/>
      <c r="CA76" s="96"/>
      <c r="CB76" s="96"/>
      <c r="CC76" s="96"/>
      <c r="CD76" s="96"/>
      <c r="CE76" s="96"/>
      <c r="CF76" s="96"/>
      <c r="CG76" s="96"/>
      <c r="CH76" s="96"/>
      <c r="CI76" s="96"/>
      <c r="CJ76" s="96"/>
      <c r="CK76" s="96"/>
      <c r="CL76" s="96"/>
      <c r="CM76" s="96"/>
      <c r="CN76" s="96"/>
      <c r="CO76" s="96"/>
      <c r="CP76" s="96"/>
      <c r="CQ76" s="96"/>
      <c r="CR76" s="96"/>
      <c r="CS76" s="78"/>
      <c r="CT76" s="78"/>
      <c r="CU76" s="78"/>
      <c r="CV76" s="78"/>
      <c r="CW76" s="78"/>
      <c r="CX76" s="78"/>
      <c r="CY76" s="78"/>
      <c r="CZ76" s="78"/>
      <c r="DA76" s="78"/>
      <c r="DB76" s="261" t="s">
        <v>188</v>
      </c>
      <c r="DC76" s="261"/>
      <c r="DD76" s="261"/>
      <c r="DE76" s="261"/>
      <c r="DF76" s="261"/>
      <c r="DG76" s="261"/>
      <c r="DH76" s="261"/>
      <c r="DI76" s="261"/>
      <c r="DJ76" s="261"/>
      <c r="DK76" s="78"/>
      <c r="DL76" s="78"/>
      <c r="DM76" s="78"/>
      <c r="DN76" s="78"/>
      <c r="DO76" s="78"/>
      <c r="DP76" s="78"/>
      <c r="DQ76" s="78"/>
      <c r="DR76" s="78"/>
      <c r="DS76" s="78"/>
      <c r="DT76" s="78"/>
      <c r="DU76" s="96"/>
      <c r="DV76" s="96" t="s">
        <v>72</v>
      </c>
      <c r="DW76" s="78"/>
      <c r="DX76" s="96"/>
      <c r="DY76" s="96"/>
      <c r="DZ76" s="96"/>
      <c r="EA76" s="96"/>
      <c r="EB76" s="96"/>
      <c r="EC76" s="96"/>
      <c r="ED76" s="96"/>
      <c r="EE76" s="96"/>
      <c r="EF76" s="96"/>
      <c r="EG76" s="96"/>
      <c r="EH76" s="96"/>
      <c r="EI76" s="96"/>
      <c r="EJ76" s="436"/>
      <c r="EK76" s="314"/>
      <c r="EL76" s="314"/>
      <c r="EM76" s="314"/>
      <c r="EN76" s="314"/>
      <c r="EO76" s="314"/>
      <c r="EP76" s="314"/>
      <c r="EQ76" s="314"/>
      <c r="ER76" s="314"/>
      <c r="ES76" s="314"/>
      <c r="ET76" s="437"/>
      <c r="EU76" s="314" t="s">
        <v>189</v>
      </c>
      <c r="EV76" s="314"/>
      <c r="EW76" s="314"/>
      <c r="EX76" s="314"/>
      <c r="EY76" s="314"/>
      <c r="EZ76" s="314"/>
      <c r="FA76" s="314"/>
      <c r="FB76" s="314"/>
      <c r="FC76" s="314"/>
      <c r="FD76" s="314"/>
      <c r="FE76" s="314"/>
      <c r="FF76" s="314"/>
      <c r="FG76" s="314"/>
      <c r="FH76" s="314"/>
      <c r="FI76" s="314"/>
      <c r="FJ76" s="314"/>
      <c r="FK76" s="314"/>
      <c r="FL76" s="314"/>
      <c r="FM76" s="314"/>
      <c r="FN76" s="314"/>
      <c r="FO76" s="314"/>
      <c r="FP76" s="314"/>
      <c r="FQ76" s="314"/>
      <c r="FR76" s="314"/>
      <c r="FS76" s="314"/>
      <c r="FT76" s="314"/>
      <c r="FU76" s="441"/>
      <c r="FV76" s="442"/>
      <c r="FW76" s="442"/>
      <c r="FX76" s="442"/>
      <c r="FY76" s="442"/>
      <c r="FZ76" s="442"/>
      <c r="GA76" s="442"/>
      <c r="GB76" s="442"/>
      <c r="GC76" s="442"/>
      <c r="GD76" s="442"/>
      <c r="GE76" s="442"/>
      <c r="GF76" s="442"/>
      <c r="GG76" s="442"/>
      <c r="GH76" s="443"/>
      <c r="GI76" s="42"/>
    </row>
    <row r="77" spans="1:191" ht="8.4" customHeight="1" thickBot="1" x14ac:dyDescent="0.35">
      <c r="A77" s="78" t="s">
        <v>190</v>
      </c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450"/>
      <c r="AB77" s="450"/>
      <c r="AC77" s="450"/>
      <c r="AD77" s="450"/>
      <c r="AE77" s="450"/>
      <c r="AF77" s="450"/>
      <c r="AG77" s="450"/>
      <c r="AH77" s="450"/>
      <c r="AI77" s="450"/>
      <c r="AJ77" s="450"/>
      <c r="AK77" s="450"/>
      <c r="AL77" s="450"/>
      <c r="AM77" s="450"/>
      <c r="AN77" s="450"/>
      <c r="AO77" s="450"/>
      <c r="AP77" s="450"/>
      <c r="AQ77" s="450"/>
      <c r="AR77" s="450"/>
      <c r="AS77" s="380" t="s">
        <v>191</v>
      </c>
      <c r="AT77" s="380"/>
      <c r="AU77" s="380"/>
      <c r="AV77" s="380"/>
      <c r="AW77" s="380"/>
      <c r="AX77" s="380"/>
      <c r="AY77" s="449"/>
      <c r="AZ77" s="449"/>
      <c r="BA77" s="449"/>
      <c r="BB77" s="449"/>
      <c r="BC77" s="449"/>
      <c r="BD77" s="449"/>
      <c r="BE77" s="449"/>
      <c r="BF77" s="449"/>
      <c r="BG77" s="449"/>
      <c r="BH77" s="449"/>
      <c r="BI77" s="449"/>
      <c r="BJ77" s="449"/>
      <c r="BK77" s="449"/>
      <c r="BL77" s="449"/>
      <c r="BM77" s="449"/>
      <c r="BN77" s="99"/>
      <c r="BO77" s="78"/>
      <c r="BP77" s="78" t="s">
        <v>190</v>
      </c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451"/>
      <c r="CT77" s="451"/>
      <c r="CU77" s="451"/>
      <c r="CV77" s="451"/>
      <c r="CW77" s="451"/>
      <c r="CX77" s="451"/>
      <c r="CY77" s="451"/>
      <c r="CZ77" s="451"/>
      <c r="DA77" s="451"/>
      <c r="DB77" s="380" t="s">
        <v>191</v>
      </c>
      <c r="DC77" s="380"/>
      <c r="DD77" s="380"/>
      <c r="DE77" s="380"/>
      <c r="DF77" s="380"/>
      <c r="DG77" s="380"/>
      <c r="DH77" s="380"/>
      <c r="DI77" s="380"/>
      <c r="DJ77" s="380"/>
      <c r="DK77" s="300"/>
      <c r="DL77" s="300"/>
      <c r="DM77" s="300"/>
      <c r="DN77" s="300"/>
      <c r="DO77" s="300"/>
      <c r="DP77" s="300"/>
      <c r="DQ77" s="300"/>
      <c r="DR77" s="300"/>
      <c r="DS77" s="300"/>
      <c r="DT77" s="300"/>
      <c r="DU77" s="78"/>
      <c r="DV77" s="78" t="s">
        <v>192</v>
      </c>
      <c r="DW77" s="78"/>
      <c r="DX77" s="78"/>
      <c r="DY77" s="78"/>
      <c r="DZ77" s="78"/>
      <c r="EA77" s="78"/>
      <c r="EB77" s="78"/>
      <c r="EC77" s="78"/>
      <c r="ED77" s="78"/>
      <c r="EE77" s="78"/>
      <c r="EF77" s="78"/>
      <c r="EG77" s="78"/>
      <c r="EH77" s="78"/>
      <c r="EI77" s="78"/>
      <c r="EJ77" s="438"/>
      <c r="EK77" s="439"/>
      <c r="EL77" s="439"/>
      <c r="EM77" s="439"/>
      <c r="EN77" s="439"/>
      <c r="EO77" s="439"/>
      <c r="EP77" s="439"/>
      <c r="EQ77" s="439"/>
      <c r="ER77" s="439"/>
      <c r="ES77" s="439"/>
      <c r="ET77" s="440"/>
      <c r="EU77" s="78"/>
      <c r="EV77" s="78"/>
      <c r="EW77" s="78"/>
      <c r="EX77" s="78"/>
      <c r="EY77" s="78"/>
      <c r="EZ77" s="78"/>
      <c r="FA77" s="78"/>
      <c r="FB77" s="78"/>
      <c r="FC77" s="78"/>
      <c r="FD77" s="78"/>
      <c r="FE77" s="78"/>
      <c r="FF77" s="78"/>
      <c r="FG77" s="78"/>
      <c r="FH77" s="78"/>
      <c r="FI77" s="78"/>
      <c r="FJ77" s="78"/>
      <c r="FK77" s="78"/>
      <c r="FL77" s="78"/>
      <c r="FM77" s="78"/>
      <c r="FN77" s="78"/>
      <c r="FO77" s="78"/>
      <c r="FP77" s="78"/>
      <c r="FQ77" s="78"/>
      <c r="FR77" s="78"/>
      <c r="FS77" s="78"/>
      <c r="FT77" s="78"/>
      <c r="FU77" s="444"/>
      <c r="FV77" s="445"/>
      <c r="FW77" s="445"/>
      <c r="FX77" s="445"/>
      <c r="FY77" s="445"/>
      <c r="FZ77" s="445"/>
      <c r="GA77" s="445"/>
      <c r="GB77" s="445"/>
      <c r="GC77" s="445"/>
      <c r="GD77" s="445"/>
      <c r="GE77" s="445"/>
      <c r="GF77" s="445"/>
      <c r="GG77" s="445"/>
      <c r="GH77" s="446"/>
      <c r="GI77" s="42"/>
    </row>
    <row r="78" spans="1:191" ht="7.2" customHeight="1" x14ac:dyDescent="0.3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448" t="s">
        <v>193</v>
      </c>
      <c r="AB78" s="448"/>
      <c r="AC78" s="448"/>
      <c r="AD78" s="448"/>
      <c r="AE78" s="448"/>
      <c r="AF78" s="448"/>
      <c r="AG78" s="448"/>
      <c r="AH78" s="448"/>
      <c r="AI78" s="448"/>
      <c r="AJ78" s="448"/>
      <c r="AK78" s="448"/>
      <c r="AL78" s="448"/>
      <c r="AM78" s="448"/>
      <c r="AN78" s="448"/>
      <c r="AO78" s="448"/>
      <c r="AP78" s="448"/>
      <c r="AQ78" s="448"/>
      <c r="AR78" s="448"/>
      <c r="AS78" s="85"/>
      <c r="AT78" s="85"/>
      <c r="AU78" s="100"/>
      <c r="AV78" s="100"/>
      <c r="AW78" s="100"/>
      <c r="AX78" s="100"/>
      <c r="AY78" s="448" t="s">
        <v>99</v>
      </c>
      <c r="AZ78" s="448"/>
      <c r="BA78" s="448"/>
      <c r="BB78" s="448"/>
      <c r="BC78" s="448"/>
      <c r="BD78" s="448"/>
      <c r="BE78" s="448"/>
      <c r="BF78" s="448"/>
      <c r="BG78" s="448"/>
      <c r="BH78" s="448"/>
      <c r="BI78" s="448"/>
      <c r="BJ78" s="448"/>
      <c r="BK78" s="448"/>
      <c r="BL78" s="448"/>
      <c r="BM78" s="448"/>
      <c r="BN78" s="101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448" t="s">
        <v>193</v>
      </c>
      <c r="CT78" s="448"/>
      <c r="CU78" s="448"/>
      <c r="CV78" s="448"/>
      <c r="CW78" s="448"/>
      <c r="CX78" s="448"/>
      <c r="CY78" s="448"/>
      <c r="CZ78" s="448"/>
      <c r="DA78" s="448"/>
      <c r="DB78" s="85"/>
      <c r="DC78" s="100"/>
      <c r="DD78" s="100"/>
      <c r="DE78" s="100"/>
      <c r="DF78" s="100"/>
      <c r="DG78" s="100"/>
      <c r="DH78" s="100"/>
      <c r="DI78" s="100"/>
      <c r="DJ78" s="85"/>
      <c r="DK78" s="448" t="s">
        <v>99</v>
      </c>
      <c r="DL78" s="448"/>
      <c r="DM78" s="448"/>
      <c r="DN78" s="448"/>
      <c r="DO78" s="448"/>
      <c r="DP78" s="448"/>
      <c r="DQ78" s="448"/>
      <c r="DR78" s="448"/>
      <c r="DS78" s="448"/>
      <c r="DT78" s="448"/>
      <c r="DU78" s="85"/>
      <c r="DV78" s="85"/>
      <c r="DW78" s="85"/>
      <c r="DX78" s="85"/>
      <c r="DY78" s="85"/>
      <c r="DZ78" s="85"/>
      <c r="EA78" s="85"/>
      <c r="EB78" s="85"/>
      <c r="EC78" s="85"/>
      <c r="ED78" s="85"/>
      <c r="EE78" s="85"/>
      <c r="EF78" s="85"/>
      <c r="EG78" s="85"/>
      <c r="EH78" s="85"/>
      <c r="EI78" s="85"/>
      <c r="EJ78" s="85"/>
      <c r="EK78" s="85"/>
      <c r="EL78" s="85"/>
      <c r="EM78" s="85"/>
      <c r="EN78" s="85"/>
      <c r="EO78" s="85"/>
      <c r="EP78" s="85"/>
      <c r="EQ78" s="85"/>
      <c r="ER78" s="85"/>
      <c r="ES78" s="85"/>
      <c r="ET78" s="85"/>
      <c r="EU78" s="85"/>
      <c r="EV78" s="85"/>
      <c r="EW78" s="85"/>
      <c r="EX78" s="85"/>
      <c r="EY78" s="85"/>
      <c r="EZ78" s="85"/>
      <c r="FA78" s="85"/>
      <c r="FB78" s="85"/>
      <c r="FC78" s="85"/>
      <c r="FD78" s="85"/>
      <c r="FE78" s="85"/>
      <c r="FF78" s="85"/>
      <c r="FG78" s="85"/>
      <c r="FH78" s="85"/>
      <c r="FI78" s="85"/>
      <c r="FJ78" s="85"/>
      <c r="FK78" s="85"/>
      <c r="FL78" s="85"/>
      <c r="FM78" s="85"/>
      <c r="FN78" s="85"/>
      <c r="FO78" s="85"/>
      <c r="FP78" s="85"/>
      <c r="FQ78" s="85"/>
      <c r="FR78" s="85"/>
      <c r="FS78" s="85"/>
      <c r="FT78" s="85"/>
      <c r="FU78" s="85"/>
      <c r="FV78" s="85"/>
      <c r="FW78" s="85"/>
      <c r="FX78" s="85"/>
      <c r="FY78" s="85"/>
      <c r="FZ78" s="85"/>
      <c r="GA78" s="85"/>
      <c r="GB78" s="85"/>
      <c r="GC78" s="85"/>
      <c r="GD78" s="85"/>
      <c r="GE78" s="85"/>
      <c r="GF78" s="85"/>
      <c r="GG78" s="85"/>
      <c r="GH78" s="85"/>
      <c r="GI78" s="42"/>
    </row>
    <row r="79" spans="1:191" ht="9.6" customHeight="1" x14ac:dyDescent="0.3">
      <c r="A79" s="78" t="s">
        <v>194</v>
      </c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449"/>
      <c r="R79" s="449"/>
      <c r="S79" s="449"/>
      <c r="T79" s="449"/>
      <c r="U79" s="449"/>
      <c r="V79" s="449"/>
      <c r="W79" s="449"/>
      <c r="X79" s="449"/>
      <c r="Y79" s="449"/>
      <c r="Z79" s="449"/>
      <c r="AA79" s="449"/>
      <c r="AB79" s="449"/>
      <c r="AC79" s="449"/>
      <c r="AD79" s="449"/>
      <c r="AE79" s="449"/>
      <c r="AF79" s="449"/>
      <c r="AG79" s="449"/>
      <c r="AH79" s="449"/>
      <c r="AI79" s="449"/>
      <c r="AJ79" s="449"/>
      <c r="AK79" s="449"/>
      <c r="AL79" s="449"/>
      <c r="AM79" s="449"/>
      <c r="AN79" s="449"/>
      <c r="AO79" s="449"/>
      <c r="AP79" s="449"/>
      <c r="AQ79" s="449"/>
      <c r="AR79" s="449"/>
      <c r="AS79" s="449"/>
      <c r="AT79" s="78"/>
      <c r="AU79" s="78" t="s">
        <v>195</v>
      </c>
      <c r="AV79" s="78"/>
      <c r="AW79" s="78"/>
      <c r="AX79" s="78"/>
      <c r="AY79" s="78"/>
      <c r="AZ79" s="78"/>
      <c r="BA79" s="78"/>
      <c r="BB79" s="78" t="s">
        <v>196</v>
      </c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98"/>
      <c r="BO79" s="78"/>
      <c r="BP79" s="78" t="s">
        <v>194</v>
      </c>
      <c r="BQ79" s="78"/>
      <c r="BR79" s="78"/>
      <c r="BS79" s="78"/>
      <c r="BT79" s="78"/>
      <c r="BU79" s="78"/>
      <c r="BV79" s="78"/>
      <c r="BW79" s="78"/>
      <c r="BX79" s="78"/>
      <c r="BY79" s="78"/>
      <c r="BZ79" s="78"/>
      <c r="CA79" s="78"/>
      <c r="CB79" s="78"/>
      <c r="CC79" s="78"/>
      <c r="CD79" s="78"/>
      <c r="CE79" s="78"/>
      <c r="CF79" s="362"/>
      <c r="CG79" s="362"/>
      <c r="CH79" s="362"/>
      <c r="CI79" s="362"/>
      <c r="CJ79" s="362"/>
      <c r="CK79" s="362"/>
      <c r="CL79" s="362"/>
      <c r="CM79" s="362"/>
      <c r="CN79" s="362"/>
      <c r="CO79" s="362"/>
      <c r="CP79" s="362"/>
      <c r="CQ79" s="362"/>
      <c r="CR79" s="362"/>
      <c r="CS79" s="362"/>
      <c r="CT79" s="362"/>
      <c r="CU79" s="362"/>
      <c r="CV79" s="362"/>
      <c r="CW79" s="362"/>
      <c r="CX79" s="362"/>
      <c r="CY79" s="362"/>
      <c r="CZ79" s="362"/>
      <c r="DA79" s="362"/>
      <c r="DB79" s="362"/>
      <c r="DC79" s="91" t="s">
        <v>195</v>
      </c>
      <c r="DD79" s="78"/>
      <c r="DE79" s="78"/>
      <c r="DF79" s="78"/>
      <c r="DG79" s="78"/>
      <c r="DH79" s="78"/>
      <c r="DI79" s="78"/>
      <c r="DJ79" s="78"/>
      <c r="DK79" s="78"/>
      <c r="DL79" s="78"/>
      <c r="DM79" s="78"/>
      <c r="DN79" s="78"/>
      <c r="DO79" s="78"/>
      <c r="DP79" s="78"/>
      <c r="DQ79" s="78"/>
      <c r="DR79" s="78"/>
      <c r="DS79" s="78"/>
      <c r="DT79" s="78"/>
      <c r="DU79" s="78"/>
      <c r="DV79" s="78"/>
      <c r="DW79" s="78"/>
      <c r="DX79" s="78"/>
      <c r="DY79" s="78"/>
      <c r="DZ79" s="78"/>
      <c r="EA79" s="78"/>
      <c r="EB79" s="102" t="s">
        <v>197</v>
      </c>
      <c r="EC79" s="78"/>
      <c r="ED79" s="78"/>
      <c r="EE79" s="78"/>
      <c r="EF79" s="78"/>
      <c r="EG79" s="78"/>
      <c r="EH79" s="78"/>
      <c r="EI79" s="78"/>
      <c r="EJ79" s="78"/>
      <c r="EK79" s="78"/>
      <c r="EL79" s="78"/>
      <c r="EM79" s="78"/>
      <c r="EN79" s="78"/>
      <c r="EO79" s="78"/>
      <c r="EP79" s="78"/>
      <c r="EQ79" s="78"/>
      <c r="ER79" s="78"/>
      <c r="ES79" s="78"/>
      <c r="ET79" s="78"/>
      <c r="EU79" s="78"/>
      <c r="EV79" s="78"/>
      <c r="EW79" s="78"/>
      <c r="EX79" s="78"/>
      <c r="EY79" s="78"/>
      <c r="EZ79" s="78"/>
      <c r="FA79" s="78"/>
      <c r="FB79" s="78"/>
      <c r="FC79" s="78"/>
      <c r="FD79" s="78"/>
      <c r="FE79" s="452"/>
      <c r="FF79" s="452"/>
      <c r="FG79" s="452"/>
      <c r="FH79" s="452"/>
      <c r="FI79" s="452"/>
      <c r="FJ79" s="452"/>
      <c r="FK79" s="452"/>
      <c r="FL79" s="452"/>
      <c r="FM79" s="452"/>
      <c r="FN79" s="452"/>
      <c r="FO79" s="452"/>
      <c r="FP79" s="452"/>
      <c r="FQ79" s="452"/>
      <c r="FR79" s="452"/>
      <c r="FS79" s="452"/>
      <c r="FT79" s="452"/>
      <c r="FU79" s="452"/>
      <c r="FV79" s="452"/>
      <c r="FW79" s="452"/>
      <c r="FX79" s="452"/>
      <c r="FY79" s="452"/>
      <c r="FZ79" s="452"/>
      <c r="GA79" s="452"/>
      <c r="GB79" s="452"/>
      <c r="GC79" s="452"/>
      <c r="GD79" s="452"/>
      <c r="GE79" s="452"/>
      <c r="GF79" s="452"/>
      <c r="GG79" s="452"/>
      <c r="GH79" s="452"/>
      <c r="GI79" s="42"/>
    </row>
    <row r="80" spans="1:191" s="33" customFormat="1" ht="6.6" customHeight="1" x14ac:dyDescent="0.3">
      <c r="A80" s="367" t="s">
        <v>198</v>
      </c>
      <c r="B80" s="367"/>
      <c r="C80" s="367"/>
      <c r="D80" s="367"/>
      <c r="E80" s="367"/>
      <c r="F80" s="367"/>
      <c r="G80" s="367"/>
      <c r="H80" s="103"/>
      <c r="I80" s="103"/>
      <c r="J80" s="103"/>
      <c r="K80" s="103"/>
      <c r="L80" s="103"/>
      <c r="M80" s="103"/>
      <c r="N80" s="103"/>
      <c r="O80" s="103"/>
      <c r="P80" s="103"/>
      <c r="Q80" s="404" t="s">
        <v>99</v>
      </c>
      <c r="R80" s="404"/>
      <c r="S80" s="404"/>
      <c r="T80" s="404"/>
      <c r="U80" s="404"/>
      <c r="V80" s="404"/>
      <c r="W80" s="404"/>
      <c r="X80" s="404"/>
      <c r="Y80" s="404"/>
      <c r="Z80" s="404"/>
      <c r="AA80" s="404"/>
      <c r="AB80" s="404"/>
      <c r="AC80" s="404"/>
      <c r="AD80" s="404"/>
      <c r="AE80" s="404"/>
      <c r="AF80" s="404"/>
      <c r="AG80" s="404"/>
      <c r="AH80" s="404"/>
      <c r="AI80" s="404"/>
      <c r="AJ80" s="404"/>
      <c r="AK80" s="404"/>
      <c r="AL80" s="404"/>
      <c r="AM80" s="404"/>
      <c r="AN80" s="404"/>
      <c r="AO80" s="404"/>
      <c r="AP80" s="404"/>
      <c r="AQ80" s="404"/>
      <c r="AR80" s="404"/>
      <c r="AS80" s="404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  <c r="BM80" s="103"/>
      <c r="BN80" s="104"/>
      <c r="BO80" s="103"/>
      <c r="BP80" s="103"/>
      <c r="BQ80" s="103"/>
      <c r="BR80" s="103"/>
      <c r="BS80" s="103"/>
      <c r="BT80" s="103"/>
      <c r="BU80" s="103"/>
      <c r="BV80" s="103"/>
      <c r="BW80" s="103"/>
      <c r="BX80" s="103"/>
      <c r="BY80" s="103"/>
      <c r="BZ80" s="103"/>
      <c r="CA80" s="103"/>
      <c r="CB80" s="103"/>
      <c r="CC80" s="103"/>
      <c r="CD80" s="103"/>
      <c r="CE80" s="103"/>
      <c r="CF80" s="404" t="s">
        <v>99</v>
      </c>
      <c r="CG80" s="404"/>
      <c r="CH80" s="404"/>
      <c r="CI80" s="404"/>
      <c r="CJ80" s="404"/>
      <c r="CK80" s="404"/>
      <c r="CL80" s="404"/>
      <c r="CM80" s="404"/>
      <c r="CN80" s="404"/>
      <c r="CO80" s="404"/>
      <c r="CP80" s="404"/>
      <c r="CQ80" s="404"/>
      <c r="CR80" s="404"/>
      <c r="CS80" s="404"/>
      <c r="CT80" s="404"/>
      <c r="CU80" s="404"/>
      <c r="CV80" s="404"/>
      <c r="CW80" s="404"/>
      <c r="CX80" s="404"/>
      <c r="CY80" s="404"/>
      <c r="CZ80" s="404"/>
      <c r="DA80" s="404"/>
      <c r="DB80" s="404"/>
      <c r="DC80" s="103"/>
      <c r="DD80" s="103"/>
      <c r="DE80" s="103"/>
      <c r="DF80" s="103"/>
      <c r="DG80" s="103"/>
      <c r="DH80" s="103"/>
      <c r="DI80" s="103"/>
      <c r="DJ80" s="103"/>
      <c r="DK80" s="103"/>
      <c r="DL80" s="103"/>
      <c r="DM80" s="103"/>
      <c r="DN80" s="103"/>
      <c r="DO80" s="103"/>
      <c r="DP80" s="103"/>
      <c r="DQ80" s="103"/>
      <c r="DR80" s="103"/>
      <c r="DS80" s="103"/>
      <c r="DT80" s="103"/>
      <c r="DU80" s="103"/>
      <c r="DV80" s="103"/>
      <c r="DW80" s="103"/>
      <c r="DX80" s="103"/>
      <c r="DY80" s="103"/>
      <c r="DZ80" s="103"/>
      <c r="EA80" s="103"/>
      <c r="EB80" s="105"/>
      <c r="EC80" s="103"/>
      <c r="ED80" s="103"/>
      <c r="EE80" s="103"/>
      <c r="EF80" s="103"/>
      <c r="EG80" s="103"/>
      <c r="EH80" s="103"/>
      <c r="EI80" s="103"/>
      <c r="EJ80" s="103"/>
      <c r="EK80" s="103"/>
      <c r="EL80" s="103"/>
      <c r="EM80" s="103"/>
      <c r="EN80" s="103"/>
      <c r="EO80" s="103"/>
      <c r="EP80" s="103"/>
      <c r="EQ80" s="103"/>
      <c r="ER80" s="103"/>
      <c r="ES80" s="103"/>
      <c r="ET80" s="103"/>
      <c r="EU80" s="103"/>
      <c r="EV80" s="103"/>
      <c r="EW80" s="103"/>
      <c r="EX80" s="103"/>
      <c r="EY80" s="103"/>
      <c r="EZ80" s="103"/>
      <c r="FA80" s="103"/>
      <c r="FB80" s="103"/>
      <c r="FC80" s="103"/>
      <c r="FD80" s="103"/>
      <c r="FE80" s="103"/>
      <c r="FF80" s="103"/>
      <c r="FG80" s="103"/>
      <c r="FH80" s="103"/>
      <c r="FI80" s="103"/>
      <c r="FJ80" s="103"/>
      <c r="FK80" s="103"/>
      <c r="FL80" s="103"/>
      <c r="FM80" s="103"/>
      <c r="FN80" s="103"/>
      <c r="FO80" s="103"/>
      <c r="FP80" s="103"/>
      <c r="FQ80" s="103"/>
      <c r="FR80" s="103"/>
      <c r="FS80" s="103"/>
      <c r="FT80" s="103"/>
      <c r="FU80" s="103"/>
      <c r="FV80" s="103"/>
      <c r="FW80" s="103"/>
      <c r="FX80" s="103"/>
      <c r="FY80" s="103"/>
      <c r="FZ80" s="103"/>
      <c r="GA80" s="103"/>
      <c r="GB80" s="103"/>
      <c r="GC80" s="103"/>
      <c r="GD80" s="103"/>
      <c r="GE80" s="103"/>
      <c r="GF80" s="103"/>
      <c r="GG80" s="103"/>
      <c r="GH80" s="103"/>
      <c r="GI80" s="75"/>
    </row>
    <row r="81" spans="1:191" ht="10.199999999999999" customHeight="1" x14ac:dyDescent="0.3">
      <c r="A81" s="367"/>
      <c r="B81" s="367"/>
      <c r="C81" s="367"/>
      <c r="D81" s="367"/>
      <c r="E81" s="367"/>
      <c r="F81" s="367"/>
      <c r="G81" s="367"/>
      <c r="H81" s="256" t="str">
        <f>AB48</f>
        <v>Кладовщик</v>
      </c>
      <c r="I81" s="256"/>
      <c r="J81" s="256"/>
      <c r="K81" s="256"/>
      <c r="L81" s="256"/>
      <c r="M81" s="256"/>
      <c r="N81" s="256"/>
      <c r="O81" s="256"/>
      <c r="P81" s="256"/>
      <c r="Q81" s="256"/>
      <c r="R81" s="256"/>
      <c r="S81" s="256"/>
      <c r="T81" s="78"/>
      <c r="U81" s="350"/>
      <c r="V81" s="350"/>
      <c r="W81" s="350"/>
      <c r="X81" s="350"/>
      <c r="Y81" s="350"/>
      <c r="Z81" s="350"/>
      <c r="AA81" s="350"/>
      <c r="AB81" s="350"/>
      <c r="AC81" s="350"/>
      <c r="AD81" s="350"/>
      <c r="AE81" s="350"/>
      <c r="AF81" s="78"/>
      <c r="AG81" s="78"/>
      <c r="AH81" s="402" t="str">
        <f>BR48</f>
        <v>Петров С.Н.</v>
      </c>
      <c r="AI81" s="402"/>
      <c r="AJ81" s="402"/>
      <c r="AK81" s="402"/>
      <c r="AL81" s="402"/>
      <c r="AM81" s="402"/>
      <c r="AN81" s="402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98"/>
      <c r="BO81" s="78"/>
      <c r="BP81" s="367" t="s">
        <v>199</v>
      </c>
      <c r="BQ81" s="367"/>
      <c r="BR81" s="367"/>
      <c r="BS81" s="367"/>
      <c r="BT81" s="367"/>
      <c r="BU81" s="367"/>
      <c r="BV81" s="367"/>
      <c r="BW81" s="367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453"/>
      <c r="CQ81" s="453"/>
      <c r="CR81" s="453"/>
      <c r="CS81" s="453"/>
      <c r="CT81" s="453"/>
      <c r="CU81" s="453"/>
      <c r="CV81" s="453"/>
      <c r="CW81" s="453"/>
      <c r="CX81" s="453"/>
      <c r="CY81" s="453"/>
      <c r="CZ81" s="453"/>
      <c r="DA81" s="78"/>
      <c r="DB81" s="78"/>
      <c r="DC81" s="455" t="str">
        <f>FI42</f>
        <v>Сундеев В.И.</v>
      </c>
      <c r="DD81" s="455"/>
      <c r="DE81" s="455"/>
      <c r="DF81" s="455"/>
      <c r="DG81" s="455"/>
      <c r="DH81" s="455"/>
      <c r="DI81" s="455"/>
      <c r="DJ81" s="455"/>
      <c r="DK81" s="455"/>
      <c r="DL81" s="455"/>
      <c r="DM81" s="455"/>
      <c r="DN81" s="455"/>
      <c r="DO81" s="455"/>
      <c r="DP81" s="455"/>
      <c r="DQ81" s="455"/>
      <c r="DR81" s="455"/>
      <c r="DS81" s="455"/>
      <c r="DT81" s="455"/>
      <c r="DU81" s="455"/>
      <c r="DV81" s="455"/>
      <c r="DW81" s="455"/>
      <c r="DX81" s="455"/>
      <c r="DY81" s="80"/>
      <c r="DZ81" s="78"/>
      <c r="EA81" s="78"/>
      <c r="EB81" s="456" t="s">
        <v>200</v>
      </c>
      <c r="EC81" s="367"/>
      <c r="ED81" s="367"/>
      <c r="EE81" s="367"/>
      <c r="EF81" s="367"/>
      <c r="EG81" s="367"/>
      <c r="EH81" s="367"/>
      <c r="EI81" s="367"/>
      <c r="EJ81" s="367"/>
      <c r="EK81" s="367"/>
      <c r="EL81" s="367"/>
      <c r="EM81" s="367"/>
      <c r="EN81" s="367"/>
      <c r="EO81" s="367"/>
      <c r="EP81" s="367"/>
      <c r="EQ81" s="367"/>
      <c r="ER81" s="367"/>
      <c r="ES81" s="367"/>
      <c r="ET81" s="367"/>
      <c r="EU81" s="367"/>
      <c r="EV81" s="367"/>
      <c r="EW81" s="78"/>
      <c r="EX81" s="367"/>
      <c r="EY81" s="367"/>
      <c r="EZ81" s="367"/>
      <c r="FA81" s="367"/>
      <c r="FB81" s="367"/>
      <c r="FC81" s="367"/>
      <c r="FD81" s="367"/>
      <c r="FE81" s="367"/>
      <c r="FF81" s="367"/>
      <c r="FG81" s="367"/>
      <c r="FH81" s="367"/>
      <c r="FI81" s="367"/>
      <c r="FJ81" s="367"/>
      <c r="FK81" s="367"/>
      <c r="FL81" s="367"/>
      <c r="FM81" s="367"/>
      <c r="FN81" s="367"/>
      <c r="FO81" s="367"/>
      <c r="FP81" s="367"/>
      <c r="FQ81" s="367"/>
      <c r="FR81" s="367"/>
      <c r="FS81" s="367"/>
      <c r="FT81" s="367"/>
      <c r="FU81" s="367"/>
      <c r="FV81" s="367"/>
      <c r="FW81" s="367"/>
      <c r="FX81" s="367"/>
      <c r="FY81" s="367"/>
      <c r="FZ81" s="367"/>
      <c r="GA81" s="367"/>
      <c r="GB81" s="367"/>
      <c r="GC81" s="367"/>
      <c r="GD81" s="367"/>
      <c r="GE81" s="367"/>
      <c r="GF81" s="367"/>
      <c r="GG81" s="367"/>
      <c r="GH81" s="367"/>
      <c r="GI81" s="42"/>
    </row>
    <row r="82" spans="1:191" ht="3" customHeight="1" x14ac:dyDescent="0.3">
      <c r="A82" s="78"/>
      <c r="B82" s="78"/>
      <c r="C82" s="78"/>
      <c r="D82" s="78"/>
      <c r="E82" s="78"/>
      <c r="F82" s="78"/>
      <c r="G82" s="78"/>
      <c r="H82" s="78"/>
      <c r="I82" s="398" t="s">
        <v>121</v>
      </c>
      <c r="J82" s="398"/>
      <c r="K82" s="398"/>
      <c r="L82" s="398"/>
      <c r="M82" s="398"/>
      <c r="N82" s="398"/>
      <c r="O82" s="398"/>
      <c r="P82" s="398"/>
      <c r="Q82" s="398"/>
      <c r="R82" s="398"/>
      <c r="S82" s="106"/>
      <c r="T82" s="106"/>
      <c r="U82" s="404" t="s">
        <v>122</v>
      </c>
      <c r="V82" s="404"/>
      <c r="W82" s="404"/>
      <c r="X82" s="404"/>
      <c r="Y82" s="404"/>
      <c r="Z82" s="404"/>
      <c r="AA82" s="404"/>
      <c r="AB82" s="404"/>
      <c r="AC82" s="404"/>
      <c r="AD82" s="404"/>
      <c r="AE82" s="404"/>
      <c r="AF82" s="106"/>
      <c r="AG82" s="106"/>
      <c r="AH82" s="404" t="s">
        <v>126</v>
      </c>
      <c r="AI82" s="404"/>
      <c r="AJ82" s="404"/>
      <c r="AK82" s="404"/>
      <c r="AL82" s="404"/>
      <c r="AM82" s="404"/>
      <c r="AN82" s="404"/>
      <c r="AO82" s="404"/>
      <c r="AP82" s="404"/>
      <c r="AQ82" s="404"/>
      <c r="AR82" s="404"/>
      <c r="AS82" s="404"/>
      <c r="AT82" s="404"/>
      <c r="AU82" s="404"/>
      <c r="AV82" s="404"/>
      <c r="AW82" s="404"/>
      <c r="AX82" s="404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98"/>
      <c r="BO82" s="78"/>
      <c r="BP82" s="367"/>
      <c r="BQ82" s="367"/>
      <c r="BR82" s="367"/>
      <c r="BS82" s="367"/>
      <c r="BT82" s="367"/>
      <c r="BU82" s="367"/>
      <c r="BV82" s="367"/>
      <c r="BW82" s="367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/>
      <c r="CZ82" s="454"/>
      <c r="DA82" s="107"/>
      <c r="DB82" s="107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86"/>
      <c r="DZ82" s="78"/>
      <c r="EA82" s="78"/>
      <c r="EB82" s="456"/>
      <c r="EC82" s="367"/>
      <c r="ED82" s="367"/>
      <c r="EE82" s="367"/>
      <c r="EF82" s="367"/>
      <c r="EG82" s="367"/>
      <c r="EH82" s="367"/>
      <c r="EI82" s="367"/>
      <c r="EJ82" s="367"/>
      <c r="EK82" s="367"/>
      <c r="EL82" s="367"/>
      <c r="EM82" s="367"/>
      <c r="EN82" s="367"/>
      <c r="EO82" s="367"/>
      <c r="EP82" s="367"/>
      <c r="EQ82" s="367"/>
      <c r="ER82" s="367"/>
      <c r="ES82" s="367"/>
      <c r="ET82" s="367"/>
      <c r="EU82" s="367"/>
      <c r="EV82" s="367"/>
      <c r="EW82" s="78"/>
      <c r="EX82" s="367"/>
      <c r="EY82" s="367"/>
      <c r="EZ82" s="367"/>
      <c r="FA82" s="367"/>
      <c r="FB82" s="367"/>
      <c r="FC82" s="367"/>
      <c r="FD82" s="367"/>
      <c r="FE82" s="367"/>
      <c r="FF82" s="367"/>
      <c r="FG82" s="367"/>
      <c r="FH82" s="367"/>
      <c r="FI82" s="367"/>
      <c r="FJ82" s="367"/>
      <c r="FK82" s="367"/>
      <c r="FL82" s="367"/>
      <c r="FM82" s="367"/>
      <c r="FN82" s="367"/>
      <c r="FO82" s="367"/>
      <c r="FP82" s="367"/>
      <c r="FQ82" s="367"/>
      <c r="FR82" s="367"/>
      <c r="FS82" s="367"/>
      <c r="FT82" s="367"/>
      <c r="FU82" s="367"/>
      <c r="FV82" s="367"/>
      <c r="FW82" s="367"/>
      <c r="FX82" s="367"/>
      <c r="FY82" s="367"/>
      <c r="FZ82" s="367"/>
      <c r="GA82" s="367"/>
      <c r="GB82" s="367"/>
      <c r="GC82" s="367"/>
      <c r="GD82" s="367"/>
      <c r="GE82" s="367"/>
      <c r="GF82" s="367"/>
      <c r="GG82" s="367"/>
      <c r="GH82" s="367"/>
      <c r="GI82" s="42"/>
    </row>
    <row r="83" spans="1:191" ht="2.4" customHeight="1" x14ac:dyDescent="0.3">
      <c r="A83" s="78"/>
      <c r="B83" s="78"/>
      <c r="C83" s="78"/>
      <c r="D83" s="78"/>
      <c r="E83" s="78"/>
      <c r="F83" s="78"/>
      <c r="G83" s="78"/>
      <c r="H83" s="78"/>
      <c r="I83" s="398"/>
      <c r="J83" s="398"/>
      <c r="K83" s="398"/>
      <c r="L83" s="398"/>
      <c r="M83" s="398"/>
      <c r="N83" s="398"/>
      <c r="O83" s="398"/>
      <c r="P83" s="398"/>
      <c r="Q83" s="398"/>
      <c r="R83" s="398"/>
      <c r="S83" s="96"/>
      <c r="T83" s="96"/>
      <c r="U83" s="398"/>
      <c r="V83" s="398"/>
      <c r="W83" s="398"/>
      <c r="X83" s="398"/>
      <c r="Y83" s="398"/>
      <c r="Z83" s="398"/>
      <c r="AA83" s="398"/>
      <c r="AB83" s="398"/>
      <c r="AC83" s="398"/>
      <c r="AD83" s="398"/>
      <c r="AE83" s="398"/>
      <c r="AF83" s="96"/>
      <c r="AG83" s="96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  <c r="AR83" s="398"/>
      <c r="AS83" s="398"/>
      <c r="AT83" s="398"/>
      <c r="AU83" s="398"/>
      <c r="AV83" s="398"/>
      <c r="AW83" s="398"/>
      <c r="AX83" s="39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9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86"/>
      <c r="CM83" s="86"/>
      <c r="CN83" s="86"/>
      <c r="CO83" s="86"/>
      <c r="CP83" s="404" t="s">
        <v>122</v>
      </c>
      <c r="CQ83" s="404"/>
      <c r="CR83" s="404"/>
      <c r="CS83" s="404"/>
      <c r="CT83" s="404"/>
      <c r="CU83" s="404"/>
      <c r="CV83" s="404"/>
      <c r="CW83" s="404"/>
      <c r="CX83" s="404"/>
      <c r="CY83" s="404"/>
      <c r="CZ83" s="404"/>
      <c r="DA83" s="96"/>
      <c r="DB83" s="96"/>
      <c r="DC83" s="404" t="s">
        <v>126</v>
      </c>
      <c r="DD83" s="404"/>
      <c r="DE83" s="404"/>
      <c r="DF83" s="404"/>
      <c r="DG83" s="404"/>
      <c r="DH83" s="404"/>
      <c r="DI83" s="404"/>
      <c r="DJ83" s="404"/>
      <c r="DK83" s="404"/>
      <c r="DL83" s="404"/>
      <c r="DM83" s="404"/>
      <c r="DN83" s="404"/>
      <c r="DO83" s="404"/>
      <c r="DP83" s="404"/>
      <c r="DQ83" s="404"/>
      <c r="DR83" s="404"/>
      <c r="DS83" s="404"/>
      <c r="DT83" s="404"/>
      <c r="DU83" s="404"/>
      <c r="DV83" s="404"/>
      <c r="DW83" s="404"/>
      <c r="DX83" s="404"/>
      <c r="DY83" s="86"/>
      <c r="DZ83" s="78"/>
      <c r="EA83" s="78"/>
      <c r="EB83" s="456"/>
      <c r="EC83" s="367"/>
      <c r="ED83" s="367"/>
      <c r="EE83" s="367"/>
      <c r="EF83" s="367"/>
      <c r="EG83" s="367"/>
      <c r="EH83" s="367"/>
      <c r="EI83" s="367"/>
      <c r="EJ83" s="367"/>
      <c r="EK83" s="367"/>
      <c r="EL83" s="367"/>
      <c r="EM83" s="367"/>
      <c r="EN83" s="367"/>
      <c r="EO83" s="367"/>
      <c r="EP83" s="367"/>
      <c r="EQ83" s="367"/>
      <c r="ER83" s="367"/>
      <c r="ES83" s="367"/>
      <c r="ET83" s="367"/>
      <c r="EU83" s="367"/>
      <c r="EV83" s="367"/>
      <c r="EW83" s="78"/>
      <c r="EX83" s="457"/>
      <c r="EY83" s="457"/>
      <c r="EZ83" s="457"/>
      <c r="FA83" s="457"/>
      <c r="FB83" s="457"/>
      <c r="FC83" s="457"/>
      <c r="FD83" s="457"/>
      <c r="FE83" s="457"/>
      <c r="FF83" s="457"/>
      <c r="FG83" s="457"/>
      <c r="FH83" s="457"/>
      <c r="FI83" s="457"/>
      <c r="FJ83" s="457"/>
      <c r="FK83" s="457"/>
      <c r="FL83" s="457"/>
      <c r="FM83" s="457"/>
      <c r="FN83" s="457"/>
      <c r="FO83" s="457"/>
      <c r="FP83" s="457"/>
      <c r="FQ83" s="457"/>
      <c r="FR83" s="457"/>
      <c r="FS83" s="457"/>
      <c r="FT83" s="457"/>
      <c r="FU83" s="457"/>
      <c r="FV83" s="457"/>
      <c r="FW83" s="457"/>
      <c r="FX83" s="457"/>
      <c r="FY83" s="457"/>
      <c r="FZ83" s="457"/>
      <c r="GA83" s="457"/>
      <c r="GB83" s="457"/>
      <c r="GC83" s="457"/>
      <c r="GD83" s="457"/>
      <c r="GE83" s="457"/>
      <c r="GF83" s="457"/>
      <c r="GG83" s="457"/>
      <c r="GH83" s="457"/>
      <c r="GI83" s="42"/>
    </row>
    <row r="84" spans="1:191" ht="2.4" customHeight="1" x14ac:dyDescent="0.3">
      <c r="A84" s="367" t="s">
        <v>201</v>
      </c>
      <c r="B84" s="367"/>
      <c r="C84" s="367"/>
      <c r="D84" s="367"/>
      <c r="E84" s="367"/>
      <c r="F84" s="367"/>
      <c r="G84" s="367"/>
      <c r="H84" s="367"/>
      <c r="I84" s="367"/>
      <c r="J84" s="367"/>
      <c r="K84" s="367"/>
      <c r="L84" s="367"/>
      <c r="M84" s="367"/>
      <c r="N84" s="367"/>
      <c r="O84" s="367"/>
      <c r="P84" s="367"/>
      <c r="Q84" s="367"/>
      <c r="R84" s="367"/>
      <c r="S84" s="367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9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398"/>
      <c r="CQ84" s="398"/>
      <c r="CR84" s="398"/>
      <c r="CS84" s="398"/>
      <c r="CT84" s="398"/>
      <c r="CU84" s="398"/>
      <c r="CV84" s="398"/>
      <c r="CW84" s="398"/>
      <c r="CX84" s="398"/>
      <c r="CY84" s="398"/>
      <c r="CZ84" s="398"/>
      <c r="DA84" s="96"/>
      <c r="DB84" s="96"/>
      <c r="DC84" s="398"/>
      <c r="DD84" s="398"/>
      <c r="DE84" s="398"/>
      <c r="DF84" s="398"/>
      <c r="DG84" s="398"/>
      <c r="DH84" s="398"/>
      <c r="DI84" s="398"/>
      <c r="DJ84" s="398"/>
      <c r="DK84" s="398"/>
      <c r="DL84" s="398"/>
      <c r="DM84" s="398"/>
      <c r="DN84" s="398"/>
      <c r="DO84" s="398"/>
      <c r="DP84" s="398"/>
      <c r="DQ84" s="398"/>
      <c r="DR84" s="398"/>
      <c r="DS84" s="398"/>
      <c r="DT84" s="398"/>
      <c r="DU84" s="398"/>
      <c r="DV84" s="398"/>
      <c r="DW84" s="398"/>
      <c r="DX84" s="398"/>
      <c r="DY84" s="78"/>
      <c r="DZ84" s="78"/>
      <c r="EA84" s="78"/>
      <c r="EB84" s="102"/>
      <c r="EC84" s="367"/>
      <c r="ED84" s="367"/>
      <c r="EE84" s="367"/>
      <c r="EF84" s="367"/>
      <c r="EG84" s="367"/>
      <c r="EH84" s="367"/>
      <c r="EI84" s="367"/>
      <c r="EJ84" s="367"/>
      <c r="EK84" s="367"/>
      <c r="EL84" s="367"/>
      <c r="EM84" s="367"/>
      <c r="EN84" s="367"/>
      <c r="EO84" s="367"/>
      <c r="EP84" s="367"/>
      <c r="EQ84" s="367"/>
      <c r="ER84" s="367"/>
      <c r="ES84" s="367"/>
      <c r="ET84" s="367"/>
      <c r="EU84" s="367"/>
      <c r="EV84" s="367"/>
      <c r="EW84" s="367"/>
      <c r="EX84" s="367"/>
      <c r="EY84" s="367"/>
      <c r="EZ84" s="367"/>
      <c r="FA84" s="367"/>
      <c r="FB84" s="367"/>
      <c r="FC84" s="367"/>
      <c r="FD84" s="367"/>
      <c r="FE84" s="367"/>
      <c r="FF84" s="367"/>
      <c r="FG84" s="367"/>
      <c r="FH84" s="367"/>
      <c r="FI84" s="367"/>
      <c r="FJ84" s="367"/>
      <c r="FK84" s="367"/>
      <c r="FL84" s="367"/>
      <c r="FM84" s="367"/>
      <c r="FN84" s="367"/>
      <c r="FO84" s="367"/>
      <c r="FP84" s="367"/>
      <c r="FQ84" s="367"/>
      <c r="FR84" s="367"/>
      <c r="FS84" s="367"/>
      <c r="FT84" s="367"/>
      <c r="FU84" s="367"/>
      <c r="FV84" s="367"/>
      <c r="FW84" s="367"/>
      <c r="FX84" s="367"/>
      <c r="FY84" s="367"/>
      <c r="FZ84" s="367"/>
      <c r="GA84" s="367"/>
      <c r="GB84" s="367"/>
      <c r="GC84" s="367"/>
      <c r="GD84" s="367"/>
      <c r="GE84" s="367"/>
      <c r="GF84" s="367"/>
      <c r="GG84" s="367"/>
      <c r="GH84" s="367"/>
      <c r="GI84" s="42"/>
    </row>
    <row r="85" spans="1:191" x14ac:dyDescent="0.3">
      <c r="A85" s="367"/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108"/>
      <c r="BD85" s="108"/>
      <c r="BE85" s="458" t="s">
        <v>202</v>
      </c>
      <c r="BF85" s="458"/>
      <c r="BG85" s="458"/>
      <c r="BH85" s="458"/>
      <c r="BI85" s="458"/>
      <c r="BJ85" s="458"/>
      <c r="BK85" s="458"/>
      <c r="BL85" s="458"/>
      <c r="BM85" s="458"/>
      <c r="BN85" s="98"/>
      <c r="BO85" s="78"/>
      <c r="BP85" s="78"/>
      <c r="BQ85" s="78"/>
      <c r="BR85" s="78"/>
      <c r="BS85" s="78"/>
      <c r="BT85" s="78"/>
      <c r="BU85" s="78"/>
      <c r="BV85" s="78"/>
      <c r="BW85" s="78"/>
      <c r="BX85" s="78"/>
      <c r="BY85" s="78"/>
      <c r="BZ85" s="78"/>
      <c r="CA85" s="78"/>
      <c r="CB85" s="78"/>
      <c r="CC85" s="78"/>
      <c r="CD85" s="78"/>
      <c r="CE85" s="78"/>
      <c r="CF85" s="78"/>
      <c r="CG85" s="78"/>
      <c r="CH85" s="78"/>
      <c r="CI85" s="78"/>
      <c r="CJ85" s="78"/>
      <c r="CK85" s="78"/>
      <c r="CL85" s="78"/>
      <c r="CM85" s="78"/>
      <c r="CN85" s="78"/>
      <c r="CO85" s="78"/>
      <c r="CP85" s="78"/>
      <c r="CQ85" s="78"/>
      <c r="CR85" s="78"/>
      <c r="CS85" s="78"/>
      <c r="CT85" s="78"/>
      <c r="CU85" s="78"/>
      <c r="CV85" s="78"/>
      <c r="CW85" s="78"/>
      <c r="CX85" s="78"/>
      <c r="CY85" s="78"/>
      <c r="CZ85" s="78"/>
      <c r="DA85" s="78"/>
      <c r="DB85" s="78"/>
      <c r="DC85" s="78"/>
      <c r="DD85" s="78"/>
      <c r="DE85" s="78"/>
      <c r="DF85" s="78"/>
      <c r="DG85" s="78"/>
      <c r="DH85" s="78"/>
      <c r="DI85" s="78"/>
      <c r="DJ85" s="78"/>
      <c r="DK85" s="78"/>
      <c r="DL85" s="78"/>
      <c r="DM85" s="78"/>
      <c r="DN85" s="78"/>
      <c r="DO85" s="78"/>
      <c r="DP85" s="78"/>
      <c r="DQ85" s="78"/>
      <c r="DR85" s="458" t="s">
        <v>202</v>
      </c>
      <c r="DS85" s="458"/>
      <c r="DT85" s="458"/>
      <c r="DU85" s="458"/>
      <c r="DV85" s="458"/>
      <c r="DW85" s="458"/>
      <c r="DX85" s="458"/>
      <c r="DY85" s="458"/>
      <c r="DZ85" s="458"/>
      <c r="EA85" s="78"/>
      <c r="EB85" s="102"/>
      <c r="EC85" s="457"/>
      <c r="ED85" s="457"/>
      <c r="EE85" s="457"/>
      <c r="EF85" s="457"/>
      <c r="EG85" s="457"/>
      <c r="EH85" s="457"/>
      <c r="EI85" s="457"/>
      <c r="EJ85" s="457"/>
      <c r="EK85" s="457"/>
      <c r="EL85" s="457"/>
      <c r="EM85" s="457"/>
      <c r="EN85" s="457"/>
      <c r="EO85" s="457"/>
      <c r="EP85" s="457"/>
      <c r="EQ85" s="457"/>
      <c r="ER85" s="457"/>
      <c r="ES85" s="457"/>
      <c r="ET85" s="457"/>
      <c r="EU85" s="457"/>
      <c r="EV85" s="457"/>
      <c r="EW85" s="457"/>
      <c r="EX85" s="457"/>
      <c r="EY85" s="457"/>
      <c r="EZ85" s="457"/>
      <c r="FA85" s="457"/>
      <c r="FB85" s="457"/>
      <c r="FC85" s="457"/>
      <c r="FD85" s="457"/>
      <c r="FE85" s="457"/>
      <c r="FF85" s="457"/>
      <c r="FG85" s="457"/>
      <c r="FH85" s="457"/>
      <c r="FI85" s="457"/>
      <c r="FJ85" s="457"/>
      <c r="FK85" s="457"/>
      <c r="FL85" s="457"/>
      <c r="FM85" s="457"/>
      <c r="FN85" s="457"/>
      <c r="FO85" s="457"/>
      <c r="FP85" s="457"/>
      <c r="FQ85" s="457"/>
      <c r="FR85" s="457"/>
      <c r="FS85" s="457"/>
      <c r="FT85" s="457"/>
      <c r="FU85" s="457"/>
      <c r="FV85" s="457"/>
      <c r="FW85" s="457"/>
      <c r="FX85" s="457"/>
      <c r="FY85" s="457"/>
      <c r="FZ85" s="457"/>
      <c r="GA85" s="457"/>
      <c r="GB85" s="457"/>
      <c r="GC85" s="457"/>
      <c r="GD85" s="457"/>
      <c r="GE85" s="457"/>
      <c r="GF85" s="457"/>
      <c r="GG85" s="457"/>
      <c r="GH85" s="457"/>
      <c r="GI85" s="42"/>
    </row>
    <row r="86" spans="1:191" ht="11.4" customHeight="1" x14ac:dyDescent="0.3">
      <c r="A86" s="78" t="s">
        <v>203</v>
      </c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350"/>
      <c r="O86" s="350"/>
      <c r="P86" s="350"/>
      <c r="Q86" s="350"/>
      <c r="R86" s="350"/>
      <c r="S86" s="350"/>
      <c r="T86" s="350"/>
      <c r="U86" s="350"/>
      <c r="V86" s="350"/>
      <c r="W86" s="350"/>
      <c r="X86" s="350"/>
      <c r="Y86" s="78"/>
      <c r="Z86" s="78"/>
      <c r="AA86" s="402" t="str">
        <f>FI42</f>
        <v>Сундеев В.И.</v>
      </c>
      <c r="AB86" s="402"/>
      <c r="AC86" s="402"/>
      <c r="AD86" s="402"/>
      <c r="AE86" s="402"/>
      <c r="AF86" s="402"/>
      <c r="AG86" s="402"/>
      <c r="AH86" s="402"/>
      <c r="AI86" s="402"/>
      <c r="AJ86" s="402"/>
      <c r="AK86" s="402"/>
      <c r="AL86" s="402"/>
      <c r="AM86" s="402"/>
      <c r="AN86" s="402"/>
      <c r="AO86" s="402"/>
      <c r="AP86" s="402"/>
      <c r="AQ86" s="402"/>
      <c r="AR86" s="402"/>
      <c r="AS86" s="402"/>
      <c r="AT86" s="402"/>
      <c r="AU86" s="402"/>
      <c r="AV86" s="402"/>
      <c r="AW86" s="78"/>
      <c r="AX86" s="78"/>
      <c r="AY86" s="78"/>
      <c r="AZ86" s="78"/>
      <c r="BA86" s="78"/>
      <c r="BB86" s="78"/>
      <c r="BC86" s="108"/>
      <c r="BD86" s="108"/>
      <c r="BE86" s="458"/>
      <c r="BF86" s="458"/>
      <c r="BG86" s="458"/>
      <c r="BH86" s="458"/>
      <c r="BI86" s="458"/>
      <c r="BJ86" s="458"/>
      <c r="BK86" s="458"/>
      <c r="BL86" s="458"/>
      <c r="BM86" s="458"/>
      <c r="BN86" s="98"/>
      <c r="BO86" s="78"/>
      <c r="BP86" s="78" t="s">
        <v>204</v>
      </c>
      <c r="BQ86" s="78"/>
      <c r="BR86" s="78"/>
      <c r="BS86" s="78"/>
      <c r="BT86" s="78"/>
      <c r="BU86" s="78"/>
      <c r="BV86" s="78"/>
      <c r="BW86" s="78"/>
      <c r="BX86" s="78"/>
      <c r="BY86" s="362"/>
      <c r="BZ86" s="362"/>
      <c r="CA86" s="362"/>
      <c r="CB86" s="362"/>
      <c r="CC86" s="362"/>
      <c r="CD86" s="362"/>
      <c r="CE86" s="362"/>
      <c r="CF86" s="362"/>
      <c r="CG86" s="362"/>
      <c r="CH86" s="362"/>
      <c r="CI86" s="362"/>
      <c r="CJ86" s="362"/>
      <c r="CK86" s="362"/>
      <c r="CL86" s="78"/>
      <c r="CM86" s="362"/>
      <c r="CN86" s="362"/>
      <c r="CO86" s="362"/>
      <c r="CP86" s="362"/>
      <c r="CQ86" s="362"/>
      <c r="CR86" s="362"/>
      <c r="CS86" s="362"/>
      <c r="CT86" s="362"/>
      <c r="CU86" s="362"/>
      <c r="CV86" s="362"/>
      <c r="CW86" s="362"/>
      <c r="CX86" s="362"/>
      <c r="CY86" s="78"/>
      <c r="CZ86" s="362"/>
      <c r="DA86" s="362"/>
      <c r="DB86" s="362"/>
      <c r="DC86" s="362"/>
      <c r="DD86" s="362"/>
      <c r="DE86" s="362"/>
      <c r="DF86" s="362"/>
      <c r="DG86" s="362"/>
      <c r="DH86" s="362"/>
      <c r="DI86" s="362"/>
      <c r="DJ86" s="362"/>
      <c r="DK86" s="362"/>
      <c r="DL86" s="362"/>
      <c r="DM86" s="362"/>
      <c r="DN86" s="362"/>
      <c r="DO86" s="362"/>
      <c r="DP86" s="362"/>
      <c r="DQ86" s="109"/>
      <c r="DR86" s="458"/>
      <c r="DS86" s="458"/>
      <c r="DT86" s="458"/>
      <c r="DU86" s="458"/>
      <c r="DV86" s="458"/>
      <c r="DW86" s="458"/>
      <c r="DX86" s="458"/>
      <c r="DY86" s="458"/>
      <c r="DZ86" s="458"/>
      <c r="EA86" s="109"/>
      <c r="EB86" s="102"/>
      <c r="EC86" s="459"/>
      <c r="ED86" s="459"/>
      <c r="EE86" s="459"/>
      <c r="EF86" s="459"/>
      <c r="EG86" s="459"/>
      <c r="EH86" s="459"/>
      <c r="EI86" s="459"/>
      <c r="EJ86" s="459"/>
      <c r="EK86" s="459"/>
      <c r="EL86" s="459"/>
      <c r="EM86" s="459"/>
      <c r="EN86" s="459"/>
      <c r="EO86" s="459"/>
      <c r="EP86" s="459"/>
      <c r="EQ86" s="459"/>
      <c r="ER86" s="459"/>
      <c r="ES86" s="459"/>
      <c r="ET86" s="459"/>
      <c r="EU86" s="459"/>
      <c r="EV86" s="459"/>
      <c r="EW86" s="459"/>
      <c r="EX86" s="459"/>
      <c r="EY86" s="459"/>
      <c r="EZ86" s="459"/>
      <c r="FA86" s="459"/>
      <c r="FB86" s="459"/>
      <c r="FC86" s="459"/>
      <c r="FD86" s="459"/>
      <c r="FE86" s="459"/>
      <c r="FF86" s="459"/>
      <c r="FG86" s="459"/>
      <c r="FH86" s="459"/>
      <c r="FI86" s="459"/>
      <c r="FJ86" s="459"/>
      <c r="FK86" s="459"/>
      <c r="FL86" s="459"/>
      <c r="FM86" s="459"/>
      <c r="FN86" s="459"/>
      <c r="FO86" s="459"/>
      <c r="FP86" s="459"/>
      <c r="FQ86" s="459"/>
      <c r="FR86" s="459"/>
      <c r="FS86" s="459"/>
      <c r="FT86" s="459"/>
      <c r="FU86" s="459"/>
      <c r="FV86" s="459"/>
      <c r="FW86" s="459"/>
      <c r="FX86" s="459"/>
      <c r="FY86" s="459"/>
      <c r="FZ86" s="459"/>
      <c r="GA86" s="459"/>
      <c r="GB86" s="459"/>
      <c r="GC86" s="459"/>
      <c r="GD86" s="459"/>
      <c r="GE86" s="459"/>
      <c r="GF86" s="459"/>
      <c r="GG86" s="459"/>
      <c r="GH86" s="459"/>
      <c r="GI86" s="42"/>
    </row>
    <row r="87" spans="1:191" s="62" customFormat="1" ht="4.2" customHeight="1" x14ac:dyDescent="0.3">
      <c r="A87" s="96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389" t="s">
        <v>122</v>
      </c>
      <c r="O87" s="389"/>
      <c r="P87" s="389"/>
      <c r="Q87" s="389"/>
      <c r="R87" s="389"/>
      <c r="S87" s="389"/>
      <c r="T87" s="389"/>
      <c r="U87" s="389"/>
      <c r="V87" s="389"/>
      <c r="W87" s="389"/>
      <c r="X87" s="389"/>
      <c r="Y87" s="106"/>
      <c r="Z87" s="106"/>
      <c r="AA87" s="389"/>
      <c r="AB87" s="389"/>
      <c r="AC87" s="389"/>
      <c r="AD87" s="389"/>
      <c r="AE87" s="389"/>
      <c r="AF87" s="389"/>
      <c r="AG87" s="389"/>
      <c r="AH87" s="389"/>
      <c r="AI87" s="389"/>
      <c r="AJ87" s="389"/>
      <c r="AK87" s="389"/>
      <c r="AL87" s="389"/>
      <c r="AM87" s="389"/>
      <c r="AN87" s="389"/>
      <c r="AO87" s="389"/>
      <c r="AP87" s="389"/>
      <c r="AQ87" s="389"/>
      <c r="AR87" s="389"/>
      <c r="AS87" s="389"/>
      <c r="AT87" s="389"/>
      <c r="AU87" s="389"/>
      <c r="AV87" s="389"/>
      <c r="AW87" s="96"/>
      <c r="AX87" s="96"/>
      <c r="AY87" s="96"/>
      <c r="AZ87" s="96"/>
      <c r="BA87" s="96"/>
      <c r="BB87" s="96"/>
      <c r="BC87" s="110"/>
      <c r="BD87" s="110"/>
      <c r="BE87" s="458"/>
      <c r="BF87" s="458"/>
      <c r="BG87" s="458"/>
      <c r="BH87" s="458"/>
      <c r="BI87" s="458"/>
      <c r="BJ87" s="458"/>
      <c r="BK87" s="458"/>
      <c r="BL87" s="458"/>
      <c r="BM87" s="458"/>
      <c r="BN87" s="111"/>
      <c r="BO87" s="96"/>
      <c r="BP87" s="96"/>
      <c r="BQ87" s="96"/>
      <c r="BR87" s="96"/>
      <c r="BS87" s="96"/>
      <c r="BT87" s="96"/>
      <c r="BU87" s="96"/>
      <c r="BV87" s="96"/>
      <c r="BW87" s="96"/>
      <c r="BX87" s="96"/>
      <c r="BY87" s="461" t="s">
        <v>121</v>
      </c>
      <c r="BZ87" s="461"/>
      <c r="CA87" s="461"/>
      <c r="CB87" s="461"/>
      <c r="CC87" s="461"/>
      <c r="CD87" s="461"/>
      <c r="CE87" s="461"/>
      <c r="CF87" s="461"/>
      <c r="CG87" s="461"/>
      <c r="CH87" s="461"/>
      <c r="CI87" s="461"/>
      <c r="CJ87" s="461"/>
      <c r="CK87" s="461"/>
      <c r="CL87" s="106"/>
      <c r="CM87" s="461" t="s">
        <v>122</v>
      </c>
      <c r="CN87" s="461"/>
      <c r="CO87" s="461"/>
      <c r="CP87" s="461"/>
      <c r="CQ87" s="461"/>
      <c r="CR87" s="461"/>
      <c r="CS87" s="461"/>
      <c r="CT87" s="461"/>
      <c r="CU87" s="461"/>
      <c r="CV87" s="461"/>
      <c r="CW87" s="461"/>
      <c r="CX87" s="461"/>
      <c r="CY87" s="106"/>
      <c r="CZ87" s="461" t="s">
        <v>126</v>
      </c>
      <c r="DA87" s="461"/>
      <c r="DB87" s="461"/>
      <c r="DC87" s="461"/>
      <c r="DD87" s="461"/>
      <c r="DE87" s="461"/>
      <c r="DF87" s="461"/>
      <c r="DG87" s="461"/>
      <c r="DH87" s="461"/>
      <c r="DI87" s="461"/>
      <c r="DJ87" s="461"/>
      <c r="DK87" s="461"/>
      <c r="DL87" s="461"/>
      <c r="DM87" s="461"/>
      <c r="DN87" s="461"/>
      <c r="DO87" s="461"/>
      <c r="DP87" s="461"/>
      <c r="DQ87" s="112"/>
      <c r="DR87" s="458"/>
      <c r="DS87" s="458"/>
      <c r="DT87" s="458"/>
      <c r="DU87" s="458"/>
      <c r="DV87" s="458"/>
      <c r="DW87" s="458"/>
      <c r="DX87" s="458"/>
      <c r="DY87" s="458"/>
      <c r="DZ87" s="458"/>
      <c r="EA87" s="112"/>
      <c r="EB87" s="113"/>
      <c r="EC87" s="367"/>
      <c r="ED87" s="367"/>
      <c r="EE87" s="367"/>
      <c r="EF87" s="367"/>
      <c r="EG87" s="367"/>
      <c r="EH87" s="367"/>
      <c r="EI87" s="367"/>
      <c r="EJ87" s="367"/>
      <c r="EK87" s="367"/>
      <c r="EL87" s="367"/>
      <c r="EM87" s="367"/>
      <c r="EN87" s="367"/>
      <c r="EO87" s="367"/>
      <c r="EP87" s="367"/>
      <c r="EQ87" s="367"/>
      <c r="ER87" s="367"/>
      <c r="ES87" s="367"/>
      <c r="ET87" s="367"/>
      <c r="EU87" s="367"/>
      <c r="EV87" s="367"/>
      <c r="EW87" s="367"/>
      <c r="EX87" s="367"/>
      <c r="EY87" s="367"/>
      <c r="EZ87" s="367"/>
      <c r="FA87" s="367"/>
      <c r="FB87" s="367"/>
      <c r="FC87" s="367"/>
      <c r="FD87" s="367"/>
      <c r="FE87" s="367"/>
      <c r="FF87" s="367"/>
      <c r="FG87" s="367"/>
      <c r="FH87" s="367"/>
      <c r="FI87" s="367"/>
      <c r="FJ87" s="367"/>
      <c r="FK87" s="367"/>
      <c r="FL87" s="367"/>
      <c r="FM87" s="367"/>
      <c r="FN87" s="367"/>
      <c r="FO87" s="367"/>
      <c r="FP87" s="367"/>
      <c r="FQ87" s="367"/>
      <c r="FR87" s="367"/>
      <c r="FS87" s="367"/>
      <c r="FT87" s="367"/>
      <c r="FU87" s="367"/>
      <c r="FV87" s="367"/>
      <c r="FW87" s="367"/>
      <c r="FX87" s="367"/>
      <c r="FY87" s="367"/>
      <c r="FZ87" s="367"/>
      <c r="GA87" s="367"/>
      <c r="GB87" s="367"/>
      <c r="GC87" s="367"/>
      <c r="GD87" s="367"/>
      <c r="GE87" s="367"/>
      <c r="GF87" s="367"/>
      <c r="GG87" s="367"/>
      <c r="GH87" s="367"/>
      <c r="GI87" s="61"/>
    </row>
    <row r="88" spans="1:191" ht="4.2" customHeight="1" x14ac:dyDescent="0.3">
      <c r="A88" s="78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390"/>
      <c r="O88" s="390"/>
      <c r="P88" s="390"/>
      <c r="Q88" s="390"/>
      <c r="R88" s="390"/>
      <c r="S88" s="390"/>
      <c r="T88" s="390"/>
      <c r="U88" s="390"/>
      <c r="V88" s="390"/>
      <c r="W88" s="390"/>
      <c r="X88" s="390"/>
      <c r="Y88" s="114"/>
      <c r="Z88" s="114"/>
      <c r="AA88" s="390"/>
      <c r="AB88" s="390"/>
      <c r="AC88" s="390"/>
      <c r="AD88" s="390"/>
      <c r="AE88" s="390"/>
      <c r="AF88" s="390"/>
      <c r="AG88" s="390"/>
      <c r="AH88" s="390"/>
      <c r="AI88" s="390"/>
      <c r="AJ88" s="390"/>
      <c r="AK88" s="390"/>
      <c r="AL88" s="390"/>
      <c r="AM88" s="390"/>
      <c r="AN88" s="390"/>
      <c r="AO88" s="390"/>
      <c r="AP88" s="390"/>
      <c r="AQ88" s="390"/>
      <c r="AR88" s="390"/>
      <c r="AS88" s="390"/>
      <c r="AT88" s="390"/>
      <c r="AU88" s="390"/>
      <c r="AV88" s="390"/>
      <c r="AW88" s="78"/>
      <c r="AX88" s="78"/>
      <c r="AY88" s="78"/>
      <c r="AZ88" s="78"/>
      <c r="BA88" s="78"/>
      <c r="BB88" s="78"/>
      <c r="BC88" s="108"/>
      <c r="BD88" s="108"/>
      <c r="BE88" s="458"/>
      <c r="BF88" s="458"/>
      <c r="BG88" s="458"/>
      <c r="BH88" s="458"/>
      <c r="BI88" s="458"/>
      <c r="BJ88" s="458"/>
      <c r="BK88" s="458"/>
      <c r="BL88" s="458"/>
      <c r="BM88" s="45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462"/>
      <c r="BZ88" s="462"/>
      <c r="CA88" s="462"/>
      <c r="CB88" s="462"/>
      <c r="CC88" s="462"/>
      <c r="CD88" s="462"/>
      <c r="CE88" s="462"/>
      <c r="CF88" s="462"/>
      <c r="CG88" s="462"/>
      <c r="CH88" s="462"/>
      <c r="CI88" s="462"/>
      <c r="CJ88" s="462"/>
      <c r="CK88" s="462"/>
      <c r="CL88" s="114"/>
      <c r="CM88" s="462"/>
      <c r="CN88" s="462"/>
      <c r="CO88" s="462"/>
      <c r="CP88" s="462"/>
      <c r="CQ88" s="462"/>
      <c r="CR88" s="462"/>
      <c r="CS88" s="462"/>
      <c r="CT88" s="462"/>
      <c r="CU88" s="462"/>
      <c r="CV88" s="462"/>
      <c r="CW88" s="462"/>
      <c r="CX88" s="462"/>
      <c r="CY88" s="114"/>
      <c r="CZ88" s="462"/>
      <c r="DA88" s="462"/>
      <c r="DB88" s="462"/>
      <c r="DC88" s="462"/>
      <c r="DD88" s="462"/>
      <c r="DE88" s="462"/>
      <c r="DF88" s="462"/>
      <c r="DG88" s="462"/>
      <c r="DH88" s="462"/>
      <c r="DI88" s="462"/>
      <c r="DJ88" s="462"/>
      <c r="DK88" s="462"/>
      <c r="DL88" s="462"/>
      <c r="DM88" s="462"/>
      <c r="DN88" s="462"/>
      <c r="DO88" s="462"/>
      <c r="DP88" s="462"/>
      <c r="DQ88" s="109"/>
      <c r="DR88" s="458"/>
      <c r="DS88" s="458"/>
      <c r="DT88" s="458"/>
      <c r="DU88" s="458"/>
      <c r="DV88" s="458"/>
      <c r="DW88" s="458"/>
      <c r="DX88" s="458"/>
      <c r="DY88" s="458"/>
      <c r="DZ88" s="458"/>
      <c r="EA88" s="109"/>
      <c r="EB88" s="102"/>
      <c r="EC88" s="457"/>
      <c r="ED88" s="457"/>
      <c r="EE88" s="457"/>
      <c r="EF88" s="457"/>
      <c r="EG88" s="457"/>
      <c r="EH88" s="457"/>
      <c r="EI88" s="457"/>
      <c r="EJ88" s="457"/>
      <c r="EK88" s="457"/>
      <c r="EL88" s="457"/>
      <c r="EM88" s="457"/>
      <c r="EN88" s="457"/>
      <c r="EO88" s="457"/>
      <c r="EP88" s="457"/>
      <c r="EQ88" s="457"/>
      <c r="ER88" s="457"/>
      <c r="ES88" s="457"/>
      <c r="ET88" s="457"/>
      <c r="EU88" s="457"/>
      <c r="EV88" s="457"/>
      <c r="EW88" s="457"/>
      <c r="EX88" s="457"/>
      <c r="EY88" s="457"/>
      <c r="EZ88" s="457"/>
      <c r="FA88" s="457"/>
      <c r="FB88" s="457"/>
      <c r="FC88" s="457"/>
      <c r="FD88" s="457"/>
      <c r="FE88" s="457"/>
      <c r="FF88" s="457"/>
      <c r="FG88" s="457"/>
      <c r="FH88" s="457"/>
      <c r="FI88" s="457"/>
      <c r="FJ88" s="457"/>
      <c r="FK88" s="457"/>
      <c r="FL88" s="457"/>
      <c r="FM88" s="457"/>
      <c r="FN88" s="457"/>
      <c r="FO88" s="457"/>
      <c r="FP88" s="457"/>
      <c r="FQ88" s="457"/>
      <c r="FR88" s="457"/>
      <c r="FS88" s="457"/>
      <c r="FT88" s="457"/>
      <c r="FU88" s="457"/>
      <c r="FV88" s="457"/>
      <c r="FW88" s="457"/>
      <c r="FX88" s="457"/>
      <c r="FY88" s="457"/>
      <c r="FZ88" s="457"/>
      <c r="GA88" s="457"/>
      <c r="GB88" s="457"/>
      <c r="GC88" s="457"/>
      <c r="GD88" s="457"/>
      <c r="GE88" s="457"/>
      <c r="GF88" s="457"/>
      <c r="GG88" s="457"/>
      <c r="GH88" s="457"/>
      <c r="GI88" s="42"/>
    </row>
    <row r="89" spans="1:191" ht="4.2" customHeight="1" thickBot="1" x14ac:dyDescent="0.35">
      <c r="A89" s="78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460"/>
      <c r="O89" s="460"/>
      <c r="P89" s="460"/>
      <c r="Q89" s="460"/>
      <c r="R89" s="460"/>
      <c r="S89" s="460"/>
      <c r="T89" s="460"/>
      <c r="U89" s="460"/>
      <c r="V89" s="460"/>
      <c r="W89" s="460"/>
      <c r="X89" s="460"/>
      <c r="Y89" s="78"/>
      <c r="Z89" s="78"/>
      <c r="AA89" s="460"/>
      <c r="AB89" s="460"/>
      <c r="AC89" s="460"/>
      <c r="AD89" s="460"/>
      <c r="AE89" s="460"/>
      <c r="AF89" s="460"/>
      <c r="AG89" s="460"/>
      <c r="AH89" s="460"/>
      <c r="AI89" s="460"/>
      <c r="AJ89" s="460"/>
      <c r="AK89" s="460"/>
      <c r="AL89" s="460"/>
      <c r="AM89" s="460"/>
      <c r="AN89" s="460"/>
      <c r="AO89" s="460"/>
      <c r="AP89" s="460"/>
      <c r="AQ89" s="460"/>
      <c r="AR89" s="460"/>
      <c r="AS89" s="460"/>
      <c r="AT89" s="460"/>
      <c r="AU89" s="460"/>
      <c r="AV89" s="460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463"/>
      <c r="BZ89" s="463"/>
      <c r="CA89" s="463"/>
      <c r="CB89" s="463"/>
      <c r="CC89" s="463"/>
      <c r="CD89" s="463"/>
      <c r="CE89" s="463"/>
      <c r="CF89" s="463"/>
      <c r="CG89" s="463"/>
      <c r="CH89" s="463"/>
      <c r="CI89" s="463"/>
      <c r="CJ89" s="463"/>
      <c r="CK89" s="463"/>
      <c r="CL89" s="78"/>
      <c r="CM89" s="463"/>
      <c r="CN89" s="463"/>
      <c r="CO89" s="463"/>
      <c r="CP89" s="463"/>
      <c r="CQ89" s="463"/>
      <c r="CR89" s="463"/>
      <c r="CS89" s="463"/>
      <c r="CT89" s="463"/>
      <c r="CU89" s="463"/>
      <c r="CV89" s="463"/>
      <c r="CW89" s="463"/>
      <c r="CX89" s="463"/>
      <c r="CY89" s="78"/>
      <c r="CZ89" s="463"/>
      <c r="DA89" s="463"/>
      <c r="DB89" s="463"/>
      <c r="DC89" s="463"/>
      <c r="DD89" s="463"/>
      <c r="DE89" s="463"/>
      <c r="DF89" s="463"/>
      <c r="DG89" s="463"/>
      <c r="DH89" s="463"/>
      <c r="DI89" s="463"/>
      <c r="DJ89" s="463"/>
      <c r="DK89" s="463"/>
      <c r="DL89" s="463"/>
      <c r="DM89" s="463"/>
      <c r="DN89" s="463"/>
      <c r="DO89" s="463"/>
      <c r="DP89" s="463"/>
      <c r="DQ89" s="78"/>
      <c r="DR89" s="78"/>
      <c r="DS89" s="78"/>
      <c r="DT89" s="78"/>
      <c r="DU89" s="78"/>
      <c r="DV89" s="78"/>
      <c r="DW89" s="78"/>
      <c r="DX89" s="78"/>
      <c r="DY89" s="78"/>
      <c r="DZ89" s="78"/>
      <c r="EA89" s="78"/>
      <c r="EB89" s="78"/>
      <c r="EC89" s="78"/>
      <c r="ED89" s="78"/>
      <c r="EE89" s="78"/>
      <c r="EF89" s="78"/>
      <c r="EG89" s="78"/>
      <c r="EH89" s="78"/>
      <c r="EI89" s="78"/>
      <c r="EJ89" s="78"/>
      <c r="EK89" s="78"/>
      <c r="EL89" s="78"/>
      <c r="EM89" s="78"/>
      <c r="EN89" s="78"/>
      <c r="EO89" s="78"/>
      <c r="EP89" s="78"/>
      <c r="EQ89" s="78"/>
      <c r="ER89" s="78"/>
      <c r="ES89" s="78"/>
      <c r="ET89" s="78"/>
      <c r="EU89" s="78"/>
      <c r="EV89" s="78"/>
      <c r="EW89" s="78"/>
      <c r="EX89" s="78"/>
      <c r="EY89" s="78"/>
      <c r="EZ89" s="78"/>
      <c r="FA89" s="78"/>
      <c r="FB89" s="78"/>
      <c r="FC89" s="78"/>
      <c r="FD89" s="78"/>
      <c r="FE89" s="78"/>
      <c r="FF89" s="78"/>
      <c r="FG89" s="78"/>
      <c r="FH89" s="78"/>
      <c r="FI89" s="78"/>
      <c r="FJ89" s="78"/>
      <c r="FK89" s="78"/>
      <c r="FL89" s="78"/>
      <c r="FM89" s="78"/>
      <c r="FN89" s="78"/>
      <c r="FO89" s="78"/>
      <c r="FP89" s="78"/>
      <c r="FQ89" s="78"/>
      <c r="FR89" s="78"/>
      <c r="FS89" s="78"/>
      <c r="FT89" s="78"/>
      <c r="FU89" s="78"/>
      <c r="FV89" s="78"/>
      <c r="FW89" s="78"/>
      <c r="FX89" s="78"/>
      <c r="FY89" s="78"/>
      <c r="FZ89" s="78"/>
      <c r="GA89" s="78"/>
      <c r="GB89" s="78"/>
      <c r="GC89" s="78"/>
      <c r="GD89" s="78"/>
      <c r="GE89" s="78"/>
      <c r="GF89" s="78"/>
      <c r="GG89" s="78"/>
      <c r="GH89" s="78"/>
      <c r="GI89" s="42"/>
    </row>
    <row r="90" spans="1:191" ht="15" thickTop="1" x14ac:dyDescent="0.3">
      <c r="A90" s="464" t="s">
        <v>205</v>
      </c>
      <c r="B90" s="465"/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5"/>
      <c r="V90" s="465"/>
      <c r="W90" s="465"/>
      <c r="X90" s="465"/>
      <c r="Y90" s="465"/>
      <c r="Z90" s="465"/>
      <c r="AA90" s="465"/>
      <c r="AB90" s="465"/>
      <c r="AC90" s="465"/>
      <c r="AD90" s="465"/>
      <c r="AE90" s="465"/>
      <c r="AF90" s="465"/>
      <c r="AG90" s="465"/>
      <c r="AH90" s="465"/>
      <c r="AI90" s="465"/>
      <c r="AJ90" s="465"/>
      <c r="AK90" s="465"/>
      <c r="AL90" s="465"/>
      <c r="AM90" s="465"/>
      <c r="AN90" s="465"/>
      <c r="AO90" s="465"/>
      <c r="AP90" s="465"/>
      <c r="AQ90" s="465"/>
      <c r="AR90" s="465"/>
      <c r="AS90" s="465"/>
      <c r="AT90" s="465"/>
      <c r="AU90" s="465"/>
      <c r="AV90" s="465"/>
      <c r="AW90" s="465"/>
      <c r="AX90" s="465"/>
      <c r="AY90" s="465"/>
      <c r="AZ90" s="465"/>
      <c r="BA90" s="465"/>
      <c r="BB90" s="465"/>
      <c r="BC90" s="465"/>
      <c r="BD90" s="465"/>
      <c r="BE90" s="465"/>
      <c r="BF90" s="465"/>
      <c r="BG90" s="465"/>
      <c r="BH90" s="465"/>
      <c r="BI90" s="465"/>
      <c r="BJ90" s="465"/>
      <c r="BK90" s="465"/>
      <c r="BL90" s="465"/>
      <c r="BM90" s="465"/>
      <c r="BN90" s="465"/>
      <c r="BO90" s="465"/>
      <c r="BP90" s="465"/>
      <c r="BQ90" s="465"/>
      <c r="BR90" s="465"/>
      <c r="BS90" s="465"/>
      <c r="BT90" s="465"/>
      <c r="BU90" s="465"/>
      <c r="BV90" s="465"/>
      <c r="BW90" s="465"/>
      <c r="BX90" s="465"/>
      <c r="BY90" s="465"/>
      <c r="BZ90" s="465"/>
      <c r="CA90" s="465"/>
      <c r="CB90" s="465"/>
      <c r="CC90" s="465"/>
      <c r="CD90" s="465"/>
      <c r="CE90" s="465"/>
      <c r="CF90" s="465"/>
      <c r="CG90" s="465"/>
      <c r="CH90" s="465"/>
      <c r="CI90" s="465"/>
      <c r="CJ90" s="465"/>
      <c r="CK90" s="465"/>
      <c r="CL90" s="465"/>
      <c r="CM90" s="465"/>
      <c r="CN90" s="465"/>
      <c r="CO90" s="465"/>
      <c r="CP90" s="465"/>
      <c r="CQ90" s="465"/>
      <c r="CR90" s="465"/>
      <c r="CS90" s="465"/>
      <c r="CT90" s="465"/>
      <c r="CU90" s="465"/>
      <c r="CV90" s="465"/>
      <c r="CW90" s="465"/>
      <c r="CX90" s="465"/>
      <c r="CY90" s="465"/>
      <c r="CZ90" s="465"/>
      <c r="DA90" s="465"/>
      <c r="DB90" s="465"/>
      <c r="DC90" s="465"/>
      <c r="DD90" s="465"/>
      <c r="DE90" s="465"/>
      <c r="DF90" s="465"/>
      <c r="DG90" s="465"/>
      <c r="DH90" s="465"/>
      <c r="DI90" s="465"/>
      <c r="DJ90" s="465"/>
      <c r="DK90" s="465"/>
      <c r="DL90" s="465"/>
      <c r="DM90" s="465"/>
      <c r="DN90" s="465"/>
      <c r="DO90" s="465"/>
      <c r="DP90" s="465"/>
      <c r="DQ90" s="465"/>
      <c r="DR90" s="465"/>
      <c r="DS90" s="465"/>
      <c r="DT90" s="465"/>
      <c r="DU90" s="465"/>
      <c r="DV90" s="465"/>
      <c r="DW90" s="465"/>
      <c r="DX90" s="465"/>
      <c r="DY90" s="465"/>
      <c r="DZ90" s="465"/>
      <c r="EA90" s="465"/>
      <c r="EB90" s="465"/>
      <c r="EC90" s="465"/>
      <c r="ED90" s="465"/>
      <c r="EE90" s="465"/>
      <c r="EF90" s="465"/>
      <c r="EG90" s="465"/>
      <c r="EH90" s="465"/>
      <c r="EI90" s="465"/>
      <c r="EJ90" s="465"/>
      <c r="EK90" s="465"/>
      <c r="EL90" s="465"/>
      <c r="EM90" s="465"/>
      <c r="EN90" s="465"/>
      <c r="EO90" s="465"/>
      <c r="EP90" s="465"/>
      <c r="EQ90" s="465"/>
      <c r="ER90" s="465"/>
      <c r="ES90" s="465"/>
      <c r="ET90" s="465"/>
      <c r="EU90" s="465"/>
      <c r="EV90" s="465"/>
      <c r="EW90" s="465"/>
      <c r="EX90" s="465"/>
      <c r="EY90" s="465"/>
      <c r="EZ90" s="465"/>
      <c r="FA90" s="465"/>
      <c r="FB90" s="465"/>
      <c r="FC90" s="465"/>
      <c r="FD90" s="465"/>
      <c r="FE90" s="465"/>
      <c r="FF90" s="465"/>
      <c r="FG90" s="465"/>
      <c r="FH90" s="465"/>
      <c r="FI90" s="465"/>
      <c r="FJ90" s="465"/>
      <c r="FK90" s="465"/>
      <c r="FL90" s="465"/>
      <c r="FM90" s="465"/>
      <c r="FN90" s="465"/>
      <c r="FO90" s="465"/>
      <c r="FP90" s="465"/>
      <c r="FQ90" s="465"/>
      <c r="FR90" s="465"/>
      <c r="FS90" s="465"/>
      <c r="FT90" s="465"/>
      <c r="FU90" s="465"/>
      <c r="FV90" s="465"/>
      <c r="FW90" s="465"/>
      <c r="FX90" s="465"/>
      <c r="FY90" s="465"/>
      <c r="FZ90" s="465"/>
      <c r="GA90" s="465"/>
      <c r="GB90" s="465"/>
      <c r="GC90" s="465"/>
      <c r="GD90" s="465"/>
      <c r="GE90" s="465"/>
      <c r="GF90" s="465"/>
      <c r="GG90" s="465"/>
      <c r="GH90" s="466"/>
      <c r="GI90" s="42"/>
    </row>
    <row r="91" spans="1:191" x14ac:dyDescent="0.3">
      <c r="A91" s="467" t="s">
        <v>206</v>
      </c>
      <c r="B91" s="468"/>
      <c r="C91" s="468"/>
      <c r="D91" s="468"/>
      <c r="E91" s="468"/>
      <c r="F91" s="468"/>
      <c r="G91" s="468"/>
      <c r="H91" s="468"/>
      <c r="I91" s="468"/>
      <c r="J91" s="469"/>
      <c r="K91" s="473" t="s">
        <v>207</v>
      </c>
      <c r="L91" s="305"/>
      <c r="M91" s="305"/>
      <c r="N91" s="305"/>
      <c r="O91" s="305"/>
      <c r="P91" s="305"/>
      <c r="Q91" s="305"/>
      <c r="R91" s="305"/>
      <c r="S91" s="305"/>
      <c r="T91" s="305"/>
      <c r="U91" s="305"/>
      <c r="V91" s="305"/>
      <c r="W91" s="305"/>
      <c r="X91" s="305"/>
      <c r="Y91" s="305"/>
      <c r="Z91" s="305"/>
      <c r="AA91" s="305"/>
      <c r="AB91" s="305"/>
      <c r="AC91" s="305"/>
      <c r="AD91" s="305"/>
      <c r="AE91" s="305"/>
      <c r="AF91" s="305"/>
      <c r="AG91" s="305"/>
      <c r="AH91" s="305"/>
      <c r="AI91" s="305"/>
      <c r="AJ91" s="306"/>
      <c r="AK91" s="473" t="s">
        <v>208</v>
      </c>
      <c r="AL91" s="305"/>
      <c r="AM91" s="305"/>
      <c r="AN91" s="305"/>
      <c r="AO91" s="305"/>
      <c r="AP91" s="305"/>
      <c r="AQ91" s="305"/>
      <c r="AR91" s="305"/>
      <c r="AS91" s="305"/>
      <c r="AT91" s="305"/>
      <c r="AU91" s="305"/>
      <c r="AV91" s="305"/>
      <c r="AW91" s="305"/>
      <c r="AX91" s="305"/>
      <c r="AY91" s="305"/>
      <c r="AZ91" s="305"/>
      <c r="BA91" s="305"/>
      <c r="BB91" s="305"/>
      <c r="BC91" s="305"/>
      <c r="BD91" s="305"/>
      <c r="BE91" s="305"/>
      <c r="BF91" s="305"/>
      <c r="BG91" s="305"/>
      <c r="BH91" s="305"/>
      <c r="BI91" s="305"/>
      <c r="BJ91" s="306"/>
      <c r="BK91" s="473" t="s">
        <v>209</v>
      </c>
      <c r="BL91" s="305"/>
      <c r="BM91" s="305"/>
      <c r="BN91" s="305"/>
      <c r="BO91" s="305"/>
      <c r="BP91" s="305"/>
      <c r="BQ91" s="305"/>
      <c r="BR91" s="305"/>
      <c r="BS91" s="305"/>
      <c r="BT91" s="305"/>
      <c r="BU91" s="305"/>
      <c r="BV91" s="305"/>
      <c r="BW91" s="305"/>
      <c r="BX91" s="305"/>
      <c r="BY91" s="305"/>
      <c r="BZ91" s="305"/>
      <c r="CA91" s="305"/>
      <c r="CB91" s="305"/>
      <c r="CC91" s="305"/>
      <c r="CD91" s="305"/>
      <c r="CE91" s="305"/>
      <c r="CF91" s="305"/>
      <c r="CG91" s="305"/>
      <c r="CH91" s="305"/>
      <c r="CI91" s="305"/>
      <c r="CJ91" s="305"/>
      <c r="CK91" s="305"/>
      <c r="CL91" s="306"/>
      <c r="CM91" s="475" t="s">
        <v>210</v>
      </c>
      <c r="CN91" s="476"/>
      <c r="CO91" s="476"/>
      <c r="CP91" s="476"/>
      <c r="CQ91" s="476"/>
      <c r="CR91" s="476"/>
      <c r="CS91" s="476"/>
      <c r="CT91" s="476"/>
      <c r="CU91" s="476"/>
      <c r="CV91" s="476"/>
      <c r="CW91" s="476"/>
      <c r="CX91" s="476"/>
      <c r="CY91" s="476"/>
      <c r="CZ91" s="476"/>
      <c r="DA91" s="476"/>
      <c r="DB91" s="476"/>
      <c r="DC91" s="476"/>
      <c r="DD91" s="476"/>
      <c r="DE91" s="476"/>
      <c r="DF91" s="476"/>
      <c r="DG91" s="476"/>
      <c r="DH91" s="476"/>
      <c r="DI91" s="476"/>
      <c r="DJ91" s="476"/>
      <c r="DK91" s="476"/>
      <c r="DL91" s="476"/>
      <c r="DM91" s="476"/>
      <c r="DN91" s="476"/>
      <c r="DO91" s="476"/>
      <c r="DP91" s="476"/>
      <c r="DQ91" s="476"/>
      <c r="DR91" s="476"/>
      <c r="DS91" s="476"/>
      <c r="DT91" s="476"/>
      <c r="DU91" s="476"/>
      <c r="DV91" s="476"/>
      <c r="DW91" s="476"/>
      <c r="DX91" s="476"/>
      <c r="DY91" s="476"/>
      <c r="DZ91" s="476"/>
      <c r="EA91" s="477"/>
      <c r="EB91" s="478" t="s">
        <v>211</v>
      </c>
      <c r="EC91" s="479"/>
      <c r="ED91" s="479"/>
      <c r="EE91" s="479"/>
      <c r="EF91" s="479"/>
      <c r="EG91" s="479"/>
      <c r="EH91" s="479"/>
      <c r="EI91" s="479"/>
      <c r="EJ91" s="479"/>
      <c r="EK91" s="479"/>
      <c r="EL91" s="479"/>
      <c r="EM91" s="479"/>
      <c r="EN91" s="479"/>
      <c r="EO91" s="479"/>
      <c r="EP91" s="479"/>
      <c r="EQ91" s="479"/>
      <c r="ER91" s="479"/>
      <c r="ES91" s="479"/>
      <c r="ET91" s="479"/>
      <c r="EU91" s="479"/>
      <c r="EV91" s="479"/>
      <c r="EW91" s="479"/>
      <c r="EX91" s="479"/>
      <c r="EY91" s="479"/>
      <c r="EZ91" s="479"/>
      <c r="FA91" s="479"/>
      <c r="FB91" s="479"/>
      <c r="FC91" s="479"/>
      <c r="FD91" s="480"/>
      <c r="FE91" s="473" t="s">
        <v>212</v>
      </c>
      <c r="FF91" s="305"/>
      <c r="FG91" s="305"/>
      <c r="FH91" s="305"/>
      <c r="FI91" s="305"/>
      <c r="FJ91" s="305"/>
      <c r="FK91" s="305"/>
      <c r="FL91" s="305"/>
      <c r="FM91" s="305"/>
      <c r="FN91" s="305"/>
      <c r="FO91" s="305"/>
      <c r="FP91" s="305"/>
      <c r="FQ91" s="305"/>
      <c r="FR91" s="305"/>
      <c r="FS91" s="306"/>
      <c r="FT91" s="473" t="s">
        <v>213</v>
      </c>
      <c r="FU91" s="305"/>
      <c r="FV91" s="305"/>
      <c r="FW91" s="305"/>
      <c r="FX91" s="305"/>
      <c r="FY91" s="305"/>
      <c r="FZ91" s="305"/>
      <c r="GA91" s="305"/>
      <c r="GB91" s="305"/>
      <c r="GC91" s="305"/>
      <c r="GD91" s="305"/>
      <c r="GE91" s="305"/>
      <c r="GF91" s="305"/>
      <c r="GG91" s="305"/>
      <c r="GH91" s="481"/>
      <c r="GI91" s="42"/>
    </row>
    <row r="92" spans="1:191" x14ac:dyDescent="0.3">
      <c r="A92" s="470"/>
      <c r="B92" s="471"/>
      <c r="C92" s="471"/>
      <c r="D92" s="471"/>
      <c r="E92" s="471"/>
      <c r="F92" s="471"/>
      <c r="G92" s="471"/>
      <c r="H92" s="471"/>
      <c r="I92" s="471"/>
      <c r="J92" s="472"/>
      <c r="K92" s="474"/>
      <c r="L92" s="311"/>
      <c r="M92" s="311"/>
      <c r="N92" s="311"/>
      <c r="O92" s="311"/>
      <c r="P92" s="311"/>
      <c r="Q92" s="311"/>
      <c r="R92" s="311"/>
      <c r="S92" s="311"/>
      <c r="T92" s="311"/>
      <c r="U92" s="311"/>
      <c r="V92" s="311"/>
      <c r="W92" s="311"/>
      <c r="X92" s="311"/>
      <c r="Y92" s="311"/>
      <c r="Z92" s="311"/>
      <c r="AA92" s="311"/>
      <c r="AB92" s="311"/>
      <c r="AC92" s="311"/>
      <c r="AD92" s="311"/>
      <c r="AE92" s="311"/>
      <c r="AF92" s="311"/>
      <c r="AG92" s="311"/>
      <c r="AH92" s="311"/>
      <c r="AI92" s="311"/>
      <c r="AJ92" s="312"/>
      <c r="AK92" s="474"/>
      <c r="AL92" s="311"/>
      <c r="AM92" s="311"/>
      <c r="AN92" s="311"/>
      <c r="AO92" s="311"/>
      <c r="AP92" s="311"/>
      <c r="AQ92" s="311"/>
      <c r="AR92" s="311"/>
      <c r="AS92" s="311"/>
      <c r="AT92" s="311"/>
      <c r="AU92" s="311"/>
      <c r="AV92" s="311"/>
      <c r="AW92" s="311"/>
      <c r="AX92" s="311"/>
      <c r="AY92" s="311"/>
      <c r="AZ92" s="311"/>
      <c r="BA92" s="311"/>
      <c r="BB92" s="311"/>
      <c r="BC92" s="311"/>
      <c r="BD92" s="311"/>
      <c r="BE92" s="311"/>
      <c r="BF92" s="311"/>
      <c r="BG92" s="311"/>
      <c r="BH92" s="311"/>
      <c r="BI92" s="311"/>
      <c r="BJ92" s="312"/>
      <c r="BK92" s="474"/>
      <c r="BL92" s="311"/>
      <c r="BM92" s="311"/>
      <c r="BN92" s="311"/>
      <c r="BO92" s="311"/>
      <c r="BP92" s="311"/>
      <c r="BQ92" s="311"/>
      <c r="BR92" s="311"/>
      <c r="BS92" s="311"/>
      <c r="BT92" s="311"/>
      <c r="BU92" s="311"/>
      <c r="BV92" s="311"/>
      <c r="BW92" s="311"/>
      <c r="BX92" s="311"/>
      <c r="BY92" s="311"/>
      <c r="BZ92" s="311"/>
      <c r="CA92" s="311"/>
      <c r="CB92" s="311"/>
      <c r="CC92" s="311"/>
      <c r="CD92" s="311"/>
      <c r="CE92" s="311"/>
      <c r="CF92" s="311"/>
      <c r="CG92" s="311"/>
      <c r="CH92" s="311"/>
      <c r="CI92" s="311"/>
      <c r="CJ92" s="311"/>
      <c r="CK92" s="311"/>
      <c r="CL92" s="312"/>
      <c r="CM92" s="478" t="s">
        <v>214</v>
      </c>
      <c r="CN92" s="479"/>
      <c r="CO92" s="479"/>
      <c r="CP92" s="479"/>
      <c r="CQ92" s="479"/>
      <c r="CR92" s="479"/>
      <c r="CS92" s="479"/>
      <c r="CT92" s="479"/>
      <c r="CU92" s="479"/>
      <c r="CV92" s="479"/>
      <c r="CW92" s="479"/>
      <c r="CX92" s="479"/>
      <c r="CY92" s="479"/>
      <c r="CZ92" s="479"/>
      <c r="DA92" s="479"/>
      <c r="DB92" s="479"/>
      <c r="DC92" s="479"/>
      <c r="DD92" s="479"/>
      <c r="DE92" s="479"/>
      <c r="DF92" s="479"/>
      <c r="DG92" s="479"/>
      <c r="DH92" s="479"/>
      <c r="DI92" s="479"/>
      <c r="DJ92" s="479"/>
      <c r="DK92" s="479"/>
      <c r="DL92" s="479"/>
      <c r="DM92" s="479"/>
      <c r="DN92" s="479"/>
      <c r="DO92" s="479"/>
      <c r="DP92" s="479"/>
      <c r="DQ92" s="479"/>
      <c r="DR92" s="479"/>
      <c r="DS92" s="479"/>
      <c r="DT92" s="480"/>
      <c r="DU92" s="475" t="s">
        <v>215</v>
      </c>
      <c r="DV92" s="476"/>
      <c r="DW92" s="476"/>
      <c r="DX92" s="476"/>
      <c r="DY92" s="476"/>
      <c r="DZ92" s="476"/>
      <c r="EA92" s="477"/>
      <c r="EB92" s="475" t="s">
        <v>216</v>
      </c>
      <c r="EC92" s="476"/>
      <c r="ED92" s="476"/>
      <c r="EE92" s="476"/>
      <c r="EF92" s="476"/>
      <c r="EG92" s="476"/>
      <c r="EH92" s="476"/>
      <c r="EI92" s="476"/>
      <c r="EJ92" s="476"/>
      <c r="EK92" s="476"/>
      <c r="EL92" s="476"/>
      <c r="EM92" s="476"/>
      <c r="EN92" s="476"/>
      <c r="EO92" s="476"/>
      <c r="EP92" s="477"/>
      <c r="EQ92" s="475" t="s">
        <v>217</v>
      </c>
      <c r="ER92" s="476"/>
      <c r="ES92" s="476"/>
      <c r="ET92" s="476"/>
      <c r="EU92" s="476"/>
      <c r="EV92" s="476"/>
      <c r="EW92" s="476"/>
      <c r="EX92" s="476"/>
      <c r="EY92" s="476"/>
      <c r="EZ92" s="476"/>
      <c r="FA92" s="476"/>
      <c r="FB92" s="476"/>
      <c r="FC92" s="476"/>
      <c r="FD92" s="476"/>
      <c r="FE92" s="474"/>
      <c r="FF92" s="311"/>
      <c r="FG92" s="311"/>
      <c r="FH92" s="311"/>
      <c r="FI92" s="311"/>
      <c r="FJ92" s="311"/>
      <c r="FK92" s="311"/>
      <c r="FL92" s="311"/>
      <c r="FM92" s="311"/>
      <c r="FN92" s="311"/>
      <c r="FO92" s="311"/>
      <c r="FP92" s="311"/>
      <c r="FQ92" s="311"/>
      <c r="FR92" s="311"/>
      <c r="FS92" s="312"/>
      <c r="FT92" s="474"/>
      <c r="FU92" s="311"/>
      <c r="FV92" s="311"/>
      <c r="FW92" s="311"/>
      <c r="FX92" s="311"/>
      <c r="FY92" s="311"/>
      <c r="FZ92" s="311"/>
      <c r="GA92" s="311"/>
      <c r="GB92" s="311"/>
      <c r="GC92" s="311"/>
      <c r="GD92" s="311"/>
      <c r="GE92" s="311"/>
      <c r="GF92" s="311"/>
      <c r="GG92" s="311"/>
      <c r="GH92" s="482"/>
      <c r="GI92" s="42"/>
    </row>
    <row r="93" spans="1:191" ht="7.95" customHeight="1" thickBot="1" x14ac:dyDescent="0.35">
      <c r="A93" s="413">
        <v>10</v>
      </c>
      <c r="B93" s="416"/>
      <c r="C93" s="416"/>
      <c r="D93" s="416"/>
      <c r="E93" s="416"/>
      <c r="F93" s="416"/>
      <c r="G93" s="416"/>
      <c r="H93" s="416"/>
      <c r="I93" s="416"/>
      <c r="J93" s="501"/>
      <c r="K93" s="483">
        <v>11</v>
      </c>
      <c r="L93" s="416"/>
      <c r="M93" s="416"/>
      <c r="N93" s="416"/>
      <c r="O93" s="416"/>
      <c r="P93" s="416"/>
      <c r="Q93" s="416"/>
      <c r="R93" s="416"/>
      <c r="S93" s="416"/>
      <c r="T93" s="416"/>
      <c r="U93" s="416"/>
      <c r="V93" s="416"/>
      <c r="W93" s="416"/>
      <c r="X93" s="416"/>
      <c r="Y93" s="416"/>
      <c r="Z93" s="416"/>
      <c r="AA93" s="416"/>
      <c r="AB93" s="416"/>
      <c r="AC93" s="416"/>
      <c r="AD93" s="416"/>
      <c r="AE93" s="416"/>
      <c r="AF93" s="416"/>
      <c r="AG93" s="416"/>
      <c r="AH93" s="416"/>
      <c r="AI93" s="416"/>
      <c r="AJ93" s="501"/>
      <c r="AK93" s="483">
        <v>12</v>
      </c>
      <c r="AL93" s="416"/>
      <c r="AM93" s="416"/>
      <c r="AN93" s="416"/>
      <c r="AO93" s="416"/>
      <c r="AP93" s="416"/>
      <c r="AQ93" s="416"/>
      <c r="AR93" s="416"/>
      <c r="AS93" s="416"/>
      <c r="AT93" s="416"/>
      <c r="AU93" s="416"/>
      <c r="AV93" s="416"/>
      <c r="AW93" s="416"/>
      <c r="AX93" s="416"/>
      <c r="AY93" s="416"/>
      <c r="AZ93" s="416"/>
      <c r="BA93" s="416"/>
      <c r="BB93" s="416"/>
      <c r="BC93" s="416"/>
      <c r="BD93" s="416"/>
      <c r="BE93" s="416"/>
      <c r="BF93" s="416"/>
      <c r="BG93" s="416"/>
      <c r="BH93" s="416"/>
      <c r="BI93" s="416"/>
      <c r="BJ93" s="501"/>
      <c r="BK93" s="483">
        <v>6</v>
      </c>
      <c r="BL93" s="416"/>
      <c r="BM93" s="416"/>
      <c r="BN93" s="416"/>
      <c r="BO93" s="416"/>
      <c r="BP93" s="416"/>
      <c r="BQ93" s="416"/>
      <c r="BR93" s="416"/>
      <c r="BS93" s="416"/>
      <c r="BT93" s="416"/>
      <c r="BU93" s="416"/>
      <c r="BV93" s="416"/>
      <c r="BW93" s="416"/>
      <c r="BX93" s="416"/>
      <c r="BY93" s="416"/>
      <c r="BZ93" s="416"/>
      <c r="CA93" s="416"/>
      <c r="CB93" s="416"/>
      <c r="CC93" s="416"/>
      <c r="CD93" s="416"/>
      <c r="CE93" s="416"/>
      <c r="CF93" s="416"/>
      <c r="CG93" s="416"/>
      <c r="CH93" s="416"/>
      <c r="CI93" s="416"/>
      <c r="CJ93" s="416"/>
      <c r="CK93" s="416"/>
      <c r="CL93" s="501"/>
      <c r="CM93" s="483">
        <v>14</v>
      </c>
      <c r="CN93" s="416"/>
      <c r="CO93" s="416"/>
      <c r="CP93" s="416"/>
      <c r="CQ93" s="416"/>
      <c r="CR93" s="416"/>
      <c r="CS93" s="416"/>
      <c r="CT93" s="416"/>
      <c r="CU93" s="416"/>
      <c r="CV93" s="416"/>
      <c r="CW93" s="416"/>
      <c r="CX93" s="416"/>
      <c r="CY93" s="416"/>
      <c r="CZ93" s="416"/>
      <c r="DA93" s="416"/>
      <c r="DB93" s="416"/>
      <c r="DC93" s="416"/>
      <c r="DD93" s="416"/>
      <c r="DE93" s="416"/>
      <c r="DF93" s="416"/>
      <c r="DG93" s="416"/>
      <c r="DH93" s="416"/>
      <c r="DI93" s="416"/>
      <c r="DJ93" s="416"/>
      <c r="DK93" s="416"/>
      <c r="DL93" s="416"/>
      <c r="DM93" s="416"/>
      <c r="DN93" s="416"/>
      <c r="DO93" s="416"/>
      <c r="DP93" s="416"/>
      <c r="DQ93" s="416"/>
      <c r="DR93" s="416"/>
      <c r="DS93" s="416"/>
      <c r="DT93" s="501"/>
      <c r="DU93" s="483">
        <v>15</v>
      </c>
      <c r="DV93" s="416"/>
      <c r="DW93" s="416"/>
      <c r="DX93" s="416"/>
      <c r="DY93" s="416"/>
      <c r="DZ93" s="416"/>
      <c r="EA93" s="501"/>
      <c r="EB93" s="483">
        <v>16</v>
      </c>
      <c r="EC93" s="416"/>
      <c r="ED93" s="416"/>
      <c r="EE93" s="416"/>
      <c r="EF93" s="416"/>
      <c r="EG93" s="416"/>
      <c r="EH93" s="416"/>
      <c r="EI93" s="416"/>
      <c r="EJ93" s="416"/>
      <c r="EK93" s="416"/>
      <c r="EL93" s="416"/>
      <c r="EM93" s="416"/>
      <c r="EN93" s="416"/>
      <c r="EO93" s="416"/>
      <c r="EP93" s="501"/>
      <c r="EQ93" s="483">
        <v>17</v>
      </c>
      <c r="ER93" s="416"/>
      <c r="ES93" s="416"/>
      <c r="ET93" s="416"/>
      <c r="EU93" s="416"/>
      <c r="EV93" s="416"/>
      <c r="EW93" s="416"/>
      <c r="EX93" s="416"/>
      <c r="EY93" s="416"/>
      <c r="EZ93" s="416"/>
      <c r="FA93" s="416"/>
      <c r="FB93" s="416"/>
      <c r="FC93" s="416"/>
      <c r="FD93" s="501"/>
      <c r="FE93" s="483">
        <v>18</v>
      </c>
      <c r="FF93" s="416"/>
      <c r="FG93" s="416"/>
      <c r="FH93" s="416"/>
      <c r="FI93" s="416"/>
      <c r="FJ93" s="416"/>
      <c r="FK93" s="416"/>
      <c r="FL93" s="416"/>
      <c r="FM93" s="416"/>
      <c r="FN93" s="416"/>
      <c r="FO93" s="416"/>
      <c r="FP93" s="416"/>
      <c r="FQ93" s="416"/>
      <c r="FR93" s="416"/>
      <c r="FS93" s="501"/>
      <c r="FT93" s="483">
        <v>19</v>
      </c>
      <c r="FU93" s="416"/>
      <c r="FV93" s="416"/>
      <c r="FW93" s="416"/>
      <c r="FX93" s="416"/>
      <c r="FY93" s="416"/>
      <c r="FZ93" s="416"/>
      <c r="GA93" s="416"/>
      <c r="GB93" s="416"/>
      <c r="GC93" s="416"/>
      <c r="GD93" s="416"/>
      <c r="GE93" s="416"/>
      <c r="GF93" s="416"/>
      <c r="GG93" s="416"/>
      <c r="GH93" s="417"/>
      <c r="GI93" s="42"/>
    </row>
    <row r="94" spans="1:191" ht="13.2" customHeight="1" thickTop="1" x14ac:dyDescent="0.3">
      <c r="A94" s="484" t="s">
        <v>218</v>
      </c>
      <c r="B94" s="485"/>
      <c r="C94" s="485"/>
      <c r="D94" s="485"/>
      <c r="E94" s="485"/>
      <c r="F94" s="485"/>
      <c r="G94" s="485"/>
      <c r="H94" s="485"/>
      <c r="I94" s="485"/>
      <c r="J94" s="486"/>
      <c r="K94" s="487"/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9"/>
      <c r="AK94" s="487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8"/>
      <c r="AY94" s="488"/>
      <c r="AZ94" s="488"/>
      <c r="BA94" s="488"/>
      <c r="BB94" s="488"/>
      <c r="BC94" s="488"/>
      <c r="BD94" s="488"/>
      <c r="BE94" s="488"/>
      <c r="BF94" s="488"/>
      <c r="BG94" s="488"/>
      <c r="BH94" s="488"/>
      <c r="BI94" s="488"/>
      <c r="BJ94" s="489"/>
      <c r="BK94" s="487"/>
      <c r="BL94" s="488"/>
      <c r="BM94" s="488"/>
      <c r="BN94" s="488"/>
      <c r="BO94" s="488"/>
      <c r="BP94" s="488"/>
      <c r="BQ94" s="488"/>
      <c r="BR94" s="488"/>
      <c r="BS94" s="488"/>
      <c r="BT94" s="488"/>
      <c r="BU94" s="488"/>
      <c r="BV94" s="488"/>
      <c r="BW94" s="488"/>
      <c r="BX94" s="488"/>
      <c r="BY94" s="488"/>
      <c r="BZ94" s="488"/>
      <c r="CA94" s="488"/>
      <c r="CB94" s="488"/>
      <c r="CC94" s="488"/>
      <c r="CD94" s="488"/>
      <c r="CE94" s="488"/>
      <c r="CF94" s="488"/>
      <c r="CG94" s="488"/>
      <c r="CH94" s="488"/>
      <c r="CI94" s="488"/>
      <c r="CJ94" s="488"/>
      <c r="CK94" s="488"/>
      <c r="CL94" s="489"/>
      <c r="CM94" s="487"/>
      <c r="CN94" s="488"/>
      <c r="CO94" s="488"/>
      <c r="CP94" s="488"/>
      <c r="CQ94" s="488"/>
      <c r="CR94" s="488"/>
      <c r="CS94" s="488"/>
      <c r="CT94" s="488"/>
      <c r="CU94" s="488"/>
      <c r="CV94" s="488"/>
      <c r="CW94" s="488"/>
      <c r="CX94" s="488"/>
      <c r="CY94" s="488"/>
      <c r="CZ94" s="488"/>
      <c r="DA94" s="488"/>
      <c r="DB94" s="488"/>
      <c r="DC94" s="488"/>
      <c r="DD94" s="488"/>
      <c r="DE94" s="488"/>
      <c r="DF94" s="488"/>
      <c r="DG94" s="488"/>
      <c r="DH94" s="488"/>
      <c r="DI94" s="488"/>
      <c r="DJ94" s="488"/>
      <c r="DK94" s="488"/>
      <c r="DL94" s="488"/>
      <c r="DM94" s="488"/>
      <c r="DN94" s="488"/>
      <c r="DO94" s="488"/>
      <c r="DP94" s="488"/>
      <c r="DQ94" s="488"/>
      <c r="DR94" s="488"/>
      <c r="DS94" s="488"/>
      <c r="DT94" s="490"/>
      <c r="DU94" s="491"/>
      <c r="DV94" s="492"/>
      <c r="DW94" s="492"/>
      <c r="DX94" s="492"/>
      <c r="DY94" s="492"/>
      <c r="DZ94" s="492"/>
      <c r="EA94" s="493"/>
      <c r="EB94" s="494"/>
      <c r="EC94" s="492"/>
      <c r="ED94" s="492"/>
      <c r="EE94" s="492"/>
      <c r="EF94" s="492"/>
      <c r="EG94" s="492"/>
      <c r="EH94" s="492"/>
      <c r="EI94" s="492"/>
      <c r="EJ94" s="492"/>
      <c r="EK94" s="492"/>
      <c r="EL94" s="492"/>
      <c r="EM94" s="492"/>
      <c r="EN94" s="492"/>
      <c r="EO94" s="492"/>
      <c r="EP94" s="493"/>
      <c r="EQ94" s="494"/>
      <c r="ER94" s="492"/>
      <c r="ES94" s="492"/>
      <c r="ET94" s="492"/>
      <c r="EU94" s="492"/>
      <c r="EV94" s="492"/>
      <c r="EW94" s="492"/>
      <c r="EX94" s="492"/>
      <c r="EY94" s="492"/>
      <c r="EZ94" s="492"/>
      <c r="FA94" s="492"/>
      <c r="FB94" s="492"/>
      <c r="FC94" s="492"/>
      <c r="FD94" s="493"/>
      <c r="FE94" s="495"/>
      <c r="FF94" s="496"/>
      <c r="FG94" s="496"/>
      <c r="FH94" s="496"/>
      <c r="FI94" s="496"/>
      <c r="FJ94" s="496"/>
      <c r="FK94" s="496"/>
      <c r="FL94" s="496"/>
      <c r="FM94" s="496"/>
      <c r="FN94" s="496"/>
      <c r="FO94" s="496"/>
      <c r="FP94" s="496"/>
      <c r="FQ94" s="496"/>
      <c r="FR94" s="496"/>
      <c r="FS94" s="497"/>
      <c r="FT94" s="498"/>
      <c r="FU94" s="499"/>
      <c r="FV94" s="499"/>
      <c r="FW94" s="499"/>
      <c r="FX94" s="499"/>
      <c r="FY94" s="499"/>
      <c r="FZ94" s="499"/>
      <c r="GA94" s="499"/>
      <c r="GB94" s="499"/>
      <c r="GC94" s="499"/>
      <c r="GD94" s="499"/>
      <c r="GE94" s="499"/>
      <c r="GF94" s="499"/>
      <c r="GG94" s="499"/>
      <c r="GH94" s="500"/>
      <c r="GI94" s="42"/>
    </row>
    <row r="95" spans="1:191" ht="13.2" customHeight="1" thickBot="1" x14ac:dyDescent="0.35">
      <c r="A95" s="502" t="s">
        <v>219</v>
      </c>
      <c r="B95" s="503"/>
      <c r="C95" s="503"/>
      <c r="D95" s="503"/>
      <c r="E95" s="503"/>
      <c r="F95" s="503"/>
      <c r="G95" s="503"/>
      <c r="H95" s="503"/>
      <c r="I95" s="503"/>
      <c r="J95" s="504"/>
      <c r="K95" s="505"/>
      <c r="L95" s="506"/>
      <c r="M95" s="506"/>
      <c r="N95" s="506"/>
      <c r="O95" s="506"/>
      <c r="P95" s="506"/>
      <c r="Q95" s="506"/>
      <c r="R95" s="506"/>
      <c r="S95" s="506"/>
      <c r="T95" s="506"/>
      <c r="U95" s="506"/>
      <c r="V95" s="506"/>
      <c r="W95" s="506"/>
      <c r="X95" s="506"/>
      <c r="Y95" s="506"/>
      <c r="Z95" s="506"/>
      <c r="AA95" s="506"/>
      <c r="AB95" s="506"/>
      <c r="AC95" s="506"/>
      <c r="AD95" s="506"/>
      <c r="AE95" s="506"/>
      <c r="AF95" s="506"/>
      <c r="AG95" s="506"/>
      <c r="AH95" s="506"/>
      <c r="AI95" s="506"/>
      <c r="AJ95" s="507"/>
      <c r="AK95" s="508"/>
      <c r="AL95" s="509"/>
      <c r="AM95" s="509"/>
      <c r="AN95" s="509"/>
      <c r="AO95" s="509"/>
      <c r="AP95" s="509"/>
      <c r="AQ95" s="509"/>
      <c r="AR95" s="509"/>
      <c r="AS95" s="509"/>
      <c r="AT95" s="509"/>
      <c r="AU95" s="509"/>
      <c r="AV95" s="509"/>
      <c r="AW95" s="509"/>
      <c r="AX95" s="509"/>
      <c r="AY95" s="509"/>
      <c r="AZ95" s="509"/>
      <c r="BA95" s="509"/>
      <c r="BB95" s="509"/>
      <c r="BC95" s="509"/>
      <c r="BD95" s="509"/>
      <c r="BE95" s="509"/>
      <c r="BF95" s="509"/>
      <c r="BG95" s="509"/>
      <c r="BH95" s="509"/>
      <c r="BI95" s="509"/>
      <c r="BJ95" s="510"/>
      <c r="BK95" s="508"/>
      <c r="BL95" s="509"/>
      <c r="BM95" s="509"/>
      <c r="BN95" s="509"/>
      <c r="BO95" s="509"/>
      <c r="BP95" s="509"/>
      <c r="BQ95" s="509"/>
      <c r="BR95" s="509"/>
      <c r="BS95" s="509"/>
      <c r="BT95" s="509"/>
      <c r="BU95" s="509"/>
      <c r="BV95" s="509"/>
      <c r="BW95" s="509"/>
      <c r="BX95" s="509"/>
      <c r="BY95" s="509"/>
      <c r="BZ95" s="509"/>
      <c r="CA95" s="509"/>
      <c r="CB95" s="509"/>
      <c r="CC95" s="509"/>
      <c r="CD95" s="509"/>
      <c r="CE95" s="509"/>
      <c r="CF95" s="509"/>
      <c r="CG95" s="509"/>
      <c r="CH95" s="509"/>
      <c r="CI95" s="509"/>
      <c r="CJ95" s="509"/>
      <c r="CK95" s="509"/>
      <c r="CL95" s="510"/>
      <c r="CM95" s="508"/>
      <c r="CN95" s="509"/>
      <c r="CO95" s="509"/>
      <c r="CP95" s="509"/>
      <c r="CQ95" s="509"/>
      <c r="CR95" s="509"/>
      <c r="CS95" s="509"/>
      <c r="CT95" s="509"/>
      <c r="CU95" s="509"/>
      <c r="CV95" s="509"/>
      <c r="CW95" s="509"/>
      <c r="CX95" s="509"/>
      <c r="CY95" s="509"/>
      <c r="CZ95" s="509"/>
      <c r="DA95" s="509"/>
      <c r="DB95" s="509"/>
      <c r="DC95" s="509"/>
      <c r="DD95" s="509"/>
      <c r="DE95" s="509"/>
      <c r="DF95" s="509"/>
      <c r="DG95" s="509"/>
      <c r="DH95" s="509"/>
      <c r="DI95" s="509"/>
      <c r="DJ95" s="509"/>
      <c r="DK95" s="509"/>
      <c r="DL95" s="509"/>
      <c r="DM95" s="509"/>
      <c r="DN95" s="509"/>
      <c r="DO95" s="509"/>
      <c r="DP95" s="509"/>
      <c r="DQ95" s="509"/>
      <c r="DR95" s="509"/>
      <c r="DS95" s="509"/>
      <c r="DT95" s="511"/>
      <c r="DU95" s="512"/>
      <c r="DV95" s="513"/>
      <c r="DW95" s="513"/>
      <c r="DX95" s="513"/>
      <c r="DY95" s="513"/>
      <c r="DZ95" s="513"/>
      <c r="EA95" s="514"/>
      <c r="EB95" s="515"/>
      <c r="EC95" s="513"/>
      <c r="ED95" s="513"/>
      <c r="EE95" s="513"/>
      <c r="EF95" s="513"/>
      <c r="EG95" s="513"/>
      <c r="EH95" s="513"/>
      <c r="EI95" s="513"/>
      <c r="EJ95" s="513"/>
      <c r="EK95" s="513"/>
      <c r="EL95" s="513"/>
      <c r="EM95" s="513"/>
      <c r="EN95" s="513"/>
      <c r="EO95" s="513"/>
      <c r="EP95" s="514"/>
      <c r="EQ95" s="515"/>
      <c r="ER95" s="513"/>
      <c r="ES95" s="513"/>
      <c r="ET95" s="513"/>
      <c r="EU95" s="513"/>
      <c r="EV95" s="513"/>
      <c r="EW95" s="513"/>
      <c r="EX95" s="513"/>
      <c r="EY95" s="513"/>
      <c r="EZ95" s="513"/>
      <c r="FA95" s="513"/>
      <c r="FB95" s="513"/>
      <c r="FC95" s="513"/>
      <c r="FD95" s="514"/>
      <c r="FE95" s="516"/>
      <c r="FF95" s="517"/>
      <c r="FG95" s="517"/>
      <c r="FH95" s="517"/>
      <c r="FI95" s="517"/>
      <c r="FJ95" s="517"/>
      <c r="FK95" s="517"/>
      <c r="FL95" s="517"/>
      <c r="FM95" s="517"/>
      <c r="FN95" s="517"/>
      <c r="FO95" s="517"/>
      <c r="FP95" s="517"/>
      <c r="FQ95" s="517"/>
      <c r="FR95" s="517"/>
      <c r="FS95" s="518"/>
      <c r="FT95" s="519"/>
      <c r="FU95" s="520"/>
      <c r="FV95" s="520"/>
      <c r="FW95" s="520"/>
      <c r="FX95" s="520"/>
      <c r="FY95" s="520"/>
      <c r="FZ95" s="520"/>
      <c r="GA95" s="520"/>
      <c r="GB95" s="520"/>
      <c r="GC95" s="520"/>
      <c r="GD95" s="520"/>
      <c r="GE95" s="520"/>
      <c r="GF95" s="520"/>
      <c r="GG95" s="520"/>
      <c r="GH95" s="521"/>
      <c r="GI95" s="42"/>
    </row>
    <row r="96" spans="1:191" ht="5.4" customHeight="1" thickTop="1" thickBot="1" x14ac:dyDescent="0.35">
      <c r="A96" s="78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  <c r="CY96" s="78"/>
      <c r="CZ96" s="78"/>
      <c r="DA96" s="78"/>
      <c r="DB96" s="78"/>
      <c r="DC96" s="78"/>
      <c r="DD96" s="78"/>
      <c r="DE96" s="78"/>
      <c r="DF96" s="78"/>
      <c r="DG96" s="78"/>
      <c r="DH96" s="78"/>
      <c r="DI96" s="78"/>
      <c r="DJ96" s="78"/>
      <c r="DK96" s="78"/>
      <c r="DL96" s="78"/>
      <c r="DM96" s="78"/>
      <c r="DN96" s="78"/>
      <c r="DO96" s="78"/>
      <c r="DP96" s="78"/>
      <c r="DQ96" s="78"/>
      <c r="DR96" s="78"/>
      <c r="DS96" s="78"/>
      <c r="DT96" s="78"/>
      <c r="DU96" s="78"/>
      <c r="DV96" s="78"/>
      <c r="DW96" s="78"/>
      <c r="DX96" s="78"/>
      <c r="DY96" s="78"/>
      <c r="DZ96" s="78"/>
      <c r="EA96" s="78"/>
      <c r="EB96" s="78"/>
      <c r="EC96" s="78"/>
      <c r="ED96" s="78"/>
      <c r="EE96" s="78"/>
      <c r="EF96" s="78"/>
      <c r="EG96" s="78"/>
      <c r="EH96" s="78"/>
      <c r="EI96" s="78"/>
      <c r="EJ96" s="78"/>
      <c r="EK96" s="78"/>
      <c r="EL96" s="78"/>
      <c r="EM96" s="78"/>
      <c r="EN96" s="78"/>
      <c r="EO96" s="78"/>
      <c r="EP96" s="78"/>
      <c r="EQ96" s="78"/>
      <c r="ER96" s="78"/>
      <c r="ES96" s="78"/>
      <c r="ET96" s="78"/>
      <c r="EU96" s="78"/>
      <c r="EV96" s="78"/>
      <c r="EW96" s="78"/>
      <c r="EX96" s="78"/>
      <c r="EY96" s="78"/>
      <c r="EZ96" s="78"/>
      <c r="FA96" s="78"/>
      <c r="FB96" s="78"/>
      <c r="FC96" s="78"/>
      <c r="FD96" s="78"/>
      <c r="FE96" s="78"/>
      <c r="FF96" s="78"/>
      <c r="FG96" s="78"/>
      <c r="FH96" s="78"/>
      <c r="FI96" s="78"/>
      <c r="FJ96" s="78"/>
      <c r="FK96" s="78"/>
      <c r="FL96" s="78"/>
      <c r="FM96" s="78"/>
      <c r="FN96" s="78"/>
      <c r="FO96" s="78"/>
      <c r="FP96" s="78"/>
      <c r="FQ96" s="78"/>
      <c r="FR96" s="78"/>
      <c r="FS96" s="78"/>
      <c r="FT96" s="78"/>
      <c r="FU96" s="78"/>
      <c r="FV96" s="78"/>
      <c r="FW96" s="78"/>
      <c r="FX96" s="78"/>
      <c r="FY96" s="78"/>
      <c r="FZ96" s="78"/>
      <c r="GA96" s="78"/>
      <c r="GB96" s="78"/>
      <c r="GC96" s="78"/>
      <c r="GD96" s="78"/>
      <c r="GE96" s="78"/>
      <c r="GF96" s="78"/>
      <c r="GG96" s="78"/>
      <c r="GH96" s="78"/>
      <c r="GI96" s="42"/>
    </row>
    <row r="97" spans="1:193" ht="15" thickTop="1" x14ac:dyDescent="0.3">
      <c r="A97" s="522" t="s">
        <v>220</v>
      </c>
      <c r="B97" s="523"/>
      <c r="C97" s="523"/>
      <c r="D97" s="523"/>
      <c r="E97" s="523"/>
      <c r="F97" s="523"/>
      <c r="G97" s="523"/>
      <c r="H97" s="523"/>
      <c r="I97" s="523"/>
      <c r="J97" s="523"/>
      <c r="K97" s="523"/>
      <c r="L97" s="523"/>
      <c r="M97" s="523"/>
      <c r="N97" s="523"/>
      <c r="O97" s="523"/>
      <c r="P97" s="523"/>
      <c r="Q97" s="523"/>
      <c r="R97" s="523"/>
      <c r="S97" s="523"/>
      <c r="T97" s="523"/>
      <c r="U97" s="523"/>
      <c r="V97" s="523"/>
      <c r="W97" s="523"/>
      <c r="X97" s="523"/>
      <c r="Y97" s="523"/>
      <c r="Z97" s="523"/>
      <c r="AA97" s="523"/>
      <c r="AB97" s="523"/>
      <c r="AC97" s="523"/>
      <c r="AD97" s="523"/>
      <c r="AE97" s="523"/>
      <c r="AF97" s="523"/>
      <c r="AG97" s="523"/>
      <c r="AH97" s="523"/>
      <c r="AI97" s="523"/>
      <c r="AJ97" s="523"/>
      <c r="AK97" s="523"/>
      <c r="AL97" s="523"/>
      <c r="AM97" s="523"/>
      <c r="AN97" s="523"/>
      <c r="AO97" s="523"/>
      <c r="AP97" s="523"/>
      <c r="AQ97" s="523"/>
      <c r="AR97" s="523"/>
      <c r="AS97" s="523"/>
      <c r="AT97" s="523"/>
      <c r="AU97" s="523"/>
      <c r="AV97" s="523"/>
      <c r="AW97" s="523"/>
      <c r="AX97" s="523"/>
      <c r="AY97" s="523"/>
      <c r="AZ97" s="523"/>
      <c r="BA97" s="523"/>
      <c r="BB97" s="523"/>
      <c r="BC97" s="523"/>
      <c r="BD97" s="523"/>
      <c r="BE97" s="523"/>
      <c r="BF97" s="523"/>
      <c r="BG97" s="523"/>
      <c r="BH97" s="523"/>
      <c r="BI97" s="523"/>
      <c r="BJ97" s="523"/>
      <c r="BK97" s="523"/>
      <c r="BL97" s="523"/>
      <c r="BM97" s="523"/>
      <c r="BN97" s="523"/>
      <c r="BO97" s="523"/>
      <c r="BP97" s="523"/>
      <c r="BQ97" s="523"/>
      <c r="BR97" s="523"/>
      <c r="BS97" s="523"/>
      <c r="BT97" s="523"/>
      <c r="BU97" s="523"/>
      <c r="BV97" s="523"/>
      <c r="BW97" s="523"/>
      <c r="BX97" s="523"/>
      <c r="BY97" s="523"/>
      <c r="BZ97" s="523"/>
      <c r="CA97" s="523"/>
      <c r="CB97" s="523"/>
      <c r="CC97" s="523"/>
      <c r="CD97" s="523"/>
      <c r="CE97" s="523"/>
      <c r="CF97" s="523"/>
      <c r="CG97" s="523"/>
      <c r="CH97" s="523"/>
      <c r="CI97" s="523"/>
      <c r="CJ97" s="523"/>
      <c r="CK97" s="523"/>
      <c r="CL97" s="523"/>
      <c r="CM97" s="523"/>
      <c r="CN97" s="523"/>
      <c r="CO97" s="523"/>
      <c r="CP97" s="523"/>
      <c r="CQ97" s="523"/>
      <c r="CR97" s="523"/>
      <c r="CS97" s="523"/>
      <c r="CT97" s="523"/>
      <c r="CU97" s="523"/>
      <c r="CV97" s="523"/>
      <c r="CW97" s="523"/>
      <c r="CX97" s="523"/>
      <c r="CY97" s="523"/>
      <c r="CZ97" s="523"/>
      <c r="DA97" s="523"/>
      <c r="DB97" s="523"/>
      <c r="DC97" s="523"/>
      <c r="DD97" s="523"/>
      <c r="DE97" s="523"/>
      <c r="DF97" s="523"/>
      <c r="DG97" s="523"/>
      <c r="DH97" s="523"/>
      <c r="DI97" s="523"/>
      <c r="DJ97" s="523"/>
      <c r="DK97" s="523"/>
      <c r="DL97" s="523"/>
      <c r="DM97" s="523"/>
      <c r="DN97" s="523"/>
      <c r="DO97" s="523"/>
      <c r="DP97" s="523"/>
      <c r="DQ97" s="523"/>
      <c r="DR97" s="523"/>
      <c r="DS97" s="523"/>
      <c r="DT97" s="523"/>
      <c r="DU97" s="523"/>
      <c r="DV97" s="523"/>
      <c r="DW97" s="523"/>
      <c r="DX97" s="523"/>
      <c r="DY97" s="523"/>
      <c r="DZ97" s="523"/>
      <c r="EA97" s="523"/>
      <c r="EB97" s="523"/>
      <c r="EC97" s="523"/>
      <c r="ED97" s="523"/>
      <c r="EE97" s="523"/>
      <c r="EF97" s="523"/>
      <c r="EG97" s="523"/>
      <c r="EH97" s="523"/>
      <c r="EI97" s="523"/>
      <c r="EJ97" s="523"/>
      <c r="EK97" s="523"/>
      <c r="EL97" s="523"/>
      <c r="EM97" s="523"/>
      <c r="EN97" s="523"/>
      <c r="EO97" s="524"/>
      <c r="EP97" s="78"/>
      <c r="EQ97" s="78"/>
      <c r="ER97" s="78"/>
      <c r="ES97" s="78"/>
      <c r="ET97" s="78"/>
      <c r="EU97" s="78"/>
      <c r="EV97" s="78"/>
      <c r="EW97" s="78"/>
      <c r="EX97" s="78"/>
      <c r="EY97" s="78"/>
      <c r="EZ97" s="78"/>
      <c r="FA97" s="78"/>
      <c r="FB97" s="78"/>
      <c r="FC97" s="78"/>
      <c r="FD97" s="78"/>
      <c r="FE97" s="78"/>
      <c r="FF97" s="78"/>
      <c r="FG97" s="78"/>
      <c r="FH97" s="78"/>
      <c r="FI97" s="78"/>
      <c r="FJ97" s="78"/>
      <c r="FK97" s="78"/>
      <c r="FL97" s="78"/>
      <c r="FM97" s="78"/>
      <c r="FN97" s="78"/>
      <c r="FO97" s="78"/>
      <c r="FP97" s="78"/>
      <c r="FQ97" s="78"/>
      <c r="FR97" s="78"/>
      <c r="FS97" s="78"/>
      <c r="FT97" s="78"/>
      <c r="FU97" s="78"/>
      <c r="FV97" s="78"/>
      <c r="FW97" s="78"/>
      <c r="FX97" s="78"/>
      <c r="FY97" s="78"/>
      <c r="FZ97" s="78"/>
      <c r="GA97" s="78"/>
      <c r="GB97" s="78"/>
      <c r="GC97" s="78"/>
      <c r="GD97" s="78"/>
      <c r="GE97" s="78"/>
      <c r="GF97" s="78"/>
      <c r="GG97" s="78"/>
      <c r="GH97" s="78"/>
      <c r="GI97" s="42"/>
    </row>
    <row r="98" spans="1:193" ht="9.6" customHeight="1" x14ac:dyDescent="0.3">
      <c r="A98" s="525" t="s">
        <v>221</v>
      </c>
      <c r="B98" s="476"/>
      <c r="C98" s="476"/>
      <c r="D98" s="476"/>
      <c r="E98" s="476"/>
      <c r="F98" s="476"/>
      <c r="G98" s="476"/>
      <c r="H98" s="476"/>
      <c r="I98" s="476"/>
      <c r="J98" s="476"/>
      <c r="K98" s="476"/>
      <c r="L98" s="476"/>
      <c r="M98" s="476"/>
      <c r="N98" s="476"/>
      <c r="O98" s="476"/>
      <c r="P98" s="476"/>
      <c r="Q98" s="476"/>
      <c r="R98" s="476"/>
      <c r="S98" s="476"/>
      <c r="T98" s="476"/>
      <c r="U98" s="476"/>
      <c r="V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  <c r="AG98" s="476"/>
      <c r="AH98" s="476"/>
      <c r="AI98" s="476"/>
      <c r="AJ98" s="476"/>
      <c r="AK98" s="476"/>
      <c r="AL98" s="476"/>
      <c r="AM98" s="476"/>
      <c r="AN98" s="477"/>
      <c r="AO98" s="526" t="s">
        <v>215</v>
      </c>
      <c r="AP98" s="527"/>
      <c r="AQ98" s="527"/>
      <c r="AR98" s="527"/>
      <c r="AS98" s="527"/>
      <c r="AT98" s="527"/>
      <c r="AU98" s="527"/>
      <c r="AV98" s="527"/>
      <c r="AW98" s="528"/>
      <c r="AX98" s="475" t="s">
        <v>222</v>
      </c>
      <c r="AY98" s="476"/>
      <c r="AZ98" s="476"/>
      <c r="BA98" s="476"/>
      <c r="BB98" s="476"/>
      <c r="BC98" s="476"/>
      <c r="BD98" s="476"/>
      <c r="BE98" s="476"/>
      <c r="BF98" s="476"/>
      <c r="BG98" s="476"/>
      <c r="BH98" s="476"/>
      <c r="BI98" s="476"/>
      <c r="BJ98" s="476"/>
      <c r="BK98" s="476"/>
      <c r="BL98" s="476"/>
      <c r="BM98" s="476"/>
      <c r="BN98" s="476"/>
      <c r="BO98" s="476"/>
      <c r="BP98" s="476"/>
      <c r="BQ98" s="476"/>
      <c r="BR98" s="476"/>
      <c r="BS98" s="476"/>
      <c r="BT98" s="476"/>
      <c r="BU98" s="476"/>
      <c r="BV98" s="477"/>
      <c r="BW98" s="473" t="s">
        <v>223</v>
      </c>
      <c r="BX98" s="305"/>
      <c r="BY98" s="305"/>
      <c r="BZ98" s="305"/>
      <c r="CA98" s="305"/>
      <c r="CB98" s="305"/>
      <c r="CC98" s="305"/>
      <c r="CD98" s="305"/>
      <c r="CE98" s="305"/>
      <c r="CF98" s="305"/>
      <c r="CG98" s="305"/>
      <c r="CH98" s="305"/>
      <c r="CI98" s="305"/>
      <c r="CJ98" s="305"/>
      <c r="CK98" s="305"/>
      <c r="CL98" s="305"/>
      <c r="CM98" s="305"/>
      <c r="CN98" s="305"/>
      <c r="CO98" s="305"/>
      <c r="CP98" s="306"/>
      <c r="CQ98" s="475" t="s">
        <v>224</v>
      </c>
      <c r="CR98" s="476"/>
      <c r="CS98" s="476"/>
      <c r="CT98" s="476"/>
      <c r="CU98" s="476"/>
      <c r="CV98" s="476"/>
      <c r="CW98" s="476"/>
      <c r="CX98" s="476"/>
      <c r="CY98" s="476"/>
      <c r="CZ98" s="476"/>
      <c r="DA98" s="476"/>
      <c r="DB98" s="476"/>
      <c r="DC98" s="476"/>
      <c r="DD98" s="476"/>
      <c r="DE98" s="476"/>
      <c r="DF98" s="476"/>
      <c r="DG98" s="476"/>
      <c r="DH98" s="476"/>
      <c r="DI98" s="476"/>
      <c r="DJ98" s="476"/>
      <c r="DK98" s="476"/>
      <c r="DL98" s="476"/>
      <c r="DM98" s="476"/>
      <c r="DN98" s="476"/>
      <c r="DO98" s="476"/>
      <c r="DP98" s="476"/>
      <c r="DQ98" s="477"/>
      <c r="DR98" s="475" t="s">
        <v>225</v>
      </c>
      <c r="DS98" s="476"/>
      <c r="DT98" s="476"/>
      <c r="DU98" s="476"/>
      <c r="DV98" s="476"/>
      <c r="DW98" s="476"/>
      <c r="DX98" s="476"/>
      <c r="DY98" s="476"/>
      <c r="DZ98" s="476"/>
      <c r="EA98" s="476"/>
      <c r="EB98" s="476"/>
      <c r="EC98" s="476"/>
      <c r="ED98" s="476"/>
      <c r="EE98" s="476"/>
      <c r="EF98" s="476"/>
      <c r="EG98" s="476"/>
      <c r="EH98" s="476"/>
      <c r="EI98" s="476"/>
      <c r="EJ98" s="476"/>
      <c r="EK98" s="476"/>
      <c r="EL98" s="476"/>
      <c r="EM98" s="476"/>
      <c r="EN98" s="476"/>
      <c r="EO98" s="530"/>
      <c r="EP98" s="78"/>
      <c r="EQ98" s="78"/>
      <c r="ER98" s="78"/>
      <c r="ES98" s="78" t="s">
        <v>226</v>
      </c>
      <c r="ET98" s="78"/>
      <c r="EU98" s="78"/>
      <c r="EV98" s="78"/>
      <c r="EW98" s="78"/>
      <c r="EX98" s="78"/>
      <c r="EY98" s="78"/>
      <c r="EZ98" s="78"/>
      <c r="FA98" s="78"/>
      <c r="FB98" s="78"/>
      <c r="FC98" s="78"/>
      <c r="FD98" s="78"/>
      <c r="FE98" s="78"/>
      <c r="FF98" s="452"/>
      <c r="FG98" s="452"/>
      <c r="FH98" s="452"/>
      <c r="FI98" s="452"/>
      <c r="FJ98" s="452"/>
      <c r="FK98" s="452"/>
      <c r="FL98" s="452"/>
      <c r="FM98" s="452"/>
      <c r="FN98" s="452"/>
      <c r="FO98" s="452"/>
      <c r="FP98" s="452"/>
      <c r="FQ98" s="452"/>
      <c r="FR98" s="452"/>
      <c r="FS98" s="452"/>
      <c r="FT98" s="452"/>
      <c r="FU98" s="452"/>
      <c r="FV98" s="452"/>
      <c r="FW98" s="452"/>
      <c r="FX98" s="452"/>
      <c r="FY98" s="452"/>
      <c r="FZ98" s="452"/>
      <c r="GA98" s="452"/>
      <c r="GB98" s="452"/>
      <c r="GC98" s="452"/>
      <c r="GD98" s="452"/>
      <c r="GE98" s="452"/>
      <c r="GF98" s="452"/>
      <c r="GG98" s="452"/>
      <c r="GH98" s="452"/>
      <c r="GI98" s="42"/>
    </row>
    <row r="99" spans="1:193" ht="8.4" customHeight="1" x14ac:dyDescent="0.3">
      <c r="A99" s="531" t="s">
        <v>227</v>
      </c>
      <c r="B99" s="532"/>
      <c r="C99" s="532"/>
      <c r="D99" s="532"/>
      <c r="E99" s="532"/>
      <c r="F99" s="532"/>
      <c r="G99" s="532"/>
      <c r="H99" s="533"/>
      <c r="I99" s="540" t="s">
        <v>228</v>
      </c>
      <c r="J99" s="532"/>
      <c r="K99" s="532"/>
      <c r="L99" s="532"/>
      <c r="M99" s="532"/>
      <c r="N99" s="532"/>
      <c r="O99" s="532"/>
      <c r="P99" s="533"/>
      <c r="Q99" s="540" t="s">
        <v>229</v>
      </c>
      <c r="R99" s="532"/>
      <c r="S99" s="532"/>
      <c r="T99" s="532"/>
      <c r="U99" s="532"/>
      <c r="V99" s="532"/>
      <c r="W99" s="532"/>
      <c r="X99" s="533"/>
      <c r="Y99" s="540" t="s">
        <v>230</v>
      </c>
      <c r="Z99" s="532"/>
      <c r="AA99" s="532"/>
      <c r="AB99" s="532"/>
      <c r="AC99" s="532"/>
      <c r="AD99" s="532"/>
      <c r="AE99" s="532"/>
      <c r="AF99" s="533"/>
      <c r="AG99" s="540" t="s">
        <v>231</v>
      </c>
      <c r="AH99" s="532"/>
      <c r="AI99" s="532"/>
      <c r="AJ99" s="532"/>
      <c r="AK99" s="532"/>
      <c r="AL99" s="532"/>
      <c r="AM99" s="532"/>
      <c r="AN99" s="533"/>
      <c r="AO99" s="543" t="s">
        <v>232</v>
      </c>
      <c r="AP99" s="544"/>
      <c r="AQ99" s="544"/>
      <c r="AR99" s="544"/>
      <c r="AS99" s="544"/>
      <c r="AT99" s="544"/>
      <c r="AU99" s="544"/>
      <c r="AV99" s="544"/>
      <c r="AW99" s="545"/>
      <c r="AX99" s="540" t="s">
        <v>233</v>
      </c>
      <c r="AY99" s="532"/>
      <c r="AZ99" s="532"/>
      <c r="BA99" s="532"/>
      <c r="BB99" s="532"/>
      <c r="BC99" s="532"/>
      <c r="BD99" s="532"/>
      <c r="BE99" s="532"/>
      <c r="BF99" s="532"/>
      <c r="BG99" s="532"/>
      <c r="BH99" s="533"/>
      <c r="BI99" s="546" t="s">
        <v>234</v>
      </c>
      <c r="BJ99" s="547"/>
      <c r="BK99" s="547"/>
      <c r="BL99" s="547"/>
      <c r="BM99" s="547"/>
      <c r="BN99" s="547"/>
      <c r="BO99" s="547"/>
      <c r="BP99" s="547"/>
      <c r="BQ99" s="547"/>
      <c r="BR99" s="547"/>
      <c r="BS99" s="547"/>
      <c r="BT99" s="547"/>
      <c r="BU99" s="547"/>
      <c r="BV99" s="548"/>
      <c r="BW99" s="529"/>
      <c r="BX99" s="308"/>
      <c r="BY99" s="308"/>
      <c r="BZ99" s="308"/>
      <c r="CA99" s="308"/>
      <c r="CB99" s="308"/>
      <c r="CC99" s="308"/>
      <c r="CD99" s="308"/>
      <c r="CE99" s="308"/>
      <c r="CF99" s="308"/>
      <c r="CG99" s="308"/>
      <c r="CH99" s="308"/>
      <c r="CI99" s="308"/>
      <c r="CJ99" s="308"/>
      <c r="CK99" s="308"/>
      <c r="CL99" s="308"/>
      <c r="CM99" s="308"/>
      <c r="CN99" s="308"/>
      <c r="CO99" s="308"/>
      <c r="CP99" s="309"/>
      <c r="CQ99" s="546" t="s">
        <v>235</v>
      </c>
      <c r="CR99" s="547"/>
      <c r="CS99" s="547"/>
      <c r="CT99" s="547"/>
      <c r="CU99" s="547"/>
      <c r="CV99" s="547"/>
      <c r="CW99" s="547"/>
      <c r="CX99" s="547"/>
      <c r="CY99" s="547"/>
      <c r="CZ99" s="547"/>
      <c r="DA99" s="547"/>
      <c r="DB99" s="547"/>
      <c r="DC99" s="548"/>
      <c r="DD99" s="546" t="s">
        <v>236</v>
      </c>
      <c r="DE99" s="547"/>
      <c r="DF99" s="547"/>
      <c r="DG99" s="547"/>
      <c r="DH99" s="547"/>
      <c r="DI99" s="547"/>
      <c r="DJ99" s="547"/>
      <c r="DK99" s="547"/>
      <c r="DL99" s="547"/>
      <c r="DM99" s="547"/>
      <c r="DN99" s="547"/>
      <c r="DO99" s="547"/>
      <c r="DP99" s="547"/>
      <c r="DQ99" s="548"/>
      <c r="DR99" s="546" t="s">
        <v>237</v>
      </c>
      <c r="DS99" s="547"/>
      <c r="DT99" s="547"/>
      <c r="DU99" s="547"/>
      <c r="DV99" s="547"/>
      <c r="DW99" s="547"/>
      <c r="DX99" s="547"/>
      <c r="DY99" s="547"/>
      <c r="DZ99" s="547"/>
      <c r="EA99" s="547"/>
      <c r="EB99" s="547"/>
      <c r="EC99" s="547"/>
      <c r="ED99" s="547"/>
      <c r="EE99" s="548"/>
      <c r="EF99" s="546" t="s">
        <v>238</v>
      </c>
      <c r="EG99" s="547"/>
      <c r="EH99" s="547"/>
      <c r="EI99" s="547"/>
      <c r="EJ99" s="547"/>
      <c r="EK99" s="547"/>
      <c r="EL99" s="547"/>
      <c r="EM99" s="547"/>
      <c r="EN99" s="547"/>
      <c r="EO99" s="555"/>
      <c r="EP99" s="78"/>
      <c r="EQ99" s="78"/>
      <c r="ER99" s="367"/>
      <c r="ES99" s="367"/>
      <c r="ET99" s="367"/>
      <c r="EU99" s="367"/>
      <c r="EV99" s="367"/>
      <c r="EW99" s="367"/>
      <c r="EX99" s="367"/>
      <c r="EY99" s="367"/>
      <c r="EZ99" s="367"/>
      <c r="FA99" s="367"/>
      <c r="FB99" s="367"/>
      <c r="FC99" s="367"/>
      <c r="FD99" s="367"/>
      <c r="FE99" s="367"/>
      <c r="FF99" s="367"/>
      <c r="FG99" s="367"/>
      <c r="FH99" s="367"/>
      <c r="FI99" s="367"/>
      <c r="FJ99" s="367"/>
      <c r="FK99" s="367"/>
      <c r="FL99" s="367"/>
      <c r="FM99" s="367"/>
      <c r="FN99" s="367"/>
      <c r="FO99" s="367"/>
      <c r="FP99" s="367"/>
      <c r="FQ99" s="367"/>
      <c r="FR99" s="367"/>
      <c r="FS99" s="367"/>
      <c r="FT99" s="367"/>
      <c r="FU99" s="367"/>
      <c r="FV99" s="367"/>
      <c r="FW99" s="367"/>
      <c r="FX99" s="367"/>
      <c r="FY99" s="367"/>
      <c r="FZ99" s="367"/>
      <c r="GA99" s="367"/>
      <c r="GB99" s="367"/>
      <c r="GC99" s="367"/>
      <c r="GD99" s="367"/>
      <c r="GE99" s="367"/>
      <c r="GF99" s="367"/>
      <c r="GG99" s="367"/>
      <c r="GH99" s="367"/>
      <c r="GI99" s="42"/>
    </row>
    <row r="100" spans="1:193" ht="8.4" customHeight="1" x14ac:dyDescent="0.3">
      <c r="A100" s="534"/>
      <c r="B100" s="535"/>
      <c r="C100" s="535"/>
      <c r="D100" s="535"/>
      <c r="E100" s="535"/>
      <c r="F100" s="535"/>
      <c r="G100" s="535"/>
      <c r="H100" s="536"/>
      <c r="I100" s="541"/>
      <c r="J100" s="535"/>
      <c r="K100" s="535"/>
      <c r="L100" s="535"/>
      <c r="M100" s="535"/>
      <c r="N100" s="535"/>
      <c r="O100" s="535"/>
      <c r="P100" s="536"/>
      <c r="Q100" s="541"/>
      <c r="R100" s="535"/>
      <c r="S100" s="535"/>
      <c r="T100" s="535"/>
      <c r="U100" s="535"/>
      <c r="V100" s="535"/>
      <c r="W100" s="535"/>
      <c r="X100" s="536"/>
      <c r="Y100" s="541"/>
      <c r="Z100" s="535"/>
      <c r="AA100" s="535"/>
      <c r="AB100" s="535"/>
      <c r="AC100" s="535"/>
      <c r="AD100" s="535"/>
      <c r="AE100" s="535"/>
      <c r="AF100" s="536"/>
      <c r="AG100" s="541"/>
      <c r="AH100" s="535"/>
      <c r="AI100" s="535"/>
      <c r="AJ100" s="535"/>
      <c r="AK100" s="535"/>
      <c r="AL100" s="535"/>
      <c r="AM100" s="535"/>
      <c r="AN100" s="536"/>
      <c r="AO100" s="543" t="s">
        <v>239</v>
      </c>
      <c r="AP100" s="544"/>
      <c r="AQ100" s="544"/>
      <c r="AR100" s="544"/>
      <c r="AS100" s="544"/>
      <c r="AT100" s="544"/>
      <c r="AU100" s="544"/>
      <c r="AV100" s="544"/>
      <c r="AW100" s="545"/>
      <c r="AX100" s="541"/>
      <c r="AY100" s="535"/>
      <c r="AZ100" s="535"/>
      <c r="BA100" s="535"/>
      <c r="BB100" s="535"/>
      <c r="BC100" s="535"/>
      <c r="BD100" s="535"/>
      <c r="BE100" s="535"/>
      <c r="BF100" s="535"/>
      <c r="BG100" s="535"/>
      <c r="BH100" s="536"/>
      <c r="BI100" s="549"/>
      <c r="BJ100" s="550"/>
      <c r="BK100" s="550"/>
      <c r="BL100" s="550"/>
      <c r="BM100" s="550"/>
      <c r="BN100" s="550"/>
      <c r="BO100" s="550"/>
      <c r="BP100" s="550"/>
      <c r="BQ100" s="550"/>
      <c r="BR100" s="550"/>
      <c r="BS100" s="550"/>
      <c r="BT100" s="550"/>
      <c r="BU100" s="550"/>
      <c r="BV100" s="551"/>
      <c r="BW100" s="529"/>
      <c r="BX100" s="308"/>
      <c r="BY100" s="308"/>
      <c r="BZ100" s="308"/>
      <c r="CA100" s="308"/>
      <c r="CB100" s="308"/>
      <c r="CC100" s="308"/>
      <c r="CD100" s="308"/>
      <c r="CE100" s="308"/>
      <c r="CF100" s="308"/>
      <c r="CG100" s="308"/>
      <c r="CH100" s="308"/>
      <c r="CI100" s="308"/>
      <c r="CJ100" s="308"/>
      <c r="CK100" s="308"/>
      <c r="CL100" s="308"/>
      <c r="CM100" s="308"/>
      <c r="CN100" s="308"/>
      <c r="CO100" s="308"/>
      <c r="CP100" s="309"/>
      <c r="CQ100" s="549"/>
      <c r="CR100" s="550"/>
      <c r="CS100" s="550"/>
      <c r="CT100" s="550"/>
      <c r="CU100" s="550"/>
      <c r="CV100" s="550"/>
      <c r="CW100" s="550"/>
      <c r="CX100" s="550"/>
      <c r="CY100" s="550"/>
      <c r="CZ100" s="550"/>
      <c r="DA100" s="550"/>
      <c r="DB100" s="550"/>
      <c r="DC100" s="551"/>
      <c r="DD100" s="549"/>
      <c r="DE100" s="550"/>
      <c r="DF100" s="550"/>
      <c r="DG100" s="550"/>
      <c r="DH100" s="550"/>
      <c r="DI100" s="550"/>
      <c r="DJ100" s="550"/>
      <c r="DK100" s="550"/>
      <c r="DL100" s="550"/>
      <c r="DM100" s="550"/>
      <c r="DN100" s="550"/>
      <c r="DO100" s="550"/>
      <c r="DP100" s="550"/>
      <c r="DQ100" s="551"/>
      <c r="DR100" s="549"/>
      <c r="DS100" s="550"/>
      <c r="DT100" s="550"/>
      <c r="DU100" s="550"/>
      <c r="DV100" s="550"/>
      <c r="DW100" s="550"/>
      <c r="DX100" s="550"/>
      <c r="DY100" s="550"/>
      <c r="DZ100" s="550"/>
      <c r="EA100" s="550"/>
      <c r="EB100" s="550"/>
      <c r="EC100" s="550"/>
      <c r="ED100" s="550"/>
      <c r="EE100" s="551"/>
      <c r="EF100" s="549"/>
      <c r="EG100" s="550"/>
      <c r="EH100" s="550"/>
      <c r="EI100" s="550"/>
      <c r="EJ100" s="550"/>
      <c r="EK100" s="550"/>
      <c r="EL100" s="550"/>
      <c r="EM100" s="550"/>
      <c r="EN100" s="550"/>
      <c r="EO100" s="556"/>
      <c r="EP100" s="78"/>
      <c r="EQ100" s="78"/>
      <c r="ER100" s="457"/>
      <c r="ES100" s="457"/>
      <c r="ET100" s="457"/>
      <c r="EU100" s="457"/>
      <c r="EV100" s="457"/>
      <c r="EW100" s="457"/>
      <c r="EX100" s="457"/>
      <c r="EY100" s="457"/>
      <c r="EZ100" s="457"/>
      <c r="FA100" s="457"/>
      <c r="FB100" s="457"/>
      <c r="FC100" s="457"/>
      <c r="FD100" s="457"/>
      <c r="FE100" s="457"/>
      <c r="FF100" s="457"/>
      <c r="FG100" s="457"/>
      <c r="FH100" s="457"/>
      <c r="FI100" s="457"/>
      <c r="FJ100" s="457"/>
      <c r="FK100" s="457"/>
      <c r="FL100" s="457"/>
      <c r="FM100" s="457"/>
      <c r="FN100" s="457"/>
      <c r="FO100" s="457"/>
      <c r="FP100" s="457"/>
      <c r="FQ100" s="457"/>
      <c r="FR100" s="457"/>
      <c r="FS100" s="457"/>
      <c r="FT100" s="457"/>
      <c r="FU100" s="457"/>
      <c r="FV100" s="457"/>
      <c r="FW100" s="457"/>
      <c r="FX100" s="457"/>
      <c r="FY100" s="457"/>
      <c r="FZ100" s="457"/>
      <c r="GA100" s="457"/>
      <c r="GB100" s="457"/>
      <c r="GC100" s="457"/>
      <c r="GD100" s="457"/>
      <c r="GE100" s="457"/>
      <c r="GF100" s="457"/>
      <c r="GG100" s="457"/>
      <c r="GH100" s="457"/>
      <c r="GI100" s="42"/>
    </row>
    <row r="101" spans="1:193" ht="8.4" customHeight="1" x14ac:dyDescent="0.3">
      <c r="A101" s="537"/>
      <c r="B101" s="538"/>
      <c r="C101" s="538"/>
      <c r="D101" s="538"/>
      <c r="E101" s="538"/>
      <c r="F101" s="538"/>
      <c r="G101" s="538"/>
      <c r="H101" s="539"/>
      <c r="I101" s="542"/>
      <c r="J101" s="538"/>
      <c r="K101" s="538"/>
      <c r="L101" s="538"/>
      <c r="M101" s="538"/>
      <c r="N101" s="538"/>
      <c r="O101" s="538"/>
      <c r="P101" s="539"/>
      <c r="Q101" s="542"/>
      <c r="R101" s="538"/>
      <c r="S101" s="538"/>
      <c r="T101" s="538"/>
      <c r="U101" s="538"/>
      <c r="V101" s="538"/>
      <c r="W101" s="538"/>
      <c r="X101" s="539"/>
      <c r="Y101" s="542"/>
      <c r="Z101" s="538"/>
      <c r="AA101" s="538"/>
      <c r="AB101" s="538"/>
      <c r="AC101" s="538"/>
      <c r="AD101" s="538"/>
      <c r="AE101" s="538"/>
      <c r="AF101" s="539"/>
      <c r="AG101" s="542"/>
      <c r="AH101" s="538"/>
      <c r="AI101" s="538"/>
      <c r="AJ101" s="538"/>
      <c r="AK101" s="538"/>
      <c r="AL101" s="538"/>
      <c r="AM101" s="538"/>
      <c r="AN101" s="539"/>
      <c r="AO101" s="558" t="s">
        <v>240</v>
      </c>
      <c r="AP101" s="559"/>
      <c r="AQ101" s="559"/>
      <c r="AR101" s="559"/>
      <c r="AS101" s="559"/>
      <c r="AT101" s="559"/>
      <c r="AU101" s="559"/>
      <c r="AV101" s="559"/>
      <c r="AW101" s="560"/>
      <c r="AX101" s="542"/>
      <c r="AY101" s="538"/>
      <c r="AZ101" s="538"/>
      <c r="BA101" s="538"/>
      <c r="BB101" s="538"/>
      <c r="BC101" s="538"/>
      <c r="BD101" s="538"/>
      <c r="BE101" s="538"/>
      <c r="BF101" s="538"/>
      <c r="BG101" s="538"/>
      <c r="BH101" s="539"/>
      <c r="BI101" s="552"/>
      <c r="BJ101" s="553"/>
      <c r="BK101" s="553"/>
      <c r="BL101" s="553"/>
      <c r="BM101" s="553"/>
      <c r="BN101" s="553"/>
      <c r="BO101" s="553"/>
      <c r="BP101" s="553"/>
      <c r="BQ101" s="553"/>
      <c r="BR101" s="553"/>
      <c r="BS101" s="553"/>
      <c r="BT101" s="553"/>
      <c r="BU101" s="553"/>
      <c r="BV101" s="554"/>
      <c r="BW101" s="474"/>
      <c r="BX101" s="311"/>
      <c r="BY101" s="311"/>
      <c r="BZ101" s="311"/>
      <c r="CA101" s="311"/>
      <c r="CB101" s="311"/>
      <c r="CC101" s="311"/>
      <c r="CD101" s="311"/>
      <c r="CE101" s="311"/>
      <c r="CF101" s="311"/>
      <c r="CG101" s="311"/>
      <c r="CH101" s="311"/>
      <c r="CI101" s="311"/>
      <c r="CJ101" s="311"/>
      <c r="CK101" s="311"/>
      <c r="CL101" s="311"/>
      <c r="CM101" s="311"/>
      <c r="CN101" s="311"/>
      <c r="CO101" s="311"/>
      <c r="CP101" s="312"/>
      <c r="CQ101" s="552"/>
      <c r="CR101" s="553"/>
      <c r="CS101" s="553"/>
      <c r="CT101" s="553"/>
      <c r="CU101" s="553"/>
      <c r="CV101" s="553"/>
      <c r="CW101" s="553"/>
      <c r="CX101" s="553"/>
      <c r="CY101" s="553"/>
      <c r="CZ101" s="553"/>
      <c r="DA101" s="553"/>
      <c r="DB101" s="553"/>
      <c r="DC101" s="554"/>
      <c r="DD101" s="552"/>
      <c r="DE101" s="553"/>
      <c r="DF101" s="553"/>
      <c r="DG101" s="553"/>
      <c r="DH101" s="553"/>
      <c r="DI101" s="553"/>
      <c r="DJ101" s="553"/>
      <c r="DK101" s="553"/>
      <c r="DL101" s="553"/>
      <c r="DM101" s="553"/>
      <c r="DN101" s="553"/>
      <c r="DO101" s="553"/>
      <c r="DP101" s="553"/>
      <c r="DQ101" s="554"/>
      <c r="DR101" s="552"/>
      <c r="DS101" s="553"/>
      <c r="DT101" s="553"/>
      <c r="DU101" s="553"/>
      <c r="DV101" s="553"/>
      <c r="DW101" s="553"/>
      <c r="DX101" s="553"/>
      <c r="DY101" s="553"/>
      <c r="DZ101" s="553"/>
      <c r="EA101" s="553"/>
      <c r="EB101" s="553"/>
      <c r="EC101" s="553"/>
      <c r="ED101" s="553"/>
      <c r="EE101" s="554"/>
      <c r="EF101" s="552"/>
      <c r="EG101" s="553"/>
      <c r="EH101" s="553"/>
      <c r="EI101" s="553"/>
      <c r="EJ101" s="553"/>
      <c r="EK101" s="553"/>
      <c r="EL101" s="553"/>
      <c r="EM101" s="553"/>
      <c r="EN101" s="553"/>
      <c r="EO101" s="557"/>
      <c r="EP101" s="78"/>
      <c r="EQ101" s="78"/>
      <c r="ER101" s="459"/>
      <c r="ES101" s="459"/>
      <c r="ET101" s="459"/>
      <c r="EU101" s="459"/>
      <c r="EV101" s="459"/>
      <c r="EW101" s="459"/>
      <c r="EX101" s="459"/>
      <c r="EY101" s="459"/>
      <c r="EZ101" s="459"/>
      <c r="FA101" s="459"/>
      <c r="FB101" s="459"/>
      <c r="FC101" s="459"/>
      <c r="FD101" s="459"/>
      <c r="FE101" s="459"/>
      <c r="FF101" s="459"/>
      <c r="FG101" s="459"/>
      <c r="FH101" s="459"/>
      <c r="FI101" s="459"/>
      <c r="FJ101" s="459"/>
      <c r="FK101" s="459"/>
      <c r="FL101" s="459"/>
      <c r="FM101" s="459"/>
      <c r="FN101" s="459"/>
      <c r="FO101" s="459"/>
      <c r="FP101" s="459"/>
      <c r="FQ101" s="459"/>
      <c r="FR101" s="459"/>
      <c r="FS101" s="459"/>
      <c r="FT101" s="459"/>
      <c r="FU101" s="459"/>
      <c r="FV101" s="459"/>
      <c r="FW101" s="459"/>
      <c r="FX101" s="459"/>
      <c r="FY101" s="459"/>
      <c r="FZ101" s="459"/>
      <c r="GA101" s="459"/>
      <c r="GB101" s="459"/>
      <c r="GC101" s="459"/>
      <c r="GD101" s="459"/>
      <c r="GE101" s="459"/>
      <c r="GF101" s="459"/>
      <c r="GG101" s="459"/>
      <c r="GH101" s="459"/>
      <c r="GI101" s="42"/>
    </row>
    <row r="102" spans="1:193" ht="9.6" customHeight="1" thickBot="1" x14ac:dyDescent="0.35">
      <c r="A102" s="413">
        <v>20</v>
      </c>
      <c r="B102" s="416"/>
      <c r="C102" s="416"/>
      <c r="D102" s="416"/>
      <c r="E102" s="416"/>
      <c r="F102" s="416"/>
      <c r="G102" s="416"/>
      <c r="H102" s="501"/>
      <c r="I102" s="483">
        <v>21</v>
      </c>
      <c r="J102" s="416"/>
      <c r="K102" s="416"/>
      <c r="L102" s="416"/>
      <c r="M102" s="416"/>
      <c r="N102" s="416"/>
      <c r="O102" s="416"/>
      <c r="P102" s="501"/>
      <c r="Q102" s="483">
        <v>22</v>
      </c>
      <c r="R102" s="416"/>
      <c r="S102" s="416"/>
      <c r="T102" s="416"/>
      <c r="U102" s="416"/>
      <c r="V102" s="416"/>
      <c r="W102" s="416"/>
      <c r="X102" s="501"/>
      <c r="Y102" s="483">
        <v>23</v>
      </c>
      <c r="Z102" s="416"/>
      <c r="AA102" s="416"/>
      <c r="AB102" s="416"/>
      <c r="AC102" s="416"/>
      <c r="AD102" s="416"/>
      <c r="AE102" s="416"/>
      <c r="AF102" s="501"/>
      <c r="AG102" s="483">
        <v>24</v>
      </c>
      <c r="AH102" s="416"/>
      <c r="AI102" s="416"/>
      <c r="AJ102" s="416"/>
      <c r="AK102" s="416"/>
      <c r="AL102" s="416"/>
      <c r="AM102" s="416"/>
      <c r="AN102" s="501"/>
      <c r="AO102" s="483">
        <v>25</v>
      </c>
      <c r="AP102" s="416"/>
      <c r="AQ102" s="416"/>
      <c r="AR102" s="416"/>
      <c r="AS102" s="416"/>
      <c r="AT102" s="416"/>
      <c r="AU102" s="416"/>
      <c r="AV102" s="416"/>
      <c r="AW102" s="501"/>
      <c r="AX102" s="483">
        <v>26</v>
      </c>
      <c r="AY102" s="416"/>
      <c r="AZ102" s="416"/>
      <c r="BA102" s="416"/>
      <c r="BB102" s="416"/>
      <c r="BC102" s="416"/>
      <c r="BD102" s="416"/>
      <c r="BE102" s="416"/>
      <c r="BF102" s="416"/>
      <c r="BG102" s="416"/>
      <c r="BH102" s="501"/>
      <c r="BI102" s="483">
        <v>27</v>
      </c>
      <c r="BJ102" s="416"/>
      <c r="BK102" s="416"/>
      <c r="BL102" s="416"/>
      <c r="BM102" s="416"/>
      <c r="BN102" s="416"/>
      <c r="BO102" s="416"/>
      <c r="BP102" s="416"/>
      <c r="BQ102" s="416"/>
      <c r="BR102" s="416"/>
      <c r="BS102" s="416"/>
      <c r="BT102" s="416"/>
      <c r="BU102" s="416"/>
      <c r="BV102" s="501"/>
      <c r="BW102" s="483">
        <v>28</v>
      </c>
      <c r="BX102" s="416"/>
      <c r="BY102" s="416"/>
      <c r="BZ102" s="416"/>
      <c r="CA102" s="416"/>
      <c r="CB102" s="416"/>
      <c r="CC102" s="416"/>
      <c r="CD102" s="416"/>
      <c r="CE102" s="416"/>
      <c r="CF102" s="416"/>
      <c r="CG102" s="416"/>
      <c r="CH102" s="416"/>
      <c r="CI102" s="416"/>
      <c r="CJ102" s="416"/>
      <c r="CK102" s="416"/>
      <c r="CL102" s="416"/>
      <c r="CM102" s="416"/>
      <c r="CN102" s="416"/>
      <c r="CO102" s="416"/>
      <c r="CP102" s="501"/>
      <c r="CQ102" s="483">
        <v>29</v>
      </c>
      <c r="CR102" s="416"/>
      <c r="CS102" s="416"/>
      <c r="CT102" s="416"/>
      <c r="CU102" s="416"/>
      <c r="CV102" s="416"/>
      <c r="CW102" s="416"/>
      <c r="CX102" s="416"/>
      <c r="CY102" s="416"/>
      <c r="CZ102" s="416"/>
      <c r="DA102" s="416"/>
      <c r="DB102" s="416"/>
      <c r="DC102" s="501"/>
      <c r="DD102" s="483">
        <v>30</v>
      </c>
      <c r="DE102" s="416"/>
      <c r="DF102" s="416"/>
      <c r="DG102" s="416"/>
      <c r="DH102" s="416"/>
      <c r="DI102" s="416"/>
      <c r="DJ102" s="416"/>
      <c r="DK102" s="416"/>
      <c r="DL102" s="416"/>
      <c r="DM102" s="416"/>
      <c r="DN102" s="416"/>
      <c r="DO102" s="416"/>
      <c r="DP102" s="416"/>
      <c r="DQ102" s="501"/>
      <c r="DR102" s="483">
        <v>31</v>
      </c>
      <c r="DS102" s="416"/>
      <c r="DT102" s="416"/>
      <c r="DU102" s="416"/>
      <c r="DV102" s="416"/>
      <c r="DW102" s="416"/>
      <c r="DX102" s="416"/>
      <c r="DY102" s="416"/>
      <c r="DZ102" s="416"/>
      <c r="EA102" s="416"/>
      <c r="EB102" s="416"/>
      <c r="EC102" s="416"/>
      <c r="ED102" s="416"/>
      <c r="EE102" s="501"/>
      <c r="EF102" s="483">
        <v>32</v>
      </c>
      <c r="EG102" s="416"/>
      <c r="EH102" s="416"/>
      <c r="EI102" s="416"/>
      <c r="EJ102" s="416"/>
      <c r="EK102" s="416"/>
      <c r="EL102" s="416"/>
      <c r="EM102" s="416"/>
      <c r="EN102" s="416"/>
      <c r="EO102" s="417"/>
      <c r="EP102" s="78"/>
      <c r="EQ102" s="78"/>
      <c r="ER102" s="457"/>
      <c r="ES102" s="457"/>
      <c r="ET102" s="457"/>
      <c r="EU102" s="457"/>
      <c r="EV102" s="457"/>
      <c r="EW102" s="457"/>
      <c r="EX102" s="457"/>
      <c r="EY102" s="457"/>
      <c r="EZ102" s="457"/>
      <c r="FA102" s="457"/>
      <c r="FB102" s="457"/>
      <c r="FC102" s="457"/>
      <c r="FD102" s="457"/>
      <c r="FE102" s="457"/>
      <c r="FF102" s="457"/>
      <c r="FG102" s="457"/>
      <c r="FH102" s="457"/>
      <c r="FI102" s="457"/>
      <c r="FJ102" s="457"/>
      <c r="FK102" s="457"/>
      <c r="FL102" s="457"/>
      <c r="FM102" s="457"/>
      <c r="FN102" s="457"/>
      <c r="FO102" s="457"/>
      <c r="FP102" s="457"/>
      <c r="FQ102" s="457"/>
      <c r="FR102" s="457"/>
      <c r="FS102" s="457"/>
      <c r="FT102" s="457"/>
      <c r="FU102" s="457"/>
      <c r="FV102" s="457"/>
      <c r="FW102" s="457"/>
      <c r="FX102" s="457"/>
      <c r="FY102" s="457"/>
      <c r="FZ102" s="457"/>
      <c r="GA102" s="457"/>
      <c r="GB102" s="457"/>
      <c r="GC102" s="457"/>
      <c r="GD102" s="457"/>
      <c r="GE102" s="457"/>
      <c r="GF102" s="457"/>
      <c r="GG102" s="457"/>
      <c r="GH102" s="457"/>
      <c r="GI102" s="42"/>
    </row>
    <row r="103" spans="1:193" ht="11.4" customHeight="1" thickBot="1" x14ac:dyDescent="0.35">
      <c r="A103" s="561"/>
      <c r="B103" s="562"/>
      <c r="C103" s="562"/>
      <c r="D103" s="562"/>
      <c r="E103" s="562"/>
      <c r="F103" s="562"/>
      <c r="G103" s="562"/>
      <c r="H103" s="563"/>
      <c r="I103" s="564"/>
      <c r="J103" s="562"/>
      <c r="K103" s="562"/>
      <c r="L103" s="562"/>
      <c r="M103" s="562"/>
      <c r="N103" s="562"/>
      <c r="O103" s="562"/>
      <c r="P103" s="563"/>
      <c r="Q103" s="564"/>
      <c r="R103" s="562"/>
      <c r="S103" s="562"/>
      <c r="T103" s="562"/>
      <c r="U103" s="562"/>
      <c r="V103" s="562"/>
      <c r="W103" s="562"/>
      <c r="X103" s="563"/>
      <c r="Y103" s="564"/>
      <c r="Z103" s="562"/>
      <c r="AA103" s="562"/>
      <c r="AB103" s="562"/>
      <c r="AC103" s="562"/>
      <c r="AD103" s="562"/>
      <c r="AE103" s="562"/>
      <c r="AF103" s="563"/>
      <c r="AG103" s="564"/>
      <c r="AH103" s="562"/>
      <c r="AI103" s="562"/>
      <c r="AJ103" s="562"/>
      <c r="AK103" s="562"/>
      <c r="AL103" s="562"/>
      <c r="AM103" s="562"/>
      <c r="AN103" s="563"/>
      <c r="AO103" s="565"/>
      <c r="AP103" s="566"/>
      <c r="AQ103" s="566"/>
      <c r="AR103" s="566"/>
      <c r="AS103" s="566"/>
      <c r="AT103" s="566"/>
      <c r="AU103" s="566"/>
      <c r="AV103" s="566"/>
      <c r="AW103" s="567"/>
      <c r="AX103" s="564"/>
      <c r="AY103" s="562"/>
      <c r="AZ103" s="562"/>
      <c r="BA103" s="562"/>
      <c r="BB103" s="562"/>
      <c r="BC103" s="562"/>
      <c r="BD103" s="562"/>
      <c r="BE103" s="562"/>
      <c r="BF103" s="562"/>
      <c r="BG103" s="562"/>
      <c r="BH103" s="563"/>
      <c r="BI103" s="564"/>
      <c r="BJ103" s="562"/>
      <c r="BK103" s="562"/>
      <c r="BL103" s="562"/>
      <c r="BM103" s="562"/>
      <c r="BN103" s="562"/>
      <c r="BO103" s="562"/>
      <c r="BP103" s="562"/>
      <c r="BQ103" s="562"/>
      <c r="BR103" s="562"/>
      <c r="BS103" s="562"/>
      <c r="BT103" s="562"/>
      <c r="BU103" s="562"/>
      <c r="BV103" s="563"/>
      <c r="BW103" s="564"/>
      <c r="BX103" s="562"/>
      <c r="BY103" s="562"/>
      <c r="BZ103" s="562"/>
      <c r="CA103" s="562"/>
      <c r="CB103" s="562"/>
      <c r="CC103" s="562"/>
      <c r="CD103" s="562"/>
      <c r="CE103" s="562"/>
      <c r="CF103" s="562"/>
      <c r="CG103" s="562"/>
      <c r="CH103" s="562"/>
      <c r="CI103" s="562"/>
      <c r="CJ103" s="562"/>
      <c r="CK103" s="562"/>
      <c r="CL103" s="562"/>
      <c r="CM103" s="562"/>
      <c r="CN103" s="562"/>
      <c r="CO103" s="562"/>
      <c r="CP103" s="563"/>
      <c r="CQ103" s="564"/>
      <c r="CR103" s="562"/>
      <c r="CS103" s="562"/>
      <c r="CT103" s="562"/>
      <c r="CU103" s="562"/>
      <c r="CV103" s="562"/>
      <c r="CW103" s="562"/>
      <c r="CX103" s="562"/>
      <c r="CY103" s="562"/>
      <c r="CZ103" s="562"/>
      <c r="DA103" s="562"/>
      <c r="DB103" s="562"/>
      <c r="DC103" s="563"/>
      <c r="DD103" s="564"/>
      <c r="DE103" s="562"/>
      <c r="DF103" s="562"/>
      <c r="DG103" s="562"/>
      <c r="DH103" s="562"/>
      <c r="DI103" s="562"/>
      <c r="DJ103" s="562"/>
      <c r="DK103" s="562"/>
      <c r="DL103" s="562"/>
      <c r="DM103" s="562"/>
      <c r="DN103" s="562"/>
      <c r="DO103" s="562"/>
      <c r="DP103" s="562"/>
      <c r="DQ103" s="563"/>
      <c r="DR103" s="564"/>
      <c r="DS103" s="562"/>
      <c r="DT103" s="562"/>
      <c r="DU103" s="562"/>
      <c r="DV103" s="562"/>
      <c r="DW103" s="562"/>
      <c r="DX103" s="562"/>
      <c r="DY103" s="562"/>
      <c r="DZ103" s="562"/>
      <c r="EA103" s="562"/>
      <c r="EB103" s="562"/>
      <c r="EC103" s="562"/>
      <c r="ED103" s="562"/>
      <c r="EE103" s="563"/>
      <c r="EF103" s="564"/>
      <c r="EG103" s="562"/>
      <c r="EH103" s="562"/>
      <c r="EI103" s="562"/>
      <c r="EJ103" s="562"/>
      <c r="EK103" s="562"/>
      <c r="EL103" s="562"/>
      <c r="EM103" s="562"/>
      <c r="EN103" s="562"/>
      <c r="EO103" s="568"/>
      <c r="EP103" s="78"/>
      <c r="EQ103" s="78"/>
      <c r="ER103" s="569"/>
      <c r="ES103" s="569"/>
      <c r="ET103" s="569"/>
      <c r="EU103" s="569"/>
      <c r="EV103" s="569"/>
      <c r="EW103" s="569"/>
      <c r="EX103" s="569"/>
      <c r="EY103" s="569"/>
      <c r="EZ103" s="569"/>
      <c r="FA103" s="569"/>
      <c r="FB103" s="569"/>
      <c r="FC103" s="569"/>
      <c r="FD103" s="569"/>
      <c r="FE103" s="569"/>
      <c r="FF103" s="569"/>
      <c r="FG103" s="569"/>
      <c r="FH103" s="569"/>
      <c r="FI103" s="569"/>
      <c r="FJ103" s="569"/>
      <c r="FK103" s="569"/>
      <c r="FL103" s="569"/>
      <c r="FM103" s="569"/>
      <c r="FN103" s="569"/>
      <c r="FO103" s="569"/>
      <c r="FP103" s="569"/>
      <c r="FQ103" s="569"/>
      <c r="FR103" s="569"/>
      <c r="FS103" s="569"/>
      <c r="FT103" s="569"/>
      <c r="FU103" s="569"/>
      <c r="FV103" s="569"/>
      <c r="FW103" s="569"/>
      <c r="FX103" s="569"/>
      <c r="FY103" s="569"/>
      <c r="FZ103" s="569"/>
      <c r="GA103" s="569"/>
      <c r="GB103" s="569"/>
      <c r="GC103" s="569"/>
      <c r="GD103" s="569"/>
      <c r="GE103" s="569"/>
      <c r="GF103" s="569"/>
      <c r="GG103" s="569"/>
      <c r="GH103" s="569"/>
      <c r="GI103" s="42"/>
    </row>
    <row r="104" spans="1:193" ht="1.95" customHeight="1" thickBot="1" x14ac:dyDescent="0.35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  <c r="CW104" s="78"/>
      <c r="CX104" s="78"/>
      <c r="CY104" s="78"/>
      <c r="CZ104" s="78"/>
      <c r="DA104" s="78"/>
      <c r="DB104" s="78"/>
      <c r="DC104" s="78"/>
      <c r="DD104" s="78"/>
      <c r="DE104" s="78"/>
      <c r="DF104" s="78"/>
      <c r="DG104" s="78"/>
      <c r="DH104" s="78"/>
      <c r="DI104" s="78"/>
      <c r="DJ104" s="78"/>
      <c r="DK104" s="78"/>
      <c r="DL104" s="78"/>
      <c r="DM104" s="78"/>
      <c r="DN104" s="78"/>
      <c r="DO104" s="78"/>
      <c r="DP104" s="78"/>
      <c r="DQ104" s="78"/>
      <c r="DR104" s="78"/>
      <c r="DS104" s="78"/>
      <c r="DT104" s="78"/>
      <c r="DU104" s="78"/>
      <c r="DV104" s="78"/>
      <c r="DW104" s="78"/>
      <c r="DX104" s="78"/>
      <c r="DY104" s="78"/>
      <c r="DZ104" s="78"/>
      <c r="EA104" s="78"/>
      <c r="EB104" s="78"/>
      <c r="EC104" s="78"/>
      <c r="ED104" s="78"/>
      <c r="EE104" s="78"/>
      <c r="EF104" s="78"/>
      <c r="EG104" s="78"/>
      <c r="EH104" s="78"/>
      <c r="EI104" s="78"/>
      <c r="EJ104" s="78"/>
      <c r="EK104" s="78"/>
      <c r="EL104" s="78"/>
      <c r="EM104" s="78"/>
      <c r="EN104" s="78"/>
      <c r="EO104" s="78"/>
      <c r="EP104" s="78"/>
      <c r="EQ104" s="78"/>
      <c r="ER104" s="362"/>
      <c r="ES104" s="362"/>
      <c r="ET104" s="362"/>
      <c r="EU104" s="362"/>
      <c r="EV104" s="362"/>
      <c r="EW104" s="362"/>
      <c r="EX104" s="362"/>
      <c r="EY104" s="362"/>
      <c r="EZ104" s="362"/>
      <c r="FA104" s="362"/>
      <c r="FB104" s="362"/>
      <c r="FC104" s="362"/>
      <c r="FD104" s="362"/>
      <c r="FE104" s="362"/>
      <c r="FF104" s="362"/>
      <c r="FG104" s="362"/>
      <c r="FH104" s="362"/>
      <c r="FI104" s="362"/>
      <c r="FJ104" s="362"/>
      <c r="FK104" s="362"/>
      <c r="FL104" s="362"/>
      <c r="FM104" s="362"/>
      <c r="FN104" s="362"/>
      <c r="FO104" s="362"/>
      <c r="FP104" s="362"/>
      <c r="FQ104" s="362"/>
      <c r="FR104" s="362"/>
      <c r="FS104" s="362"/>
      <c r="FT104" s="362"/>
      <c r="FU104" s="362"/>
      <c r="FV104" s="362"/>
      <c r="FW104" s="362"/>
      <c r="FX104" s="362"/>
      <c r="FY104" s="362"/>
      <c r="FZ104" s="362"/>
      <c r="GA104" s="362"/>
      <c r="GB104" s="362"/>
      <c r="GC104" s="362"/>
      <c r="GD104" s="362"/>
      <c r="GE104" s="362"/>
      <c r="GF104" s="362"/>
      <c r="GG104" s="362"/>
      <c r="GH104" s="362"/>
      <c r="GI104" s="42"/>
    </row>
    <row r="105" spans="1:193" ht="9" customHeight="1" thickTop="1" x14ac:dyDescent="0.3">
      <c r="A105" s="570" t="s">
        <v>241</v>
      </c>
      <c r="B105" s="571"/>
      <c r="C105" s="571"/>
      <c r="D105" s="571"/>
      <c r="E105" s="571"/>
      <c r="F105" s="571"/>
      <c r="G105" s="571"/>
      <c r="H105" s="571"/>
      <c r="I105" s="571"/>
      <c r="J105" s="571"/>
      <c r="K105" s="571"/>
      <c r="L105" s="571"/>
      <c r="M105" s="571"/>
      <c r="N105" s="571"/>
      <c r="O105" s="571"/>
      <c r="P105" s="571"/>
      <c r="Q105" s="572"/>
      <c r="R105" s="574" t="s">
        <v>242</v>
      </c>
      <c r="S105" s="574"/>
      <c r="T105" s="574"/>
      <c r="U105" s="574"/>
      <c r="V105" s="574"/>
      <c r="W105" s="574"/>
      <c r="X105" s="574"/>
      <c r="Y105" s="574"/>
      <c r="Z105" s="574" t="s">
        <v>243</v>
      </c>
      <c r="AA105" s="574"/>
      <c r="AB105" s="574"/>
      <c r="AC105" s="574"/>
      <c r="AD105" s="574"/>
      <c r="AE105" s="574"/>
      <c r="AF105" s="574"/>
      <c r="AG105" s="574"/>
      <c r="AH105" s="574"/>
      <c r="AI105" s="574" t="s">
        <v>244</v>
      </c>
      <c r="AJ105" s="574"/>
      <c r="AK105" s="574"/>
      <c r="AL105" s="574"/>
      <c r="AM105" s="574"/>
      <c r="AN105" s="574"/>
      <c r="AO105" s="574"/>
      <c r="AP105" s="574"/>
      <c r="AQ105" s="574"/>
      <c r="AR105" s="574"/>
      <c r="AS105" s="574"/>
      <c r="AT105" s="574"/>
      <c r="AU105" s="574"/>
      <c r="AV105" s="574"/>
      <c r="AW105" s="574" t="s">
        <v>245</v>
      </c>
      <c r="AX105" s="574"/>
      <c r="AY105" s="574"/>
      <c r="AZ105" s="574"/>
      <c r="BA105" s="574"/>
      <c r="BB105" s="574"/>
      <c r="BC105" s="574"/>
      <c r="BD105" s="574"/>
      <c r="BE105" s="574"/>
      <c r="BF105" s="574"/>
      <c r="BG105" s="574"/>
      <c r="BH105" s="574"/>
      <c r="BI105" s="574"/>
      <c r="BJ105" s="574"/>
      <c r="BK105" s="574" t="s">
        <v>246</v>
      </c>
      <c r="BL105" s="574"/>
      <c r="BM105" s="574"/>
      <c r="BN105" s="574"/>
      <c r="BO105" s="574"/>
      <c r="BP105" s="574"/>
      <c r="BQ105" s="574"/>
      <c r="BR105" s="574"/>
      <c r="BS105" s="574"/>
      <c r="BT105" s="574"/>
      <c r="BU105" s="574"/>
      <c r="BV105" s="577" t="s">
        <v>247</v>
      </c>
      <c r="BW105" s="578"/>
      <c r="BX105" s="578"/>
      <c r="BY105" s="578"/>
      <c r="BZ105" s="578"/>
      <c r="CA105" s="578"/>
      <c r="CB105" s="578"/>
      <c r="CC105" s="578"/>
      <c r="CD105" s="578"/>
      <c r="CE105" s="578"/>
      <c r="CF105" s="578"/>
      <c r="CG105" s="578"/>
      <c r="CH105" s="578"/>
      <c r="CI105" s="578"/>
      <c r="CJ105" s="578"/>
      <c r="CK105" s="578"/>
      <c r="CL105" s="578"/>
      <c r="CM105" s="578"/>
      <c r="CN105" s="578"/>
      <c r="CO105" s="578"/>
      <c r="CP105" s="579"/>
      <c r="CQ105" s="574" t="s">
        <v>248</v>
      </c>
      <c r="CR105" s="574"/>
      <c r="CS105" s="574"/>
      <c r="CT105" s="574"/>
      <c r="CU105" s="574"/>
      <c r="CV105" s="574"/>
      <c r="CW105" s="574"/>
      <c r="CX105" s="574"/>
      <c r="CY105" s="574"/>
      <c r="CZ105" s="574" t="s">
        <v>249</v>
      </c>
      <c r="DA105" s="574"/>
      <c r="DB105" s="574"/>
      <c r="DC105" s="574"/>
      <c r="DD105" s="574"/>
      <c r="DE105" s="574"/>
      <c r="DF105" s="574"/>
      <c r="DG105" s="574"/>
      <c r="DH105" s="574"/>
      <c r="DI105" s="574"/>
      <c r="DJ105" s="574"/>
      <c r="DK105" s="574" t="s">
        <v>250</v>
      </c>
      <c r="DL105" s="574"/>
      <c r="DM105" s="574"/>
      <c r="DN105" s="574"/>
      <c r="DO105" s="574"/>
      <c r="DP105" s="574"/>
      <c r="DQ105" s="574"/>
      <c r="DR105" s="574"/>
      <c r="DS105" s="574"/>
      <c r="DT105" s="574" t="s">
        <v>251</v>
      </c>
      <c r="DU105" s="574"/>
      <c r="DV105" s="574"/>
      <c r="DW105" s="574"/>
      <c r="DX105" s="574"/>
      <c r="DY105" s="574"/>
      <c r="DZ105" s="574"/>
      <c r="EA105" s="574"/>
      <c r="EB105" s="574"/>
      <c r="EC105" s="78"/>
      <c r="ED105" s="78"/>
      <c r="EE105" s="457"/>
      <c r="EF105" s="457"/>
      <c r="EG105" s="457"/>
      <c r="EH105" s="457"/>
      <c r="EI105" s="457"/>
      <c r="EJ105" s="457"/>
      <c r="EK105" s="457"/>
      <c r="EL105" s="457"/>
      <c r="EM105" s="457"/>
      <c r="EN105" s="457"/>
      <c r="EO105" s="457"/>
      <c r="EP105" s="457"/>
      <c r="EQ105" s="457"/>
      <c r="ER105" s="457"/>
      <c r="ES105" s="457"/>
      <c r="ET105" s="457"/>
      <c r="EU105" s="457"/>
      <c r="EV105" s="457"/>
      <c r="EW105" s="457"/>
      <c r="EX105" s="457"/>
      <c r="EY105" s="457"/>
      <c r="EZ105" s="457"/>
      <c r="FA105" s="457"/>
      <c r="FB105" s="457"/>
      <c r="FC105" s="457"/>
      <c r="FD105" s="457"/>
      <c r="FE105" s="457"/>
      <c r="FF105" s="457"/>
      <c r="FG105" s="457"/>
      <c r="FH105" s="457"/>
      <c r="FI105" s="457"/>
      <c r="FJ105" s="457"/>
      <c r="FK105" s="457"/>
      <c r="FL105" s="457"/>
      <c r="FM105" s="457"/>
      <c r="FN105" s="457"/>
      <c r="FO105" s="457"/>
      <c r="FP105" s="457"/>
      <c r="FQ105" s="457"/>
      <c r="FR105" s="457"/>
      <c r="FS105" s="457"/>
      <c r="FT105" s="457"/>
      <c r="FU105" s="457"/>
      <c r="FV105" s="457"/>
      <c r="FW105" s="457"/>
      <c r="FX105" s="457"/>
      <c r="FY105" s="457"/>
      <c r="FZ105" s="457"/>
      <c r="GA105" s="457"/>
      <c r="GB105" s="457"/>
      <c r="GC105" s="457"/>
      <c r="GD105" s="457"/>
      <c r="GE105" s="457"/>
      <c r="GF105" s="457"/>
      <c r="GG105" s="457"/>
      <c r="GH105" s="457"/>
      <c r="GI105" s="42"/>
    </row>
    <row r="106" spans="1:193" ht="9" customHeight="1" x14ac:dyDescent="0.3">
      <c r="A106" s="307"/>
      <c r="B106" s="308"/>
      <c r="C106" s="308"/>
      <c r="D106" s="308"/>
      <c r="E106" s="308"/>
      <c r="F106" s="308"/>
      <c r="G106" s="308"/>
      <c r="H106" s="308"/>
      <c r="I106" s="308"/>
      <c r="J106" s="308"/>
      <c r="K106" s="308"/>
      <c r="L106" s="308"/>
      <c r="M106" s="308"/>
      <c r="N106" s="308"/>
      <c r="O106" s="308"/>
      <c r="P106" s="308"/>
      <c r="Q106" s="573"/>
      <c r="R106" s="575"/>
      <c r="S106" s="575"/>
      <c r="T106" s="575"/>
      <c r="U106" s="575"/>
      <c r="V106" s="575"/>
      <c r="W106" s="575"/>
      <c r="X106" s="575"/>
      <c r="Y106" s="575"/>
      <c r="Z106" s="575"/>
      <c r="AA106" s="575"/>
      <c r="AB106" s="575"/>
      <c r="AC106" s="575"/>
      <c r="AD106" s="575"/>
      <c r="AE106" s="575"/>
      <c r="AF106" s="575"/>
      <c r="AG106" s="575"/>
      <c r="AH106" s="575"/>
      <c r="AI106" s="575"/>
      <c r="AJ106" s="575"/>
      <c r="AK106" s="575"/>
      <c r="AL106" s="575"/>
      <c r="AM106" s="575"/>
      <c r="AN106" s="575"/>
      <c r="AO106" s="575"/>
      <c r="AP106" s="575"/>
      <c r="AQ106" s="575"/>
      <c r="AR106" s="575"/>
      <c r="AS106" s="575"/>
      <c r="AT106" s="575"/>
      <c r="AU106" s="575"/>
      <c r="AV106" s="575"/>
      <c r="AW106" s="575"/>
      <c r="AX106" s="575"/>
      <c r="AY106" s="575"/>
      <c r="AZ106" s="575"/>
      <c r="BA106" s="575"/>
      <c r="BB106" s="575"/>
      <c r="BC106" s="575"/>
      <c r="BD106" s="575"/>
      <c r="BE106" s="575"/>
      <c r="BF106" s="575"/>
      <c r="BG106" s="575"/>
      <c r="BH106" s="575"/>
      <c r="BI106" s="575"/>
      <c r="BJ106" s="575"/>
      <c r="BK106" s="575"/>
      <c r="BL106" s="575"/>
      <c r="BM106" s="575"/>
      <c r="BN106" s="575"/>
      <c r="BO106" s="575"/>
      <c r="BP106" s="575"/>
      <c r="BQ106" s="575"/>
      <c r="BR106" s="575"/>
      <c r="BS106" s="575"/>
      <c r="BT106" s="575"/>
      <c r="BU106" s="575"/>
      <c r="BV106" s="580"/>
      <c r="BW106" s="553"/>
      <c r="BX106" s="553"/>
      <c r="BY106" s="553"/>
      <c r="BZ106" s="553"/>
      <c r="CA106" s="553"/>
      <c r="CB106" s="553"/>
      <c r="CC106" s="553"/>
      <c r="CD106" s="553"/>
      <c r="CE106" s="553"/>
      <c r="CF106" s="553"/>
      <c r="CG106" s="553"/>
      <c r="CH106" s="553"/>
      <c r="CI106" s="553"/>
      <c r="CJ106" s="553"/>
      <c r="CK106" s="553"/>
      <c r="CL106" s="553"/>
      <c r="CM106" s="553"/>
      <c r="CN106" s="553"/>
      <c r="CO106" s="553"/>
      <c r="CP106" s="557"/>
      <c r="CQ106" s="575"/>
      <c r="CR106" s="575"/>
      <c r="CS106" s="575"/>
      <c r="CT106" s="575"/>
      <c r="CU106" s="575"/>
      <c r="CV106" s="575"/>
      <c r="CW106" s="575"/>
      <c r="CX106" s="575"/>
      <c r="CY106" s="575"/>
      <c r="CZ106" s="575"/>
      <c r="DA106" s="575"/>
      <c r="DB106" s="575"/>
      <c r="DC106" s="575"/>
      <c r="DD106" s="575"/>
      <c r="DE106" s="575"/>
      <c r="DF106" s="575"/>
      <c r="DG106" s="575"/>
      <c r="DH106" s="575"/>
      <c r="DI106" s="575"/>
      <c r="DJ106" s="575"/>
      <c r="DK106" s="575"/>
      <c r="DL106" s="575"/>
      <c r="DM106" s="575"/>
      <c r="DN106" s="575"/>
      <c r="DO106" s="575"/>
      <c r="DP106" s="575"/>
      <c r="DQ106" s="575"/>
      <c r="DR106" s="575"/>
      <c r="DS106" s="575"/>
      <c r="DT106" s="575"/>
      <c r="DU106" s="575"/>
      <c r="DV106" s="575"/>
      <c r="DW106" s="575"/>
      <c r="DX106" s="575"/>
      <c r="DY106" s="575"/>
      <c r="DZ106" s="575"/>
      <c r="EA106" s="575"/>
      <c r="EB106" s="575"/>
      <c r="EC106" s="78"/>
      <c r="ED106" s="78"/>
      <c r="EE106" s="457"/>
      <c r="EF106" s="457"/>
      <c r="EG106" s="457"/>
      <c r="EH106" s="457"/>
      <c r="EI106" s="457"/>
      <c r="EJ106" s="457"/>
      <c r="EK106" s="457"/>
      <c r="EL106" s="457"/>
      <c r="EM106" s="457"/>
      <c r="EN106" s="457"/>
      <c r="EO106" s="457"/>
      <c r="EP106" s="457"/>
      <c r="EQ106" s="457"/>
      <c r="ER106" s="457"/>
      <c r="ES106" s="457"/>
      <c r="ET106" s="457"/>
      <c r="EU106" s="457"/>
      <c r="EV106" s="457"/>
      <c r="EW106" s="457"/>
      <c r="EX106" s="457"/>
      <c r="EY106" s="457"/>
      <c r="EZ106" s="457"/>
      <c r="FA106" s="457"/>
      <c r="FB106" s="457"/>
      <c r="FC106" s="457"/>
      <c r="FD106" s="457"/>
      <c r="FE106" s="457"/>
      <c r="FF106" s="457"/>
      <c r="FG106" s="457"/>
      <c r="FH106" s="457"/>
      <c r="FI106" s="457"/>
      <c r="FJ106" s="457"/>
      <c r="FK106" s="457"/>
      <c r="FL106" s="457"/>
      <c r="FM106" s="457"/>
      <c r="FN106" s="457"/>
      <c r="FO106" s="457"/>
      <c r="FP106" s="457"/>
      <c r="FQ106" s="457"/>
      <c r="FR106" s="457"/>
      <c r="FS106" s="457"/>
      <c r="FT106" s="457"/>
      <c r="FU106" s="457"/>
      <c r="FV106" s="457"/>
      <c r="FW106" s="457"/>
      <c r="FX106" s="457"/>
      <c r="FY106" s="457"/>
      <c r="FZ106" s="457"/>
      <c r="GA106" s="457"/>
      <c r="GB106" s="457"/>
      <c r="GC106" s="457"/>
      <c r="GD106" s="457"/>
      <c r="GE106" s="457"/>
      <c r="GF106" s="457"/>
      <c r="GG106" s="457"/>
      <c r="GH106" s="457"/>
      <c r="GI106" s="42"/>
    </row>
    <row r="107" spans="1:193" ht="9" customHeight="1" x14ac:dyDescent="0.3">
      <c r="A107" s="307"/>
      <c r="B107" s="308"/>
      <c r="C107" s="308"/>
      <c r="D107" s="308"/>
      <c r="E107" s="308"/>
      <c r="F107" s="308"/>
      <c r="G107" s="308"/>
      <c r="H107" s="308"/>
      <c r="I107" s="308"/>
      <c r="J107" s="308"/>
      <c r="K107" s="308"/>
      <c r="L107" s="308"/>
      <c r="M107" s="308"/>
      <c r="N107" s="308"/>
      <c r="O107" s="308"/>
      <c r="P107" s="308"/>
      <c r="Q107" s="573"/>
      <c r="R107" s="576"/>
      <c r="S107" s="576"/>
      <c r="T107" s="576"/>
      <c r="U107" s="576"/>
      <c r="V107" s="576"/>
      <c r="W107" s="576"/>
      <c r="X107" s="576"/>
      <c r="Y107" s="576"/>
      <c r="Z107" s="576"/>
      <c r="AA107" s="576"/>
      <c r="AB107" s="576"/>
      <c r="AC107" s="576"/>
      <c r="AD107" s="576"/>
      <c r="AE107" s="576"/>
      <c r="AF107" s="576"/>
      <c r="AG107" s="576"/>
      <c r="AH107" s="576"/>
      <c r="AI107" s="576"/>
      <c r="AJ107" s="576"/>
      <c r="AK107" s="576"/>
      <c r="AL107" s="576"/>
      <c r="AM107" s="576"/>
      <c r="AN107" s="576"/>
      <c r="AO107" s="576"/>
      <c r="AP107" s="576"/>
      <c r="AQ107" s="576"/>
      <c r="AR107" s="576"/>
      <c r="AS107" s="576"/>
      <c r="AT107" s="576"/>
      <c r="AU107" s="576"/>
      <c r="AV107" s="576"/>
      <c r="AW107" s="576"/>
      <c r="AX107" s="576"/>
      <c r="AY107" s="576"/>
      <c r="AZ107" s="576"/>
      <c r="BA107" s="576"/>
      <c r="BB107" s="576"/>
      <c r="BC107" s="576"/>
      <c r="BD107" s="576"/>
      <c r="BE107" s="576"/>
      <c r="BF107" s="576"/>
      <c r="BG107" s="576"/>
      <c r="BH107" s="576"/>
      <c r="BI107" s="576"/>
      <c r="BJ107" s="576"/>
      <c r="BK107" s="576"/>
      <c r="BL107" s="576"/>
      <c r="BM107" s="576"/>
      <c r="BN107" s="576"/>
      <c r="BO107" s="576"/>
      <c r="BP107" s="576"/>
      <c r="BQ107" s="576"/>
      <c r="BR107" s="576"/>
      <c r="BS107" s="576"/>
      <c r="BT107" s="576"/>
      <c r="BU107" s="576"/>
      <c r="BV107" s="586" t="s">
        <v>252</v>
      </c>
      <c r="BW107" s="587"/>
      <c r="BX107" s="587"/>
      <c r="BY107" s="587"/>
      <c r="BZ107" s="587"/>
      <c r="CA107" s="587"/>
      <c r="CB107" s="587"/>
      <c r="CC107" s="587"/>
      <c r="CD107" s="587"/>
      <c r="CE107" s="587"/>
      <c r="CF107" s="588"/>
      <c r="CG107" s="587" t="s">
        <v>253</v>
      </c>
      <c r="CH107" s="587"/>
      <c r="CI107" s="587"/>
      <c r="CJ107" s="587"/>
      <c r="CK107" s="587"/>
      <c r="CL107" s="587"/>
      <c r="CM107" s="587"/>
      <c r="CN107" s="587"/>
      <c r="CO107" s="587"/>
      <c r="CP107" s="587"/>
      <c r="CQ107" s="576"/>
      <c r="CR107" s="576"/>
      <c r="CS107" s="576"/>
      <c r="CT107" s="576"/>
      <c r="CU107" s="576"/>
      <c r="CV107" s="576"/>
      <c r="CW107" s="576"/>
      <c r="CX107" s="576"/>
      <c r="CY107" s="576"/>
      <c r="CZ107" s="576"/>
      <c r="DA107" s="576"/>
      <c r="DB107" s="576"/>
      <c r="DC107" s="576"/>
      <c r="DD107" s="576"/>
      <c r="DE107" s="576"/>
      <c r="DF107" s="576"/>
      <c r="DG107" s="576"/>
      <c r="DH107" s="576"/>
      <c r="DI107" s="576"/>
      <c r="DJ107" s="576"/>
      <c r="DK107" s="576"/>
      <c r="DL107" s="576"/>
      <c r="DM107" s="576"/>
      <c r="DN107" s="576"/>
      <c r="DO107" s="576"/>
      <c r="DP107" s="576"/>
      <c r="DQ107" s="576"/>
      <c r="DR107" s="576"/>
      <c r="DS107" s="576"/>
      <c r="DT107" s="576"/>
      <c r="DU107" s="576"/>
      <c r="DV107" s="576"/>
      <c r="DW107" s="576"/>
      <c r="DX107" s="576"/>
      <c r="DY107" s="576"/>
      <c r="DZ107" s="576"/>
      <c r="EA107" s="576"/>
      <c r="EB107" s="576"/>
      <c r="EC107" s="78"/>
      <c r="ED107" s="78"/>
      <c r="EE107" s="581"/>
      <c r="EF107" s="581"/>
      <c r="EG107" s="581"/>
      <c r="EH107" s="581"/>
      <c r="EI107" s="581"/>
      <c r="EJ107" s="581"/>
      <c r="EK107" s="581"/>
      <c r="EL107" s="581"/>
      <c r="EM107" s="581"/>
      <c r="EN107" s="581"/>
      <c r="EO107" s="581"/>
      <c r="EP107" s="581"/>
      <c r="EQ107" s="581"/>
      <c r="ER107" s="581"/>
      <c r="ES107" s="581"/>
      <c r="ET107" s="581"/>
      <c r="EU107" s="581"/>
      <c r="EV107" s="581"/>
      <c r="EW107" s="581"/>
      <c r="EX107" s="581"/>
      <c r="EY107" s="581"/>
      <c r="EZ107" s="581"/>
      <c r="FA107" s="581"/>
      <c r="FB107" s="581"/>
      <c r="FC107" s="581"/>
      <c r="FD107" s="581"/>
      <c r="FE107" s="581"/>
      <c r="FF107" s="581"/>
      <c r="FG107" s="581"/>
      <c r="FH107" s="581"/>
      <c r="FI107" s="581"/>
      <c r="FJ107" s="581"/>
      <c r="FK107" s="581"/>
      <c r="FL107" s="581"/>
      <c r="FM107" s="581"/>
      <c r="FN107" s="581"/>
      <c r="FO107" s="581"/>
      <c r="FP107" s="581"/>
      <c r="FQ107" s="581"/>
      <c r="FR107" s="581"/>
      <c r="FS107" s="581"/>
      <c r="FT107" s="581"/>
      <c r="FU107" s="581"/>
      <c r="FV107" s="581"/>
      <c r="FW107" s="581"/>
      <c r="FX107" s="581"/>
      <c r="FY107" s="581"/>
      <c r="FZ107" s="581"/>
      <c r="GA107" s="581"/>
      <c r="GB107" s="581"/>
      <c r="GC107" s="581"/>
      <c r="GD107" s="581"/>
      <c r="GE107" s="581"/>
      <c r="GF107" s="581"/>
      <c r="GG107" s="581"/>
      <c r="GH107" s="581"/>
      <c r="GI107" s="42"/>
    </row>
    <row r="108" spans="1:193" ht="9" customHeight="1" thickBot="1" x14ac:dyDescent="0.35">
      <c r="A108" s="310"/>
      <c r="B108" s="311"/>
      <c r="C108" s="311"/>
      <c r="D108" s="311"/>
      <c r="E108" s="311"/>
      <c r="F108" s="311"/>
      <c r="G108" s="311"/>
      <c r="H108" s="311"/>
      <c r="I108" s="311"/>
      <c r="J108" s="311"/>
      <c r="K108" s="311"/>
      <c r="L108" s="311"/>
      <c r="M108" s="311"/>
      <c r="N108" s="311"/>
      <c r="O108" s="311"/>
      <c r="P108" s="311"/>
      <c r="Q108" s="482"/>
      <c r="R108" s="582">
        <v>33</v>
      </c>
      <c r="S108" s="582"/>
      <c r="T108" s="582"/>
      <c r="U108" s="582"/>
      <c r="V108" s="582"/>
      <c r="W108" s="582"/>
      <c r="X108" s="582"/>
      <c r="Y108" s="582"/>
      <c r="Z108" s="582">
        <v>34</v>
      </c>
      <c r="AA108" s="582"/>
      <c r="AB108" s="582"/>
      <c r="AC108" s="582"/>
      <c r="AD108" s="582"/>
      <c r="AE108" s="582"/>
      <c r="AF108" s="582"/>
      <c r="AG108" s="582"/>
      <c r="AH108" s="582"/>
      <c r="AI108" s="582">
        <v>35</v>
      </c>
      <c r="AJ108" s="582"/>
      <c r="AK108" s="582"/>
      <c r="AL108" s="582"/>
      <c r="AM108" s="582"/>
      <c r="AN108" s="582"/>
      <c r="AO108" s="582"/>
      <c r="AP108" s="582"/>
      <c r="AQ108" s="582"/>
      <c r="AR108" s="582"/>
      <c r="AS108" s="582"/>
      <c r="AT108" s="582"/>
      <c r="AU108" s="582"/>
      <c r="AV108" s="582"/>
      <c r="AW108" s="582">
        <v>36</v>
      </c>
      <c r="AX108" s="582"/>
      <c r="AY108" s="582"/>
      <c r="AZ108" s="582"/>
      <c r="BA108" s="582"/>
      <c r="BB108" s="582"/>
      <c r="BC108" s="582"/>
      <c r="BD108" s="582"/>
      <c r="BE108" s="582"/>
      <c r="BF108" s="582"/>
      <c r="BG108" s="582"/>
      <c r="BH108" s="582"/>
      <c r="BI108" s="582"/>
      <c r="BJ108" s="582"/>
      <c r="BK108" s="582">
        <v>37</v>
      </c>
      <c r="BL108" s="582"/>
      <c r="BM108" s="582"/>
      <c r="BN108" s="582"/>
      <c r="BO108" s="582"/>
      <c r="BP108" s="582"/>
      <c r="BQ108" s="582"/>
      <c r="BR108" s="582"/>
      <c r="BS108" s="582"/>
      <c r="BT108" s="582"/>
      <c r="BU108" s="582"/>
      <c r="BV108" s="583">
        <v>38</v>
      </c>
      <c r="BW108" s="584"/>
      <c r="BX108" s="584"/>
      <c r="BY108" s="584"/>
      <c r="BZ108" s="584"/>
      <c r="CA108" s="584"/>
      <c r="CB108" s="584"/>
      <c r="CC108" s="584"/>
      <c r="CD108" s="584"/>
      <c r="CE108" s="584"/>
      <c r="CF108" s="585"/>
      <c r="CG108" s="584">
        <v>39</v>
      </c>
      <c r="CH108" s="584"/>
      <c r="CI108" s="584"/>
      <c r="CJ108" s="584"/>
      <c r="CK108" s="584"/>
      <c r="CL108" s="584"/>
      <c r="CM108" s="584"/>
      <c r="CN108" s="584"/>
      <c r="CO108" s="584"/>
      <c r="CP108" s="584"/>
      <c r="CQ108" s="582">
        <v>40</v>
      </c>
      <c r="CR108" s="582"/>
      <c r="CS108" s="582"/>
      <c r="CT108" s="582"/>
      <c r="CU108" s="582"/>
      <c r="CV108" s="582"/>
      <c r="CW108" s="582"/>
      <c r="CX108" s="582"/>
      <c r="CY108" s="582"/>
      <c r="CZ108" s="582">
        <v>41</v>
      </c>
      <c r="DA108" s="582"/>
      <c r="DB108" s="582"/>
      <c r="DC108" s="582"/>
      <c r="DD108" s="582"/>
      <c r="DE108" s="582"/>
      <c r="DF108" s="582"/>
      <c r="DG108" s="582"/>
      <c r="DH108" s="582"/>
      <c r="DI108" s="582"/>
      <c r="DJ108" s="582"/>
      <c r="DK108" s="582">
        <v>42</v>
      </c>
      <c r="DL108" s="582"/>
      <c r="DM108" s="582"/>
      <c r="DN108" s="582"/>
      <c r="DO108" s="582"/>
      <c r="DP108" s="582"/>
      <c r="DQ108" s="582"/>
      <c r="DR108" s="582"/>
      <c r="DS108" s="582"/>
      <c r="DT108" s="582">
        <v>43</v>
      </c>
      <c r="DU108" s="582"/>
      <c r="DV108" s="582"/>
      <c r="DW108" s="582"/>
      <c r="DX108" s="582"/>
      <c r="DY108" s="582"/>
      <c r="DZ108" s="582"/>
      <c r="EA108" s="582"/>
      <c r="EB108" s="582"/>
      <c r="EC108" s="78"/>
      <c r="ED108" s="78"/>
      <c r="EE108" s="581"/>
      <c r="EF108" s="581"/>
      <c r="EG108" s="581"/>
      <c r="EH108" s="581"/>
      <c r="EI108" s="581"/>
      <c r="EJ108" s="581"/>
      <c r="EK108" s="581"/>
      <c r="EL108" s="581"/>
      <c r="EM108" s="581"/>
      <c r="EN108" s="581"/>
      <c r="EO108" s="581"/>
      <c r="EP108" s="581"/>
      <c r="EQ108" s="581"/>
      <c r="ER108" s="581"/>
      <c r="ES108" s="581"/>
      <c r="ET108" s="581"/>
      <c r="EU108" s="581"/>
      <c r="EV108" s="581"/>
      <c r="EW108" s="581"/>
      <c r="EX108" s="581"/>
      <c r="EY108" s="581"/>
      <c r="EZ108" s="581"/>
      <c r="FA108" s="581"/>
      <c r="FB108" s="581"/>
      <c r="FC108" s="581"/>
      <c r="FD108" s="581"/>
      <c r="FE108" s="581"/>
      <c r="FF108" s="581"/>
      <c r="FG108" s="581"/>
      <c r="FH108" s="581"/>
      <c r="FI108" s="581"/>
      <c r="FJ108" s="581"/>
      <c r="FK108" s="581"/>
      <c r="FL108" s="581"/>
      <c r="FM108" s="581"/>
      <c r="FN108" s="581"/>
      <c r="FO108" s="581"/>
      <c r="FP108" s="581"/>
      <c r="FQ108" s="581"/>
      <c r="FR108" s="581"/>
      <c r="FS108" s="581"/>
      <c r="FT108" s="581"/>
      <c r="FU108" s="581"/>
      <c r="FV108" s="581"/>
      <c r="FW108" s="581"/>
      <c r="FX108" s="581"/>
      <c r="FY108" s="581"/>
      <c r="FZ108" s="581"/>
      <c r="GA108" s="581"/>
      <c r="GB108" s="581"/>
      <c r="GC108" s="581"/>
      <c r="GD108" s="581"/>
      <c r="GE108" s="581"/>
      <c r="GF108" s="581"/>
      <c r="GG108" s="581"/>
      <c r="GH108" s="581"/>
      <c r="GI108" s="42"/>
    </row>
    <row r="109" spans="1:193" ht="12.6" customHeight="1" x14ac:dyDescent="0.3">
      <c r="A109" s="525" t="s">
        <v>254</v>
      </c>
      <c r="B109" s="476"/>
      <c r="C109" s="476"/>
      <c r="D109" s="476"/>
      <c r="E109" s="476"/>
      <c r="F109" s="476"/>
      <c r="G109" s="476"/>
      <c r="H109" s="476"/>
      <c r="I109" s="476"/>
      <c r="J109" s="476"/>
      <c r="K109" s="476"/>
      <c r="L109" s="476"/>
      <c r="M109" s="476"/>
      <c r="N109" s="476"/>
      <c r="O109" s="476"/>
      <c r="P109" s="476"/>
      <c r="Q109" s="600"/>
      <c r="R109" s="601"/>
      <c r="S109" s="589"/>
      <c r="T109" s="589"/>
      <c r="U109" s="589"/>
      <c r="V109" s="589"/>
      <c r="W109" s="589"/>
      <c r="X109" s="589"/>
      <c r="Y109" s="589"/>
      <c r="Z109" s="589"/>
      <c r="AA109" s="589"/>
      <c r="AB109" s="589"/>
      <c r="AC109" s="589"/>
      <c r="AD109" s="589"/>
      <c r="AE109" s="589"/>
      <c r="AF109" s="589"/>
      <c r="AG109" s="589"/>
      <c r="AH109" s="589"/>
      <c r="AI109" s="589"/>
      <c r="AJ109" s="589"/>
      <c r="AK109" s="589"/>
      <c r="AL109" s="589"/>
      <c r="AM109" s="589"/>
      <c r="AN109" s="589"/>
      <c r="AO109" s="589"/>
      <c r="AP109" s="589"/>
      <c r="AQ109" s="589"/>
      <c r="AR109" s="589"/>
      <c r="AS109" s="589"/>
      <c r="AT109" s="589"/>
      <c r="AU109" s="589"/>
      <c r="AV109" s="589"/>
      <c r="AW109" s="589"/>
      <c r="AX109" s="589"/>
      <c r="AY109" s="589"/>
      <c r="AZ109" s="589"/>
      <c r="BA109" s="589"/>
      <c r="BB109" s="589"/>
      <c r="BC109" s="589"/>
      <c r="BD109" s="589"/>
      <c r="BE109" s="589"/>
      <c r="BF109" s="589"/>
      <c r="BG109" s="589"/>
      <c r="BH109" s="589"/>
      <c r="BI109" s="589"/>
      <c r="BJ109" s="589"/>
      <c r="BK109" s="589"/>
      <c r="BL109" s="589"/>
      <c r="BM109" s="589"/>
      <c r="BN109" s="589"/>
      <c r="BO109" s="589"/>
      <c r="BP109" s="589"/>
      <c r="BQ109" s="589"/>
      <c r="BR109" s="589"/>
      <c r="BS109" s="589"/>
      <c r="BT109" s="589"/>
      <c r="BU109" s="589"/>
      <c r="BV109" s="597"/>
      <c r="BW109" s="496"/>
      <c r="BX109" s="496"/>
      <c r="BY109" s="496"/>
      <c r="BZ109" s="496"/>
      <c r="CA109" s="496"/>
      <c r="CB109" s="496"/>
      <c r="CC109" s="496"/>
      <c r="CD109" s="496"/>
      <c r="CE109" s="496"/>
      <c r="CF109" s="598"/>
      <c r="CG109" s="496"/>
      <c r="CH109" s="496"/>
      <c r="CI109" s="496"/>
      <c r="CJ109" s="496"/>
      <c r="CK109" s="496"/>
      <c r="CL109" s="496"/>
      <c r="CM109" s="496"/>
      <c r="CN109" s="496"/>
      <c r="CO109" s="496"/>
      <c r="CP109" s="496"/>
      <c r="CQ109" s="589"/>
      <c r="CR109" s="589"/>
      <c r="CS109" s="589"/>
      <c r="CT109" s="589"/>
      <c r="CU109" s="589"/>
      <c r="CV109" s="589"/>
      <c r="CW109" s="589"/>
      <c r="CX109" s="589"/>
      <c r="CY109" s="589"/>
      <c r="CZ109" s="589"/>
      <c r="DA109" s="589"/>
      <c r="DB109" s="589"/>
      <c r="DC109" s="589"/>
      <c r="DD109" s="589"/>
      <c r="DE109" s="589"/>
      <c r="DF109" s="589"/>
      <c r="DG109" s="589"/>
      <c r="DH109" s="589"/>
      <c r="DI109" s="589"/>
      <c r="DJ109" s="589"/>
      <c r="DK109" s="589"/>
      <c r="DL109" s="589"/>
      <c r="DM109" s="589"/>
      <c r="DN109" s="589"/>
      <c r="DO109" s="589"/>
      <c r="DP109" s="589"/>
      <c r="DQ109" s="589"/>
      <c r="DR109" s="589"/>
      <c r="DS109" s="589"/>
      <c r="DT109" s="589"/>
      <c r="DU109" s="589"/>
      <c r="DV109" s="589"/>
      <c r="DW109" s="589"/>
      <c r="DX109" s="589"/>
      <c r="DY109" s="589"/>
      <c r="DZ109" s="589"/>
      <c r="EA109" s="589"/>
      <c r="EB109" s="599"/>
      <c r="EC109" s="78"/>
      <c r="ED109" s="78"/>
      <c r="EE109" s="115" t="s">
        <v>255</v>
      </c>
      <c r="EF109" s="78"/>
      <c r="EG109" s="116"/>
      <c r="EH109" s="116"/>
      <c r="EI109" s="116"/>
      <c r="EJ109" s="116"/>
      <c r="EK109" s="116"/>
      <c r="EL109" s="116"/>
      <c r="EM109" s="116"/>
      <c r="EN109" s="116"/>
      <c r="EO109" s="116"/>
      <c r="EP109" s="116"/>
      <c r="EQ109" s="116"/>
      <c r="ER109" s="116"/>
      <c r="ES109" s="116"/>
      <c r="ET109" s="592"/>
      <c r="EU109" s="592"/>
      <c r="EV109" s="592"/>
      <c r="EW109" s="592"/>
      <c r="EX109" s="592"/>
      <c r="EY109" s="592"/>
      <c r="EZ109" s="592"/>
      <c r="FA109" s="592"/>
      <c r="FB109" s="592"/>
      <c r="FC109" s="592"/>
      <c r="FD109" s="592"/>
      <c r="FE109" s="592"/>
      <c r="FF109" s="96"/>
      <c r="FG109" s="96"/>
      <c r="FH109" s="592"/>
      <c r="FI109" s="592"/>
      <c r="FJ109" s="592"/>
      <c r="FK109" s="592"/>
      <c r="FL109" s="592"/>
      <c r="FM109" s="592"/>
      <c r="FN109" s="592"/>
      <c r="FO109" s="592"/>
      <c r="FP109" s="592"/>
      <c r="FQ109" s="592"/>
      <c r="FR109" s="592"/>
      <c r="FS109" s="592"/>
      <c r="FT109" s="592"/>
      <c r="FU109" s="592"/>
      <c r="FV109" s="592"/>
      <c r="FW109" s="592"/>
      <c r="FX109" s="592"/>
      <c r="FY109" s="592"/>
      <c r="FZ109" s="592"/>
      <c r="GA109" s="592"/>
      <c r="GB109" s="592"/>
      <c r="GC109" s="592"/>
      <c r="GD109" s="592"/>
      <c r="GE109" s="592"/>
      <c r="GF109" s="592"/>
      <c r="GG109" s="592"/>
      <c r="GH109" s="592"/>
      <c r="GI109" s="42"/>
    </row>
    <row r="110" spans="1:193" ht="12.6" customHeight="1" x14ac:dyDescent="0.3">
      <c r="A110" s="593" t="s">
        <v>256</v>
      </c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5"/>
      <c r="S110" s="590"/>
      <c r="T110" s="590"/>
      <c r="U110" s="590"/>
      <c r="V110" s="590"/>
      <c r="W110" s="590"/>
      <c r="X110" s="590"/>
      <c r="Y110" s="590"/>
      <c r="Z110" s="590"/>
      <c r="AA110" s="590"/>
      <c r="AB110" s="590"/>
      <c r="AC110" s="590"/>
      <c r="AD110" s="590"/>
      <c r="AE110" s="590"/>
      <c r="AF110" s="590"/>
      <c r="AG110" s="590"/>
      <c r="AH110" s="590"/>
      <c r="AI110" s="590"/>
      <c r="AJ110" s="590"/>
      <c r="AK110" s="590"/>
      <c r="AL110" s="590"/>
      <c r="AM110" s="590"/>
      <c r="AN110" s="590"/>
      <c r="AO110" s="590"/>
      <c r="AP110" s="590"/>
      <c r="AQ110" s="590"/>
      <c r="AR110" s="590"/>
      <c r="AS110" s="590"/>
      <c r="AT110" s="590"/>
      <c r="AU110" s="590"/>
      <c r="AV110" s="590"/>
      <c r="AW110" s="590"/>
      <c r="AX110" s="590"/>
      <c r="AY110" s="590"/>
      <c r="AZ110" s="590"/>
      <c r="BA110" s="590"/>
      <c r="BB110" s="590"/>
      <c r="BC110" s="590"/>
      <c r="BD110" s="590"/>
      <c r="BE110" s="590"/>
      <c r="BF110" s="590"/>
      <c r="BG110" s="590"/>
      <c r="BH110" s="590"/>
      <c r="BI110" s="590"/>
      <c r="BJ110" s="590"/>
      <c r="BK110" s="590"/>
      <c r="BL110" s="590"/>
      <c r="BM110" s="590"/>
      <c r="BN110" s="590"/>
      <c r="BO110" s="590"/>
      <c r="BP110" s="590"/>
      <c r="BQ110" s="590"/>
      <c r="BR110" s="590"/>
      <c r="BS110" s="590"/>
      <c r="BT110" s="590"/>
      <c r="BU110" s="590"/>
      <c r="BV110" s="593"/>
      <c r="BW110" s="594"/>
      <c r="BX110" s="594"/>
      <c r="BY110" s="594"/>
      <c r="BZ110" s="594"/>
      <c r="CA110" s="594"/>
      <c r="CB110" s="594"/>
      <c r="CC110" s="594"/>
      <c r="CD110" s="594"/>
      <c r="CE110" s="594"/>
      <c r="CF110" s="596"/>
      <c r="CG110" s="594"/>
      <c r="CH110" s="594"/>
      <c r="CI110" s="594"/>
      <c r="CJ110" s="594"/>
      <c r="CK110" s="594"/>
      <c r="CL110" s="594"/>
      <c r="CM110" s="594"/>
      <c r="CN110" s="594"/>
      <c r="CO110" s="594"/>
      <c r="CP110" s="594"/>
      <c r="CQ110" s="590"/>
      <c r="CR110" s="590"/>
      <c r="CS110" s="590"/>
      <c r="CT110" s="590"/>
      <c r="CU110" s="590"/>
      <c r="CV110" s="590"/>
      <c r="CW110" s="590"/>
      <c r="CX110" s="590"/>
      <c r="CY110" s="590"/>
      <c r="CZ110" s="590"/>
      <c r="DA110" s="590"/>
      <c r="DB110" s="590"/>
      <c r="DC110" s="590"/>
      <c r="DD110" s="590"/>
      <c r="DE110" s="590"/>
      <c r="DF110" s="590"/>
      <c r="DG110" s="590"/>
      <c r="DH110" s="590"/>
      <c r="DI110" s="590"/>
      <c r="DJ110" s="590"/>
      <c r="DK110" s="590"/>
      <c r="DL110" s="590"/>
      <c r="DM110" s="590"/>
      <c r="DN110" s="590"/>
      <c r="DO110" s="590"/>
      <c r="DP110" s="590"/>
      <c r="DQ110" s="590"/>
      <c r="DR110" s="590"/>
      <c r="DS110" s="590"/>
      <c r="DT110" s="590"/>
      <c r="DU110" s="590"/>
      <c r="DV110" s="590"/>
      <c r="DW110" s="590"/>
      <c r="DX110" s="590"/>
      <c r="DY110" s="590"/>
      <c r="DZ110" s="590"/>
      <c r="EA110" s="590"/>
      <c r="EB110" s="591"/>
      <c r="EC110" s="78"/>
      <c r="ED110" s="78"/>
      <c r="EE110" s="78"/>
      <c r="EF110" s="78"/>
      <c r="EG110" s="78"/>
      <c r="EH110" s="78"/>
      <c r="EI110" s="78"/>
      <c r="EJ110" s="78"/>
      <c r="EK110" s="78"/>
      <c r="EL110" s="78"/>
      <c r="EM110" s="78"/>
      <c r="EN110" s="78"/>
      <c r="EO110" s="78"/>
      <c r="EP110" s="78"/>
      <c r="EQ110" s="78"/>
      <c r="ER110" s="78"/>
      <c r="ES110" s="78"/>
      <c r="ET110" s="461" t="s">
        <v>122</v>
      </c>
      <c r="EU110" s="461"/>
      <c r="EV110" s="461"/>
      <c r="EW110" s="461"/>
      <c r="EX110" s="461"/>
      <c r="EY110" s="461"/>
      <c r="EZ110" s="461"/>
      <c r="FA110" s="461"/>
      <c r="FB110" s="461"/>
      <c r="FC110" s="461"/>
      <c r="FD110" s="461"/>
      <c r="FE110" s="461"/>
      <c r="FF110" s="107"/>
      <c r="FG110" s="107"/>
      <c r="FH110" s="461" t="s">
        <v>126</v>
      </c>
      <c r="FI110" s="461"/>
      <c r="FJ110" s="461"/>
      <c r="FK110" s="461"/>
      <c r="FL110" s="461"/>
      <c r="FM110" s="461"/>
      <c r="FN110" s="461"/>
      <c r="FO110" s="461"/>
      <c r="FP110" s="461"/>
      <c r="FQ110" s="461"/>
      <c r="FR110" s="461"/>
      <c r="FS110" s="461"/>
      <c r="FT110" s="461"/>
      <c r="FU110" s="461"/>
      <c r="FV110" s="461"/>
      <c r="FW110" s="461"/>
      <c r="FX110" s="461"/>
      <c r="FY110" s="461"/>
      <c r="FZ110" s="461"/>
      <c r="GA110" s="461"/>
      <c r="GB110" s="461"/>
      <c r="GC110" s="461"/>
      <c r="GD110" s="461"/>
      <c r="GE110" s="461"/>
      <c r="GF110" s="461"/>
      <c r="GG110" s="461"/>
      <c r="GH110" s="461"/>
      <c r="GI110" s="42"/>
    </row>
    <row r="111" spans="1:193" ht="12.6" customHeight="1" thickBot="1" x14ac:dyDescent="0.35">
      <c r="A111" s="525" t="s">
        <v>257</v>
      </c>
      <c r="B111" s="476"/>
      <c r="C111" s="476"/>
      <c r="D111" s="476"/>
      <c r="E111" s="476"/>
      <c r="F111" s="476"/>
      <c r="G111" s="476"/>
      <c r="H111" s="476"/>
      <c r="I111" s="476"/>
      <c r="J111" s="476"/>
      <c r="K111" s="476"/>
      <c r="L111" s="476"/>
      <c r="M111" s="476"/>
      <c r="N111" s="476"/>
      <c r="O111" s="476"/>
      <c r="P111" s="476"/>
      <c r="Q111" s="600"/>
      <c r="R111" s="606"/>
      <c r="S111" s="604"/>
      <c r="T111" s="604"/>
      <c r="U111" s="604"/>
      <c r="V111" s="604"/>
      <c r="W111" s="604"/>
      <c r="X111" s="604"/>
      <c r="Y111" s="604"/>
      <c r="Z111" s="604"/>
      <c r="AA111" s="604"/>
      <c r="AB111" s="604"/>
      <c r="AC111" s="604"/>
      <c r="AD111" s="604"/>
      <c r="AE111" s="604"/>
      <c r="AF111" s="604"/>
      <c r="AG111" s="604"/>
      <c r="AH111" s="604"/>
      <c r="AI111" s="604"/>
      <c r="AJ111" s="604"/>
      <c r="AK111" s="604"/>
      <c r="AL111" s="604"/>
      <c r="AM111" s="604"/>
      <c r="AN111" s="604"/>
      <c r="AO111" s="604"/>
      <c r="AP111" s="604"/>
      <c r="AQ111" s="604"/>
      <c r="AR111" s="604"/>
      <c r="AS111" s="604"/>
      <c r="AT111" s="604"/>
      <c r="AU111" s="604"/>
      <c r="AV111" s="604"/>
      <c r="AW111" s="604"/>
      <c r="AX111" s="604"/>
      <c r="AY111" s="604"/>
      <c r="AZ111" s="604"/>
      <c r="BA111" s="604"/>
      <c r="BB111" s="604"/>
      <c r="BC111" s="604"/>
      <c r="BD111" s="604"/>
      <c r="BE111" s="604"/>
      <c r="BF111" s="604"/>
      <c r="BG111" s="604"/>
      <c r="BH111" s="604"/>
      <c r="BI111" s="604"/>
      <c r="BJ111" s="604"/>
      <c r="BK111" s="604"/>
      <c r="BL111" s="604"/>
      <c r="BM111" s="604"/>
      <c r="BN111" s="604"/>
      <c r="BO111" s="604"/>
      <c r="BP111" s="604"/>
      <c r="BQ111" s="604"/>
      <c r="BR111" s="604"/>
      <c r="BS111" s="604"/>
      <c r="BT111" s="604"/>
      <c r="BU111" s="604"/>
      <c r="BV111" s="602"/>
      <c r="BW111" s="517"/>
      <c r="BX111" s="517"/>
      <c r="BY111" s="517"/>
      <c r="BZ111" s="517"/>
      <c r="CA111" s="517"/>
      <c r="CB111" s="517"/>
      <c r="CC111" s="517"/>
      <c r="CD111" s="517"/>
      <c r="CE111" s="517"/>
      <c r="CF111" s="603"/>
      <c r="CG111" s="517"/>
      <c r="CH111" s="517"/>
      <c r="CI111" s="517"/>
      <c r="CJ111" s="517"/>
      <c r="CK111" s="517"/>
      <c r="CL111" s="517"/>
      <c r="CM111" s="517"/>
      <c r="CN111" s="517"/>
      <c r="CO111" s="517"/>
      <c r="CP111" s="517"/>
      <c r="CQ111" s="604"/>
      <c r="CR111" s="604"/>
      <c r="CS111" s="604"/>
      <c r="CT111" s="604"/>
      <c r="CU111" s="604"/>
      <c r="CV111" s="604"/>
      <c r="CW111" s="604"/>
      <c r="CX111" s="604"/>
      <c r="CY111" s="604"/>
      <c r="CZ111" s="604"/>
      <c r="DA111" s="604"/>
      <c r="DB111" s="604"/>
      <c r="DC111" s="604"/>
      <c r="DD111" s="604"/>
      <c r="DE111" s="604"/>
      <c r="DF111" s="604"/>
      <c r="DG111" s="604"/>
      <c r="DH111" s="604"/>
      <c r="DI111" s="604"/>
      <c r="DJ111" s="604"/>
      <c r="DK111" s="604"/>
      <c r="DL111" s="604"/>
      <c r="DM111" s="604"/>
      <c r="DN111" s="604"/>
      <c r="DO111" s="604"/>
      <c r="DP111" s="604"/>
      <c r="DQ111" s="604"/>
      <c r="DR111" s="604"/>
      <c r="DS111" s="604"/>
      <c r="DT111" s="604"/>
      <c r="DU111" s="604"/>
      <c r="DV111" s="604"/>
      <c r="DW111" s="604"/>
      <c r="DX111" s="604"/>
      <c r="DY111" s="604"/>
      <c r="DZ111" s="604"/>
      <c r="EA111" s="604"/>
      <c r="EB111" s="605"/>
      <c r="EC111" s="78"/>
      <c r="ED111" s="78"/>
      <c r="EE111" s="78"/>
      <c r="EF111" s="78"/>
      <c r="EG111" s="78"/>
      <c r="EH111" s="78"/>
      <c r="EI111" s="78"/>
      <c r="EJ111" s="78"/>
      <c r="EK111" s="78"/>
      <c r="EL111" s="78"/>
      <c r="EM111" s="78"/>
      <c r="EN111" s="78"/>
      <c r="EO111" s="78"/>
      <c r="EP111" s="78"/>
      <c r="EQ111" s="78"/>
      <c r="ER111" s="78"/>
      <c r="ES111" s="78"/>
      <c r="ET111" s="78"/>
      <c r="EU111" s="78"/>
      <c r="EV111" s="78"/>
      <c r="EW111" s="78"/>
      <c r="EX111" s="78"/>
      <c r="EY111" s="78"/>
      <c r="EZ111" s="78"/>
      <c r="FA111" s="78"/>
      <c r="FB111" s="78"/>
      <c r="FC111" s="78"/>
      <c r="FD111" s="78"/>
      <c r="FE111" s="78"/>
      <c r="FF111" s="78"/>
      <c r="FG111" s="78"/>
      <c r="FH111" s="78"/>
      <c r="FI111" s="78"/>
      <c r="FJ111" s="78"/>
      <c r="FK111" s="78"/>
      <c r="FL111" s="78"/>
      <c r="FM111" s="78"/>
      <c r="FN111" s="78"/>
      <c r="FO111" s="78"/>
      <c r="FP111" s="78"/>
      <c r="FQ111" s="78"/>
      <c r="FR111" s="78"/>
      <c r="FS111" s="78"/>
      <c r="FT111" s="78"/>
      <c r="FU111" s="78"/>
      <c r="FV111" s="78"/>
      <c r="FW111" s="78"/>
      <c r="FX111" s="78"/>
      <c r="FY111" s="78"/>
      <c r="FZ111" s="78"/>
      <c r="GA111" s="78"/>
      <c r="GB111" s="78"/>
      <c r="GC111" s="78"/>
      <c r="GD111" s="78"/>
      <c r="GE111" s="78"/>
      <c r="GF111" s="78"/>
      <c r="GG111" s="78"/>
      <c r="GH111" s="78"/>
      <c r="GI111" s="42"/>
    </row>
    <row r="112" spans="1:193" x14ac:dyDescent="0.3">
      <c r="GJ112" s="117" t="s">
        <v>258</v>
      </c>
      <c r="GK112" s="118" t="s">
        <v>259</v>
      </c>
    </row>
    <row r="113" spans="192:193" x14ac:dyDescent="0.3">
      <c r="GJ113" s="117" t="s">
        <v>260</v>
      </c>
      <c r="GK113" s="118" t="s">
        <v>261</v>
      </c>
    </row>
    <row r="114" spans="192:193" x14ac:dyDescent="0.3">
      <c r="GJ114" s="117" t="s">
        <v>262</v>
      </c>
      <c r="GK114" s="118" t="s">
        <v>263</v>
      </c>
    </row>
    <row r="115" spans="192:193" x14ac:dyDescent="0.3">
      <c r="GJ115" s="117" t="s">
        <v>264</v>
      </c>
      <c r="GK115" s="118" t="s">
        <v>265</v>
      </c>
    </row>
    <row r="116" spans="192:193" x14ac:dyDescent="0.3">
      <c r="GJ116" s="117" t="s">
        <v>266</v>
      </c>
      <c r="GK116" s="118" t="s">
        <v>267</v>
      </c>
    </row>
    <row r="117" spans="192:193" x14ac:dyDescent="0.3">
      <c r="GJ117" s="117" t="s">
        <v>268</v>
      </c>
      <c r="GK117" s="118" t="s">
        <v>269</v>
      </c>
    </row>
    <row r="118" spans="192:193" x14ac:dyDescent="0.3">
      <c r="GJ118" s="117" t="s">
        <v>58</v>
      </c>
      <c r="GK118" s="118" t="s">
        <v>270</v>
      </c>
    </row>
    <row r="119" spans="192:193" x14ac:dyDescent="0.3">
      <c r="GJ119" s="117" t="s">
        <v>271</v>
      </c>
      <c r="GK119" s="118" t="s">
        <v>272</v>
      </c>
    </row>
    <row r="120" spans="192:193" x14ac:dyDescent="0.3">
      <c r="GJ120" s="117" t="s">
        <v>273</v>
      </c>
      <c r="GK120" s="118" t="s">
        <v>274</v>
      </c>
    </row>
    <row r="121" spans="192:193" x14ac:dyDescent="0.3">
      <c r="GJ121" s="117">
        <v>10</v>
      </c>
      <c r="GK121" s="118" t="s">
        <v>275</v>
      </c>
    </row>
    <row r="122" spans="192:193" x14ac:dyDescent="0.3">
      <c r="GJ122" s="117">
        <v>11</v>
      </c>
      <c r="GK122" s="118" t="s">
        <v>276</v>
      </c>
    </row>
    <row r="123" spans="192:193" x14ac:dyDescent="0.3">
      <c r="GJ123" s="117">
        <v>12</v>
      </c>
      <c r="GK123" s="118" t="s">
        <v>277</v>
      </c>
    </row>
  </sheetData>
  <mergeCells count="582">
    <mergeCell ref="BV111:CF111"/>
    <mergeCell ref="CG111:CP111"/>
    <mergeCell ref="CQ111:CY111"/>
    <mergeCell ref="CZ111:DJ111"/>
    <mergeCell ref="DK111:DS111"/>
    <mergeCell ref="DT111:EB111"/>
    <mergeCell ref="A111:Q111"/>
    <mergeCell ref="R111:Y111"/>
    <mergeCell ref="Z111:AH111"/>
    <mergeCell ref="AI111:AV111"/>
    <mergeCell ref="AW111:BJ111"/>
    <mergeCell ref="BK111:BU111"/>
    <mergeCell ref="CQ110:CY110"/>
    <mergeCell ref="CZ110:DJ110"/>
    <mergeCell ref="DK110:DS110"/>
    <mergeCell ref="DT110:EB110"/>
    <mergeCell ref="ET110:FE110"/>
    <mergeCell ref="FH110:GH110"/>
    <mergeCell ref="ET109:FE109"/>
    <mergeCell ref="FH109:GH109"/>
    <mergeCell ref="A110:Q110"/>
    <mergeCell ref="R110:Y110"/>
    <mergeCell ref="Z110:AH110"/>
    <mergeCell ref="AI110:AV110"/>
    <mergeCell ref="AW110:BJ110"/>
    <mergeCell ref="BK110:BU110"/>
    <mergeCell ref="BV110:CF110"/>
    <mergeCell ref="CG110:CP110"/>
    <mergeCell ref="BV109:CF109"/>
    <mergeCell ref="CG109:CP109"/>
    <mergeCell ref="CQ109:CY109"/>
    <mergeCell ref="CZ109:DJ109"/>
    <mergeCell ref="DK109:DS109"/>
    <mergeCell ref="DT109:EB109"/>
    <mergeCell ref="A109:Q109"/>
    <mergeCell ref="R109:Y109"/>
    <mergeCell ref="Z109:AH109"/>
    <mergeCell ref="AI109:AV109"/>
    <mergeCell ref="AW109:BJ109"/>
    <mergeCell ref="BK109:BU109"/>
    <mergeCell ref="CG108:CP108"/>
    <mergeCell ref="CQ108:CY108"/>
    <mergeCell ref="CZ108:DJ108"/>
    <mergeCell ref="DK108:DS108"/>
    <mergeCell ref="DT108:EB108"/>
    <mergeCell ref="EE108:GH108"/>
    <mergeCell ref="R108:Y108"/>
    <mergeCell ref="Z108:AH108"/>
    <mergeCell ref="AI108:AV108"/>
    <mergeCell ref="AW108:BJ108"/>
    <mergeCell ref="BK108:BU108"/>
    <mergeCell ref="BV108:CF108"/>
    <mergeCell ref="CZ105:DJ107"/>
    <mergeCell ref="DK105:DS107"/>
    <mergeCell ref="DT105:EB107"/>
    <mergeCell ref="EE105:GH105"/>
    <mergeCell ref="EE106:GH106"/>
    <mergeCell ref="BV107:CF107"/>
    <mergeCell ref="CG107:CP107"/>
    <mergeCell ref="EE107:GH107"/>
    <mergeCell ref="A105:Q108"/>
    <mergeCell ref="R105:Y107"/>
    <mergeCell ref="Z105:AH107"/>
    <mergeCell ref="AI105:AV107"/>
    <mergeCell ref="AW105:BJ107"/>
    <mergeCell ref="BK105:BU107"/>
    <mergeCell ref="BV105:CP106"/>
    <mergeCell ref="CQ105:CY107"/>
    <mergeCell ref="AX103:BH103"/>
    <mergeCell ref="BI103:BV103"/>
    <mergeCell ref="BW103:CP103"/>
    <mergeCell ref="CQ103:DC103"/>
    <mergeCell ref="ER101:GH102"/>
    <mergeCell ref="AX102:BH102"/>
    <mergeCell ref="BI102:BV102"/>
    <mergeCell ref="BW102:CP102"/>
    <mergeCell ref="CQ102:DC102"/>
    <mergeCell ref="DD102:DQ102"/>
    <mergeCell ref="DR102:EE102"/>
    <mergeCell ref="EF102:EO102"/>
    <mergeCell ref="A103:H103"/>
    <mergeCell ref="I103:P103"/>
    <mergeCell ref="Q103:X103"/>
    <mergeCell ref="Y103:AF103"/>
    <mergeCell ref="AG103:AN103"/>
    <mergeCell ref="AO103:AW103"/>
    <mergeCell ref="A102:H102"/>
    <mergeCell ref="I102:P102"/>
    <mergeCell ref="Q102:X102"/>
    <mergeCell ref="Y102:AF102"/>
    <mergeCell ref="AG102:AN102"/>
    <mergeCell ref="AO102:AW102"/>
    <mergeCell ref="EF103:EO103"/>
    <mergeCell ref="ER103:GH104"/>
    <mergeCell ref="DD103:DQ103"/>
    <mergeCell ref="DR103:EE103"/>
    <mergeCell ref="FT95:GH95"/>
    <mergeCell ref="A97:EO97"/>
    <mergeCell ref="A98:AN98"/>
    <mergeCell ref="AO98:AW98"/>
    <mergeCell ref="AX98:BV98"/>
    <mergeCell ref="BW98:CP101"/>
    <mergeCell ref="CQ98:DQ98"/>
    <mergeCell ref="DR98:EO98"/>
    <mergeCell ref="FF98:GH98"/>
    <mergeCell ref="A99:H101"/>
    <mergeCell ref="I99:P101"/>
    <mergeCell ref="Q99:X101"/>
    <mergeCell ref="Y99:AF101"/>
    <mergeCell ref="AG99:AN101"/>
    <mergeCell ref="AO99:AW99"/>
    <mergeCell ref="AX99:BH101"/>
    <mergeCell ref="BI99:BV101"/>
    <mergeCell ref="CQ99:DC101"/>
    <mergeCell ref="DD99:DQ101"/>
    <mergeCell ref="DR99:EE101"/>
    <mergeCell ref="EF99:EO101"/>
    <mergeCell ref="ER99:GH100"/>
    <mergeCell ref="AO100:AW100"/>
    <mergeCell ref="AO101:AW101"/>
    <mergeCell ref="A95:J95"/>
    <mergeCell ref="K95:AJ95"/>
    <mergeCell ref="AK95:BJ95"/>
    <mergeCell ref="BK95:CL95"/>
    <mergeCell ref="CM95:DT95"/>
    <mergeCell ref="DU95:EA95"/>
    <mergeCell ref="EB95:EP95"/>
    <mergeCell ref="EQ95:FD95"/>
    <mergeCell ref="FE95:FS95"/>
    <mergeCell ref="FT93:GH93"/>
    <mergeCell ref="A94:J94"/>
    <mergeCell ref="K94:AJ94"/>
    <mergeCell ref="AK94:BJ94"/>
    <mergeCell ref="BK94:CL94"/>
    <mergeCell ref="CM94:DT94"/>
    <mergeCell ref="DU94:EA94"/>
    <mergeCell ref="EB94:EP94"/>
    <mergeCell ref="EQ94:FD94"/>
    <mergeCell ref="FE94:FS94"/>
    <mergeCell ref="FT94:GH94"/>
    <mergeCell ref="A93:J93"/>
    <mergeCell ref="K93:AJ93"/>
    <mergeCell ref="AK93:BJ93"/>
    <mergeCell ref="BK93:CL93"/>
    <mergeCell ref="CM93:DT93"/>
    <mergeCell ref="DU93:EA93"/>
    <mergeCell ref="EB93:EP93"/>
    <mergeCell ref="EQ93:FD93"/>
    <mergeCell ref="FE93:FS93"/>
    <mergeCell ref="A91:J92"/>
    <mergeCell ref="K91:AJ92"/>
    <mergeCell ref="AK91:BJ92"/>
    <mergeCell ref="BK91:CL92"/>
    <mergeCell ref="CM91:EA91"/>
    <mergeCell ref="EB91:FD91"/>
    <mergeCell ref="FE91:FS92"/>
    <mergeCell ref="FT91:GH92"/>
    <mergeCell ref="CM92:DT92"/>
    <mergeCell ref="DU92:EA92"/>
    <mergeCell ref="EB92:EP92"/>
    <mergeCell ref="EQ92:FD92"/>
    <mergeCell ref="CM87:CX89"/>
    <mergeCell ref="CZ87:DP89"/>
    <mergeCell ref="DR85:DZ88"/>
    <mergeCell ref="N86:X86"/>
    <mergeCell ref="AA86:AV86"/>
    <mergeCell ref="BY86:CK86"/>
    <mergeCell ref="CM86:CX86"/>
    <mergeCell ref="CZ86:DP86"/>
    <mergeCell ref="A90:GH90"/>
    <mergeCell ref="FE79:GH79"/>
    <mergeCell ref="A80:G81"/>
    <mergeCell ref="Q80:AS80"/>
    <mergeCell ref="CF80:DB80"/>
    <mergeCell ref="H81:S81"/>
    <mergeCell ref="U81:AE81"/>
    <mergeCell ref="AH81:AX81"/>
    <mergeCell ref="BP81:CO82"/>
    <mergeCell ref="CP81:CZ82"/>
    <mergeCell ref="DC81:DX82"/>
    <mergeCell ref="EB81:EV83"/>
    <mergeCell ref="EX81:GH83"/>
    <mergeCell ref="I82:R83"/>
    <mergeCell ref="U82:AE83"/>
    <mergeCell ref="AH82:AX83"/>
    <mergeCell ref="CP83:CZ84"/>
    <mergeCell ref="DC83:DX84"/>
    <mergeCell ref="A84:S85"/>
    <mergeCell ref="EC84:GH85"/>
    <mergeCell ref="BE85:BM88"/>
    <mergeCell ref="EC86:GH88"/>
    <mergeCell ref="N87:X89"/>
    <mergeCell ref="AA87:AV89"/>
    <mergeCell ref="BY87:CK89"/>
    <mergeCell ref="AA78:AR78"/>
    <mergeCell ref="AY78:BM78"/>
    <mergeCell ref="CS78:DA78"/>
    <mergeCell ref="DK78:DT78"/>
    <mergeCell ref="Q79:AS79"/>
    <mergeCell ref="CF79:DB79"/>
    <mergeCell ref="AA77:AR77"/>
    <mergeCell ref="AS77:AX77"/>
    <mergeCell ref="AY77:BM77"/>
    <mergeCell ref="CS77:DA77"/>
    <mergeCell ref="DB77:DJ77"/>
    <mergeCell ref="DK77:DT77"/>
    <mergeCell ref="FH75:FT75"/>
    <mergeCell ref="FU75:GH75"/>
    <mergeCell ref="AS76:AX76"/>
    <mergeCell ref="DB76:DJ76"/>
    <mergeCell ref="EJ76:ET77"/>
    <mergeCell ref="EU76:FT76"/>
    <mergeCell ref="FU76:GH77"/>
    <mergeCell ref="EJ74:ET74"/>
    <mergeCell ref="EU74:FG74"/>
    <mergeCell ref="FH74:FT74"/>
    <mergeCell ref="FU74:GH74"/>
    <mergeCell ref="A75:AH75"/>
    <mergeCell ref="AI75:BT75"/>
    <mergeCell ref="BU75:CL75"/>
    <mergeCell ref="CM75:DB75"/>
    <mergeCell ref="DC75:EI75"/>
    <mergeCell ref="EJ75:ET75"/>
    <mergeCell ref="DC73:EI73"/>
    <mergeCell ref="EJ73:ET73"/>
    <mergeCell ref="EU73:FG73"/>
    <mergeCell ref="EU75:FG75"/>
    <mergeCell ref="FH73:FT73"/>
    <mergeCell ref="FU73:GH73"/>
    <mergeCell ref="A74:AH74"/>
    <mergeCell ref="AI74:BT74"/>
    <mergeCell ref="BU74:CL74"/>
    <mergeCell ref="CM74:DB74"/>
    <mergeCell ref="DC74:EI74"/>
    <mergeCell ref="A71:AF71"/>
    <mergeCell ref="AO71:BT72"/>
    <mergeCell ref="CH71:CY71"/>
    <mergeCell ref="A73:AH73"/>
    <mergeCell ref="AI73:BT73"/>
    <mergeCell ref="BU73:CL73"/>
    <mergeCell ref="CM73:DB73"/>
    <mergeCell ref="Q69:BU69"/>
    <mergeCell ref="CH69:CY69"/>
    <mergeCell ref="FP69:GH70"/>
    <mergeCell ref="A70:AF70"/>
    <mergeCell ref="CH70:CY70"/>
    <mergeCell ref="DV70:EW70"/>
    <mergeCell ref="Q67:CB67"/>
    <mergeCell ref="CT67:FC67"/>
    <mergeCell ref="FP67:GH68"/>
    <mergeCell ref="Q68:BU68"/>
    <mergeCell ref="CH68:CY68"/>
    <mergeCell ref="DV68:EW68"/>
    <mergeCell ref="O59:FM59"/>
    <mergeCell ref="A65:S65"/>
    <mergeCell ref="T65:AG65"/>
    <mergeCell ref="AP65:BC65"/>
    <mergeCell ref="BI65:BV65"/>
    <mergeCell ref="Q66:CB66"/>
    <mergeCell ref="CT66:FC66"/>
    <mergeCell ref="X60:FM60"/>
    <mergeCell ref="FP60:GH63"/>
    <mergeCell ref="L61:BZ61"/>
    <mergeCell ref="CU61:FA61"/>
    <mergeCell ref="L62:BZ62"/>
    <mergeCell ref="A63:W64"/>
    <mergeCell ref="Y63:BZ63"/>
    <mergeCell ref="DF63:FH63"/>
    <mergeCell ref="Y64:BZ64"/>
    <mergeCell ref="FP64:GH66"/>
    <mergeCell ref="AD55:AT55"/>
    <mergeCell ref="AW55:BC55"/>
    <mergeCell ref="A56:M57"/>
    <mergeCell ref="N56:CA57"/>
    <mergeCell ref="CC56:CN57"/>
    <mergeCell ref="CO56:DK57"/>
    <mergeCell ref="ED51:ES51"/>
    <mergeCell ref="EV51:FF51"/>
    <mergeCell ref="FI51:GE51"/>
    <mergeCell ref="BX53:DD54"/>
    <mergeCell ref="A54:S54"/>
    <mergeCell ref="T54:AG54"/>
    <mergeCell ref="AP54:BC54"/>
    <mergeCell ref="BI54:BV54"/>
    <mergeCell ref="FP54:GH55"/>
    <mergeCell ref="X55:AA55"/>
    <mergeCell ref="DL56:EJ57"/>
    <mergeCell ref="EN56:FA57"/>
    <mergeCell ref="FB56:FN56"/>
    <mergeCell ref="FP56:GH57"/>
    <mergeCell ref="FB57:FN58"/>
    <mergeCell ref="N58:CA58"/>
    <mergeCell ref="CO58:DF58"/>
    <mergeCell ref="FP58:GH59"/>
    <mergeCell ref="BE50:BI50"/>
    <mergeCell ref="BM50:CD50"/>
    <mergeCell ref="CG50:CM50"/>
    <mergeCell ref="ED50:ES50"/>
    <mergeCell ref="EV50:FF50"/>
    <mergeCell ref="FI50:GE50"/>
    <mergeCell ref="AB48:AY48"/>
    <mergeCell ref="BB48:BO48"/>
    <mergeCell ref="BR48:CQ48"/>
    <mergeCell ref="CY48:GE48"/>
    <mergeCell ref="AB49:AY49"/>
    <mergeCell ref="BB49:BO49"/>
    <mergeCell ref="BR49:CQ49"/>
    <mergeCell ref="A46:W46"/>
    <mergeCell ref="Y46:AE46"/>
    <mergeCell ref="AG46:AX46"/>
    <mergeCell ref="BQ46:BZ46"/>
    <mergeCell ref="CC46:CU46"/>
    <mergeCell ref="CY46:FH47"/>
    <mergeCell ref="A43:U44"/>
    <mergeCell ref="EB44:ER44"/>
    <mergeCell ref="EU44:FF44"/>
    <mergeCell ref="FI44:GE44"/>
    <mergeCell ref="A45:W45"/>
    <mergeCell ref="Y45:AE45"/>
    <mergeCell ref="AG45:AX45"/>
    <mergeCell ref="BQ45:BZ45"/>
    <mergeCell ref="CC45:CU45"/>
    <mergeCell ref="AR42:AZ43"/>
    <mergeCell ref="BA42:BW44"/>
    <mergeCell ref="CY42:EA43"/>
    <mergeCell ref="EB42:ER43"/>
    <mergeCell ref="EU42:FF43"/>
    <mergeCell ref="FI42:GE43"/>
    <mergeCell ref="EU39:EW40"/>
    <mergeCell ref="EX39:FP40"/>
    <mergeCell ref="FS39:FZ40"/>
    <mergeCell ref="GA39:GD40"/>
    <mergeCell ref="AV40:BU40"/>
    <mergeCell ref="AB41:BV41"/>
    <mergeCell ref="BW41:CB41"/>
    <mergeCell ref="CC41:CK41"/>
    <mergeCell ref="DJ41:GE41"/>
    <mergeCell ref="AV39:BU39"/>
    <mergeCell ref="CE39:CU39"/>
    <mergeCell ref="CY39:DS40"/>
    <mergeCell ref="DT39:EI40"/>
    <mergeCell ref="EK39:EO40"/>
    <mergeCell ref="EP39:ET40"/>
    <mergeCell ref="FC36:FM37"/>
    <mergeCell ref="J37:BU37"/>
    <mergeCell ref="CM37:DP37"/>
    <mergeCell ref="EI37:EK37"/>
    <mergeCell ref="M38:BU38"/>
    <mergeCell ref="CR38:DP38"/>
    <mergeCell ref="EO38:FB38"/>
    <mergeCell ref="FC38:FM38"/>
    <mergeCell ref="CL35:DP35"/>
    <mergeCell ref="EI35:EK35"/>
    <mergeCell ref="W36:BU36"/>
    <mergeCell ref="CR36:DP36"/>
    <mergeCell ref="DS36:EH37"/>
    <mergeCell ref="EO36:FB37"/>
    <mergeCell ref="AS32:BU32"/>
    <mergeCell ref="CV32:EL32"/>
    <mergeCell ref="EO32:FB32"/>
    <mergeCell ref="FC32:FM32"/>
    <mergeCell ref="N33:BU33"/>
    <mergeCell ref="EO33:FB35"/>
    <mergeCell ref="FC33:FM35"/>
    <mergeCell ref="N34:BU34"/>
    <mergeCell ref="DS34:EH35"/>
    <mergeCell ref="Q35:BU35"/>
    <mergeCell ref="DH31:DR31"/>
    <mergeCell ref="DS31:EC31"/>
    <mergeCell ref="ED31:EN31"/>
    <mergeCell ref="EO31:FB31"/>
    <mergeCell ref="FC31:FM31"/>
    <mergeCell ref="FN31:GE31"/>
    <mergeCell ref="A31:K31"/>
    <mergeCell ref="L31:AE31"/>
    <mergeCell ref="AF31:AR31"/>
    <mergeCell ref="AS31:BD31"/>
    <mergeCell ref="BE31:BT31"/>
    <mergeCell ref="BU31:DG31"/>
    <mergeCell ref="DH30:DR30"/>
    <mergeCell ref="DS30:EC30"/>
    <mergeCell ref="ED30:EN30"/>
    <mergeCell ref="EO30:FB30"/>
    <mergeCell ref="FC30:FM30"/>
    <mergeCell ref="FN30:GE30"/>
    <mergeCell ref="A30:K30"/>
    <mergeCell ref="L30:AE30"/>
    <mergeCell ref="AF30:AR30"/>
    <mergeCell ref="AS30:BD30"/>
    <mergeCell ref="BE30:BT30"/>
    <mergeCell ref="BU30:DG30"/>
    <mergeCell ref="DH29:DR29"/>
    <mergeCell ref="DS29:EC29"/>
    <mergeCell ref="ED29:EN29"/>
    <mergeCell ref="EO29:FB29"/>
    <mergeCell ref="FC29:FM29"/>
    <mergeCell ref="FN29:GE29"/>
    <mergeCell ref="A29:K29"/>
    <mergeCell ref="L29:AE29"/>
    <mergeCell ref="AF29:AR29"/>
    <mergeCell ref="AS29:BD29"/>
    <mergeCell ref="BE29:BT29"/>
    <mergeCell ref="BU29:DG29"/>
    <mergeCell ref="DH28:DR28"/>
    <mergeCell ref="DS28:EC28"/>
    <mergeCell ref="ED28:EN28"/>
    <mergeCell ref="EO28:FB28"/>
    <mergeCell ref="FC28:FM28"/>
    <mergeCell ref="FN28:GE28"/>
    <mergeCell ref="A28:K28"/>
    <mergeCell ref="L28:AE28"/>
    <mergeCell ref="AF28:AR28"/>
    <mergeCell ref="AS28:BD28"/>
    <mergeCell ref="BE28:BT28"/>
    <mergeCell ref="BU28:DG28"/>
    <mergeCell ref="DH27:DR27"/>
    <mergeCell ref="DS27:EC27"/>
    <mergeCell ref="ED27:EN27"/>
    <mergeCell ref="EO27:FB27"/>
    <mergeCell ref="FC27:FM27"/>
    <mergeCell ref="FN27:GE27"/>
    <mergeCell ref="A27:K27"/>
    <mergeCell ref="L27:AE27"/>
    <mergeCell ref="AF27:AR27"/>
    <mergeCell ref="AS27:BD27"/>
    <mergeCell ref="BE27:BT27"/>
    <mergeCell ref="BU27:DG27"/>
    <mergeCell ref="DH26:DR26"/>
    <mergeCell ref="DS26:EC26"/>
    <mergeCell ref="ED26:EN26"/>
    <mergeCell ref="EO26:FB26"/>
    <mergeCell ref="FC26:FM26"/>
    <mergeCell ref="FN26:GE26"/>
    <mergeCell ref="A26:K26"/>
    <mergeCell ref="L26:AE26"/>
    <mergeCell ref="AF26:AR26"/>
    <mergeCell ref="AS26:BD26"/>
    <mergeCell ref="BE26:BT26"/>
    <mergeCell ref="BU26:DG26"/>
    <mergeCell ref="DH25:DR25"/>
    <mergeCell ref="DS25:EC25"/>
    <mergeCell ref="ED25:EN25"/>
    <mergeCell ref="EO25:FB25"/>
    <mergeCell ref="FC25:FM25"/>
    <mergeCell ref="FN25:GE25"/>
    <mergeCell ref="A25:K25"/>
    <mergeCell ref="L25:AE25"/>
    <mergeCell ref="AF25:AR25"/>
    <mergeCell ref="AS25:BD25"/>
    <mergeCell ref="BE25:BT25"/>
    <mergeCell ref="BU25:DG25"/>
    <mergeCell ref="DH24:DR24"/>
    <mergeCell ref="DS24:EC24"/>
    <mergeCell ref="ED24:EN24"/>
    <mergeCell ref="EO24:FB24"/>
    <mergeCell ref="FC24:FM24"/>
    <mergeCell ref="FN24:GE24"/>
    <mergeCell ref="A24:K24"/>
    <mergeCell ref="L24:AE24"/>
    <mergeCell ref="AF24:AR24"/>
    <mergeCell ref="AS24:BD24"/>
    <mergeCell ref="BE24:BT24"/>
    <mergeCell ref="BU24:DG24"/>
    <mergeCell ref="DH23:DR23"/>
    <mergeCell ref="DS23:EC23"/>
    <mergeCell ref="ED23:EN23"/>
    <mergeCell ref="EO23:FB23"/>
    <mergeCell ref="FC23:FM23"/>
    <mergeCell ref="FN23:GE23"/>
    <mergeCell ref="A23:K23"/>
    <mergeCell ref="L23:AE23"/>
    <mergeCell ref="AF23:AR23"/>
    <mergeCell ref="AS23:BD23"/>
    <mergeCell ref="BE23:BT23"/>
    <mergeCell ref="BU23:DG23"/>
    <mergeCell ref="DH22:DR22"/>
    <mergeCell ref="DS22:EC22"/>
    <mergeCell ref="ED22:EN22"/>
    <mergeCell ref="EO22:FB22"/>
    <mergeCell ref="FC22:FM22"/>
    <mergeCell ref="FN22:GE22"/>
    <mergeCell ref="A22:K22"/>
    <mergeCell ref="L22:AE22"/>
    <mergeCell ref="AF22:AR22"/>
    <mergeCell ref="AS22:BD22"/>
    <mergeCell ref="BE22:BT22"/>
    <mergeCell ref="BU22:DG22"/>
    <mergeCell ref="DH21:DR21"/>
    <mergeCell ref="DS21:EC21"/>
    <mergeCell ref="ED21:EN21"/>
    <mergeCell ref="EO21:FB21"/>
    <mergeCell ref="FC21:FM21"/>
    <mergeCell ref="FN21:GE21"/>
    <mergeCell ref="A21:K21"/>
    <mergeCell ref="L21:AE21"/>
    <mergeCell ref="AF21:AR21"/>
    <mergeCell ref="AS21:BD21"/>
    <mergeCell ref="BE21:BT21"/>
    <mergeCell ref="BU21:DG21"/>
    <mergeCell ref="DH20:DR20"/>
    <mergeCell ref="DS20:EC20"/>
    <mergeCell ref="ED20:EN20"/>
    <mergeCell ref="EO20:FB20"/>
    <mergeCell ref="FC20:FM20"/>
    <mergeCell ref="FN20:GE20"/>
    <mergeCell ref="A20:K20"/>
    <mergeCell ref="L20:AE20"/>
    <mergeCell ref="AF20:AR20"/>
    <mergeCell ref="AS20:BD20"/>
    <mergeCell ref="BE20:BT20"/>
    <mergeCell ref="BU20:DG20"/>
    <mergeCell ref="DH18:DR18"/>
    <mergeCell ref="DS18:EC18"/>
    <mergeCell ref="ED18:EN18"/>
    <mergeCell ref="EO18:FB18"/>
    <mergeCell ref="FC19:FM19"/>
    <mergeCell ref="FC18:FM18"/>
    <mergeCell ref="FN18:GE18"/>
    <mergeCell ref="A18:K18"/>
    <mergeCell ref="L18:AE18"/>
    <mergeCell ref="AF18:AR18"/>
    <mergeCell ref="AS18:BD18"/>
    <mergeCell ref="BE18:BT18"/>
    <mergeCell ref="BU18:DG18"/>
    <mergeCell ref="FN19:GE19"/>
    <mergeCell ref="A19:K19"/>
    <mergeCell ref="L19:AE19"/>
    <mergeCell ref="AF19:AR19"/>
    <mergeCell ref="AS19:BD19"/>
    <mergeCell ref="BE19:BT19"/>
    <mergeCell ref="BU19:DG19"/>
    <mergeCell ref="DH19:DR19"/>
    <mergeCell ref="DS19:EC19"/>
    <mergeCell ref="ED19:EN19"/>
    <mergeCell ref="EO19:FB19"/>
    <mergeCell ref="FC17:FM17"/>
    <mergeCell ref="FN17:GE17"/>
    <mergeCell ref="A17:K17"/>
    <mergeCell ref="L17:AE17"/>
    <mergeCell ref="AF17:AR17"/>
    <mergeCell ref="AS17:BD17"/>
    <mergeCell ref="BE17:BT17"/>
    <mergeCell ref="BU17:DG17"/>
    <mergeCell ref="DH17:DR17"/>
    <mergeCell ref="DS17:EC17"/>
    <mergeCell ref="ED17:EN17"/>
    <mergeCell ref="EO17:FB17"/>
    <mergeCell ref="ED16:EN16"/>
    <mergeCell ref="EO16:FB16"/>
    <mergeCell ref="A12:O13"/>
    <mergeCell ref="V12:EZ12"/>
    <mergeCell ref="FA12:FL13"/>
    <mergeCell ref="FM12:GE13"/>
    <mergeCell ref="P13:EZ13"/>
    <mergeCell ref="V14:EZ14"/>
    <mergeCell ref="A15:GE15"/>
    <mergeCell ref="A16:K16"/>
    <mergeCell ref="L16:AE16"/>
    <mergeCell ref="AF16:AR16"/>
    <mergeCell ref="AS16:BD16"/>
    <mergeCell ref="BE16:BT16"/>
    <mergeCell ref="BU16:DG16"/>
    <mergeCell ref="DH16:DR16"/>
    <mergeCell ref="DS16:EC16"/>
    <mergeCell ref="FC16:FM16"/>
    <mergeCell ref="FN16:GE16"/>
    <mergeCell ref="A11:O11"/>
    <mergeCell ref="P11:EZ11"/>
    <mergeCell ref="P9:EZ9"/>
    <mergeCell ref="FA9:FL9"/>
    <mergeCell ref="FM9:GE9"/>
    <mergeCell ref="V10:EZ10"/>
    <mergeCell ref="FA10:FL11"/>
    <mergeCell ref="FM10:GE11"/>
    <mergeCell ref="FM4:GE4"/>
    <mergeCell ref="FM5:GE5"/>
    <mergeCell ref="DR6:FG6"/>
    <mergeCell ref="FM6:GE6"/>
    <mergeCell ref="DR7:FG7"/>
    <mergeCell ref="FM7:FR8"/>
    <mergeCell ref="FS7:FY8"/>
    <mergeCell ref="FZ7:GE8"/>
  </mergeCells>
  <hyperlinks>
    <hyperlink ref="BD6" r:id="rId1" xr:uid="{00000000-0004-0000-0800-000000000000}"/>
  </hyperlinks>
  <pageMargins left="0.7" right="0.7" top="0.75" bottom="0.75" header="0.3" footer="0.3"/>
  <pageSetup paperSize="9" scale="66" fitToWidth="0" fitToHeight="0" orientation="landscape" blackAndWhite="1" r:id="rId2"/>
  <rowBreaks count="1" manualBreakCount="1">
    <brk id="51" max="190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ВК ЭОМ</vt:lpstr>
      <vt:lpstr>АВК ЭОМ</vt:lpstr>
      <vt:lpstr>1024</vt:lpstr>
      <vt:lpstr>10455</vt:lpstr>
      <vt:lpstr>1035</vt:lpstr>
      <vt:lpstr>1045</vt:lpstr>
      <vt:lpstr>1036</vt:lpstr>
      <vt:lpstr>'1024'!Область_печати</vt:lpstr>
      <vt:lpstr>'1035'!Область_печати</vt:lpstr>
      <vt:lpstr>'1036'!Область_печати</vt:lpstr>
      <vt:lpstr>'1045'!Область_печати</vt:lpstr>
      <vt:lpstr>'10455'!Область_печати</vt:lpstr>
      <vt:lpstr>'АВК ЭОМ'!Область_печати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Zverev, Stanislav V.</dc:creator>
  <cp:lastModifiedBy>Николай Ворошилов</cp:lastModifiedBy>
  <cp:lastPrinted>2024-02-05T16:05:01Z</cp:lastPrinted>
  <dcterms:created xsi:type="dcterms:W3CDTF">2015-08-22T00:35:37Z</dcterms:created>
  <dcterms:modified xsi:type="dcterms:W3CDTF">2024-02-05T17:39:07Z</dcterms:modified>
</cp:coreProperties>
</file>